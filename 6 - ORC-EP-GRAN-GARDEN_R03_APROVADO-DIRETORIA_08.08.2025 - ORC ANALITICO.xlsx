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vinicius.roque\Downloads\"/>
    </mc:Choice>
  </mc:AlternateContent>
  <xr:revisionPtr revIDLastSave="0" documentId="8_{752EB1A8-3518-48D4-A836-785CD98AEA00}" xr6:coauthVersionLast="47" xr6:coauthVersionMax="47" xr10:uidLastSave="{00000000-0000-0000-0000-000000000000}"/>
  <bookViews>
    <workbookView xWindow="-28920" yWindow="-120" windowWidth="29040" windowHeight="15720" tabRatio="334" firstSheet="1" activeTab="1" xr2:uid="{23745E04-DA89-4DB7-BA80-CF1C6AB7B293}"/>
  </bookViews>
  <sheets>
    <sheet name="COMP - INS - O4210 - ORC6" sheetId="3" state="hidden" r:id="rId1"/>
    <sheet name="PLANILHA ORCAMENTARIA" sheetId="1" r:id="rId2"/>
  </sheets>
  <definedNames>
    <definedName name="_xlnm._FilterDatabase" localSheetId="1" hidden="1">'PLANILHA ORCAMENTARIA'!$A$4:$H$2984</definedName>
    <definedName name="_xlnm.Print_Area" localSheetId="1">'PLANILHA ORCAMENTARIA'!$A$1:$H$2984</definedName>
    <definedName name="DadosExternos_1" localSheetId="0" hidden="1">'COMP - INS - O4210 - ORC6'!$A$1:$O$2398</definedName>
    <definedName name="_xlnm.Print_Titles" localSheetId="1">'PLANILHA ORCAMENTARIA'!$1:$4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21" i="1" l="1"/>
  <c r="G2422" i="1"/>
  <c r="G2438" i="1"/>
  <c r="G2442" i="1"/>
  <c r="G2708" i="1"/>
  <c r="G2718" i="1"/>
  <c r="G2721" i="1"/>
  <c r="G2730" i="1"/>
  <c r="G2739" i="1"/>
  <c r="G2963" i="1"/>
  <c r="G2975" i="1"/>
  <c r="G2976" i="1"/>
  <c r="K2982" i="1"/>
  <c r="K2981" i="1"/>
  <c r="K2980" i="1"/>
  <c r="K2979" i="1"/>
  <c r="K2978" i="1"/>
  <c r="K2977" i="1"/>
  <c r="K2976" i="1"/>
  <c r="K2975" i="1"/>
  <c r="K2973" i="1"/>
  <c r="K2972" i="1"/>
  <c r="K2971" i="1"/>
  <c r="K2970" i="1"/>
  <c r="K2969" i="1"/>
  <c r="K2968" i="1"/>
  <c r="G2968" i="1" s="1"/>
  <c r="K2965" i="1"/>
  <c r="K2964" i="1"/>
  <c r="G2964" i="1" s="1"/>
  <c r="K2963" i="1"/>
  <c r="K2962" i="1"/>
  <c r="K2961" i="1"/>
  <c r="K2960" i="1"/>
  <c r="K2959" i="1"/>
  <c r="K2958" i="1"/>
  <c r="K2943" i="1"/>
  <c r="K2942" i="1"/>
  <c r="K2941" i="1"/>
  <c r="K2940" i="1"/>
  <c r="K2743" i="1"/>
  <c r="K2742" i="1"/>
  <c r="K2741" i="1"/>
  <c r="K2740" i="1"/>
  <c r="K2739" i="1"/>
  <c r="K2737" i="1"/>
  <c r="K2736" i="1"/>
  <c r="K2735" i="1"/>
  <c r="K2734" i="1"/>
  <c r="K2733" i="1"/>
  <c r="K2732" i="1"/>
  <c r="K2731" i="1"/>
  <c r="K2730" i="1"/>
  <c r="K2729" i="1"/>
  <c r="K2728" i="1"/>
  <c r="K2726" i="1"/>
  <c r="K2725" i="1"/>
  <c r="K2724" i="1"/>
  <c r="K2723" i="1"/>
  <c r="K2722" i="1"/>
  <c r="K2721" i="1"/>
  <c r="K2720" i="1"/>
  <c r="K2719" i="1"/>
  <c r="K2718" i="1"/>
  <c r="K2717" i="1"/>
  <c r="K2716" i="1"/>
  <c r="K2714" i="1"/>
  <c r="K2713" i="1"/>
  <c r="K2712" i="1"/>
  <c r="K2711" i="1"/>
  <c r="K2710" i="1"/>
  <c r="K2709" i="1"/>
  <c r="K2708" i="1"/>
  <c r="K2707" i="1"/>
  <c r="K2706" i="1"/>
  <c r="K2651" i="1"/>
  <c r="K2650" i="1"/>
  <c r="K2622" i="1"/>
  <c r="K2456" i="1"/>
  <c r="K2455" i="1"/>
  <c r="K2453" i="1"/>
  <c r="K2452" i="1"/>
  <c r="G2452" i="1" s="1"/>
  <c r="K2445" i="1"/>
  <c r="K2444" i="1"/>
  <c r="K2442" i="1"/>
  <c r="K2441" i="1"/>
  <c r="K2439" i="1"/>
  <c r="K2438" i="1"/>
  <c r="K2437" i="1"/>
  <c r="K2436" i="1"/>
  <c r="K2435" i="1"/>
  <c r="K2434" i="1"/>
  <c r="K2433" i="1"/>
  <c r="G2433" i="1" s="1"/>
  <c r="K2432" i="1"/>
  <c r="K2431" i="1"/>
  <c r="K2430" i="1"/>
  <c r="K2429" i="1"/>
  <c r="K2427" i="1"/>
  <c r="K2426" i="1"/>
  <c r="K2425" i="1"/>
  <c r="K2424" i="1"/>
  <c r="K2423" i="1"/>
  <c r="K2422" i="1"/>
  <c r="K2421" i="1"/>
  <c r="K2420" i="1"/>
  <c r="K2419" i="1"/>
  <c r="K2418" i="1"/>
  <c r="K2301" i="1"/>
  <c r="K2300" i="1"/>
  <c r="K2298" i="1"/>
  <c r="K2297" i="1"/>
  <c r="K2283" i="1"/>
  <c r="K2284" i="1"/>
  <c r="K2285" i="1"/>
  <c r="K2286" i="1"/>
  <c r="K2287" i="1"/>
  <c r="K2288" i="1"/>
  <c r="K2289" i="1"/>
  <c r="K2290" i="1"/>
  <c r="K2291" i="1"/>
  <c r="K2282" i="1"/>
  <c r="K2272" i="1"/>
  <c r="K2273" i="1"/>
  <c r="K2274" i="1"/>
  <c r="K2275" i="1"/>
  <c r="G2275" i="1" s="1"/>
  <c r="K2276" i="1"/>
  <c r="K2277" i="1"/>
  <c r="K2278" i="1"/>
  <c r="K2279" i="1"/>
  <c r="K2280" i="1"/>
  <c r="K2271" i="1"/>
  <c r="K2269" i="1"/>
  <c r="K2268" i="1"/>
  <c r="K2266" i="1"/>
  <c r="K2265" i="1"/>
  <c r="K2136" i="1"/>
  <c r="K2135" i="1"/>
  <c r="K2134" i="1"/>
  <c r="K2133" i="1"/>
  <c r="K2132" i="1"/>
  <c r="K2131" i="1"/>
  <c r="K2130" i="1"/>
  <c r="K2129" i="1"/>
  <c r="K2128" i="1"/>
  <c r="K2127" i="1"/>
  <c r="K2126" i="1"/>
  <c r="K1975" i="1"/>
  <c r="K1976" i="1"/>
  <c r="K1977" i="1"/>
  <c r="K1974" i="1"/>
  <c r="K1954" i="1"/>
  <c r="K1955" i="1"/>
  <c r="K1956" i="1"/>
  <c r="K1953" i="1"/>
  <c r="K1943" i="1"/>
  <c r="K1942" i="1"/>
  <c r="K1941" i="1"/>
  <c r="K1878" i="1"/>
  <c r="K1877" i="1"/>
  <c r="K1876" i="1"/>
  <c r="K1875" i="1"/>
  <c r="K1874" i="1"/>
  <c r="K1873" i="1"/>
  <c r="K1872" i="1"/>
  <c r="K1871" i="1"/>
  <c r="K1428" i="1"/>
  <c r="K1379" i="1"/>
  <c r="K1378" i="1"/>
  <c r="K1377" i="1"/>
  <c r="K1376" i="1"/>
  <c r="K1375" i="1"/>
  <c r="K1373" i="1"/>
  <c r="K1372" i="1"/>
  <c r="K1371" i="1"/>
  <c r="K1370" i="1"/>
  <c r="K1369" i="1"/>
  <c r="K1218" i="1"/>
  <c r="K1025" i="1"/>
  <c r="K1024" i="1"/>
  <c r="K1022" i="1"/>
  <c r="K1021" i="1"/>
  <c r="K935" i="1"/>
  <c r="K915" i="1"/>
  <c r="K895" i="1"/>
  <c r="K796" i="1"/>
  <c r="K777" i="1"/>
  <c r="K778" i="1"/>
  <c r="K779" i="1"/>
  <c r="K780" i="1"/>
  <c r="K776" i="1"/>
  <c r="K774" i="1"/>
  <c r="G774" i="1" s="1"/>
  <c r="K794" i="1"/>
  <c r="K793" i="1"/>
  <c r="K792" i="1"/>
  <c r="K791" i="1"/>
  <c r="K790" i="1"/>
  <c r="K788" i="1"/>
  <c r="K787" i="1"/>
  <c r="K786" i="1"/>
  <c r="K785" i="1"/>
  <c r="K784" i="1"/>
  <c r="K783" i="1"/>
  <c r="K782" i="1"/>
  <c r="K772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582" i="1"/>
  <c r="K581" i="1"/>
  <c r="K580" i="1"/>
  <c r="K579" i="1"/>
  <c r="K578" i="1"/>
  <c r="K577" i="1"/>
  <c r="K576" i="1"/>
  <c r="K575" i="1"/>
  <c r="K573" i="1"/>
  <c r="K572" i="1"/>
  <c r="K571" i="1"/>
  <c r="K570" i="1"/>
  <c r="K569" i="1"/>
  <c r="K568" i="1"/>
  <c r="K567" i="1"/>
  <c r="K566" i="1"/>
  <c r="K397" i="1"/>
  <c r="K398" i="1"/>
  <c r="K399" i="1"/>
  <c r="K400" i="1"/>
  <c r="K401" i="1"/>
  <c r="K402" i="1"/>
  <c r="K403" i="1"/>
  <c r="K404" i="1"/>
  <c r="K396" i="1"/>
  <c r="K372" i="1"/>
  <c r="K371" i="1"/>
  <c r="K370" i="1"/>
  <c r="K309" i="1"/>
  <c r="K307" i="1"/>
  <c r="K209" i="1"/>
  <c r="K120" i="1"/>
  <c r="K119" i="1"/>
  <c r="K117" i="1"/>
  <c r="K76" i="1"/>
  <c r="K74" i="1"/>
  <c r="K73" i="1"/>
  <c r="K55" i="1"/>
  <c r="K53" i="1"/>
  <c r="K52" i="1"/>
  <c r="G2972" i="1" l="1"/>
  <c r="G2960" i="1"/>
  <c r="G2732" i="1"/>
  <c r="G2431" i="1"/>
  <c r="G2419" i="1"/>
  <c r="G2965" i="1"/>
  <c r="G402" i="1"/>
  <c r="G2132" i="1"/>
  <c r="G2977" i="1"/>
  <c r="G582" i="1"/>
  <c r="G786" i="1"/>
  <c r="G2133" i="1"/>
  <c r="G2290" i="1"/>
  <c r="G2456" i="1"/>
  <c r="G2978" i="1"/>
  <c r="G2971" i="1"/>
  <c r="G120" i="1"/>
  <c r="G570" i="1"/>
  <c r="G776" i="1"/>
  <c r="G1977" i="1"/>
  <c r="G2712" i="1"/>
  <c r="G2734" i="1"/>
  <c r="G573" i="1"/>
  <c r="G399" i="1"/>
  <c r="G1941" i="1"/>
  <c r="G2943" i="1"/>
  <c r="G53" i="1"/>
  <c r="G1218" i="1"/>
  <c r="G634" i="1"/>
  <c r="G2714" i="1"/>
  <c r="G2706" i="1"/>
  <c r="G2728" i="1"/>
  <c r="G2959" i="1"/>
  <c r="G2982" i="1"/>
  <c r="G2961" i="1"/>
  <c r="G2736" i="1"/>
  <c r="G52" i="1"/>
  <c r="G787" i="1"/>
  <c r="G1878" i="1"/>
  <c r="G2134" i="1"/>
  <c r="G2289" i="1"/>
  <c r="G2427" i="1"/>
  <c r="G2942" i="1"/>
  <c r="G569" i="1"/>
  <c r="G773" i="1"/>
  <c r="G2301" i="1"/>
  <c r="G2719" i="1"/>
  <c r="G2741" i="1"/>
  <c r="G2726" i="1"/>
  <c r="G2622" i="1"/>
  <c r="G404" i="1"/>
  <c r="G783" i="1"/>
  <c r="G2130" i="1"/>
  <c r="G2272" i="1"/>
  <c r="G2743" i="1"/>
  <c r="G2979" i="1"/>
  <c r="G2297" i="1"/>
  <c r="G398" i="1"/>
  <c r="G633" i="1"/>
  <c r="G790" i="1"/>
  <c r="G1369" i="1"/>
  <c r="G2287" i="1"/>
  <c r="G2981" i="1"/>
  <c r="G636" i="1"/>
  <c r="G117" i="1"/>
  <c r="G637" i="1"/>
  <c r="G794" i="1"/>
  <c r="G1955" i="1"/>
  <c r="G2434" i="1"/>
  <c r="G2709" i="1"/>
  <c r="G2973" i="1"/>
  <c r="G2740" i="1"/>
  <c r="G2298" i="1"/>
  <c r="G2436" i="1"/>
  <c r="G2711" i="1"/>
  <c r="G2735" i="1"/>
  <c r="G2280" i="1"/>
  <c r="G2713" i="1"/>
  <c r="G2958" i="1"/>
  <c r="G2420" i="1"/>
  <c r="G2720" i="1"/>
  <c r="G2717" i="1"/>
  <c r="G577" i="1"/>
  <c r="G1872" i="1"/>
  <c r="G2128" i="1"/>
  <c r="G2274" i="1"/>
  <c r="G2445" i="1"/>
  <c r="G644" i="1"/>
  <c r="G796" i="1"/>
  <c r="G915" i="1"/>
  <c r="G2129" i="1"/>
  <c r="G2273" i="1"/>
  <c r="G403" i="1"/>
  <c r="G784" i="1"/>
  <c r="G2282" i="1"/>
  <c r="G2424" i="1"/>
  <c r="G2453" i="1"/>
  <c r="G2451" i="1" s="1"/>
  <c r="G2423" i="1"/>
  <c r="G2268" i="1"/>
  <c r="G1372" i="1"/>
  <c r="G2284" i="1"/>
  <c r="K12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38" i="1"/>
  <c r="K2937" i="1"/>
  <c r="K2936" i="1"/>
  <c r="K2935" i="1"/>
  <c r="K2934" i="1"/>
  <c r="K2933" i="1"/>
  <c r="K2932" i="1"/>
  <c r="K2931" i="1"/>
  <c r="K2930" i="1"/>
  <c r="K2929" i="1"/>
  <c r="K2928" i="1"/>
  <c r="K2926" i="1"/>
  <c r="K2925" i="1"/>
  <c r="K2924" i="1"/>
  <c r="K2923" i="1"/>
  <c r="K2922" i="1"/>
  <c r="K2921" i="1"/>
  <c r="K2920" i="1"/>
  <c r="K2919" i="1"/>
  <c r="K2917" i="1"/>
  <c r="K2916" i="1"/>
  <c r="K2915" i="1"/>
  <c r="K2914" i="1"/>
  <c r="K2913" i="1"/>
  <c r="K2912" i="1"/>
  <c r="K2911" i="1"/>
  <c r="K2910" i="1"/>
  <c r="K2909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6" i="1"/>
  <c r="K2865" i="1"/>
  <c r="K2863" i="1"/>
  <c r="K2862" i="1"/>
  <c r="K2861" i="1"/>
  <c r="K2860" i="1"/>
  <c r="K2859" i="1"/>
  <c r="K2857" i="1"/>
  <c r="K2856" i="1"/>
  <c r="K2855" i="1"/>
  <c r="K2854" i="1"/>
  <c r="K2853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7" i="1"/>
  <c r="K2836" i="1"/>
  <c r="K2835" i="1"/>
  <c r="K2834" i="1"/>
  <c r="K2833" i="1"/>
  <c r="K2832" i="1"/>
  <c r="K2831" i="1"/>
  <c r="K2830" i="1"/>
  <c r="K2829" i="1"/>
  <c r="K2828" i="1"/>
  <c r="K2826" i="1"/>
  <c r="K2825" i="1"/>
  <c r="K2824" i="1"/>
  <c r="K2823" i="1"/>
  <c r="K2822" i="1"/>
  <c r="K2821" i="1"/>
  <c r="K2820" i="1"/>
  <c r="K2819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04" i="1"/>
  <c r="K2703" i="1"/>
  <c r="K2702" i="1"/>
  <c r="K2701" i="1"/>
  <c r="K2700" i="1"/>
  <c r="K2699" i="1"/>
  <c r="K2698" i="1"/>
  <c r="K2696" i="1"/>
  <c r="K2695" i="1"/>
  <c r="K2694" i="1"/>
  <c r="K2693" i="1"/>
  <c r="K2692" i="1"/>
  <c r="K2691" i="1"/>
  <c r="K2690" i="1"/>
  <c r="K2689" i="1"/>
  <c r="K2688" i="1"/>
  <c r="K2687" i="1"/>
  <c r="K2686" i="1"/>
  <c r="K2684" i="1"/>
  <c r="K2683" i="1"/>
  <c r="K2682" i="1"/>
  <c r="K2681" i="1"/>
  <c r="K2680" i="1"/>
  <c r="K2679" i="1"/>
  <c r="K2678" i="1"/>
  <c r="K2677" i="1"/>
  <c r="K2676" i="1"/>
  <c r="K2675" i="1"/>
  <c r="K2674" i="1"/>
  <c r="K2672" i="1"/>
  <c r="G2672" i="1" s="1"/>
  <c r="K2670" i="1"/>
  <c r="K2669" i="1"/>
  <c r="K2668" i="1"/>
  <c r="K2667" i="1"/>
  <c r="K2666" i="1"/>
  <c r="K2665" i="1"/>
  <c r="K2663" i="1"/>
  <c r="K2662" i="1"/>
  <c r="K2661" i="1"/>
  <c r="K2660" i="1"/>
  <c r="K2659" i="1"/>
  <c r="K2658" i="1"/>
  <c r="K2655" i="1"/>
  <c r="K2654" i="1"/>
  <c r="K2648" i="1"/>
  <c r="K2647" i="1"/>
  <c r="K2644" i="1"/>
  <c r="K2643" i="1"/>
  <c r="K2642" i="1"/>
  <c r="K2641" i="1"/>
  <c r="K2640" i="1"/>
  <c r="K2639" i="1"/>
  <c r="K2638" i="1"/>
  <c r="K2637" i="1"/>
  <c r="K2636" i="1"/>
  <c r="K2635" i="1"/>
  <c r="K2634" i="1"/>
  <c r="K2632" i="1"/>
  <c r="K2631" i="1"/>
  <c r="K2630" i="1"/>
  <c r="K2629" i="1"/>
  <c r="K2628" i="1"/>
  <c r="K2627" i="1"/>
  <c r="K2626" i="1"/>
  <c r="K2625" i="1"/>
  <c r="K2624" i="1"/>
  <c r="K2621" i="1"/>
  <c r="K2620" i="1"/>
  <c r="K2619" i="1"/>
  <c r="K2618" i="1"/>
  <c r="K2617" i="1"/>
  <c r="K2616" i="1"/>
  <c r="K2615" i="1"/>
  <c r="K2614" i="1"/>
  <c r="K2613" i="1"/>
  <c r="K2612" i="1"/>
  <c r="K2610" i="1"/>
  <c r="K2606" i="1"/>
  <c r="K2603" i="1"/>
  <c r="K2602" i="1"/>
  <c r="K2601" i="1"/>
  <c r="K2598" i="1"/>
  <c r="K2593" i="1"/>
  <c r="K2591" i="1"/>
  <c r="K2589" i="1"/>
  <c r="K2585" i="1"/>
  <c r="K2582" i="1"/>
  <c r="K2580" i="1"/>
  <c r="K2576" i="1"/>
  <c r="K2575" i="1"/>
  <c r="K2570" i="1"/>
  <c r="K2569" i="1"/>
  <c r="K2566" i="1"/>
  <c r="K2565" i="1"/>
  <c r="K2561" i="1"/>
  <c r="K2560" i="1"/>
  <c r="K2559" i="1"/>
  <c r="K2556" i="1"/>
  <c r="K2555" i="1"/>
  <c r="K2554" i="1"/>
  <c r="K2551" i="1"/>
  <c r="K2550" i="1"/>
  <c r="K2548" i="1"/>
  <c r="K2547" i="1"/>
  <c r="K2546" i="1"/>
  <c r="K2542" i="1"/>
  <c r="K2541" i="1"/>
  <c r="K2538" i="1"/>
  <c r="K2537" i="1"/>
  <c r="K2534" i="1"/>
  <c r="K2533" i="1"/>
  <c r="K2532" i="1"/>
  <c r="K2531" i="1"/>
  <c r="K2528" i="1"/>
  <c r="K2527" i="1"/>
  <c r="K2526" i="1"/>
  <c r="K2525" i="1"/>
  <c r="K2522" i="1"/>
  <c r="K2521" i="1"/>
  <c r="K2518" i="1"/>
  <c r="K2517" i="1"/>
  <c r="K2514" i="1"/>
  <c r="K2513" i="1"/>
  <c r="K2512" i="1"/>
  <c r="K2511" i="1"/>
  <c r="K2508" i="1"/>
  <c r="K2507" i="1"/>
  <c r="K2506" i="1"/>
  <c r="K2505" i="1"/>
  <c r="K2502" i="1"/>
  <c r="K2501" i="1"/>
  <c r="K2498" i="1"/>
  <c r="K2497" i="1"/>
  <c r="K2496" i="1"/>
  <c r="K2495" i="1"/>
  <c r="K2492" i="1"/>
  <c r="K2491" i="1"/>
  <c r="K2490" i="1"/>
  <c r="K2487" i="1"/>
  <c r="K2486" i="1"/>
  <c r="K2485" i="1"/>
  <c r="K2484" i="1"/>
  <c r="K2481" i="1"/>
  <c r="K2480" i="1"/>
  <c r="K2479" i="1"/>
  <c r="K2478" i="1"/>
  <c r="K2477" i="1"/>
  <c r="K2474" i="1"/>
  <c r="K2473" i="1"/>
  <c r="K2472" i="1"/>
  <c r="K2471" i="1"/>
  <c r="K2467" i="1"/>
  <c r="K2466" i="1"/>
  <c r="K2464" i="1"/>
  <c r="K2463" i="1"/>
  <c r="K2461" i="1"/>
  <c r="K2460" i="1"/>
  <c r="K2450" i="1"/>
  <c r="K2449" i="1"/>
  <c r="K2413" i="1"/>
  <c r="K2412" i="1"/>
  <c r="K2411" i="1"/>
  <c r="K2410" i="1"/>
  <c r="K2409" i="1"/>
  <c r="K2408" i="1"/>
  <c r="K2407" i="1"/>
  <c r="K2406" i="1"/>
  <c r="K2404" i="1"/>
  <c r="K2403" i="1"/>
  <c r="K2402" i="1"/>
  <c r="K2401" i="1"/>
  <c r="K2400" i="1"/>
  <c r="K2399" i="1"/>
  <c r="K2398" i="1"/>
  <c r="K2397" i="1"/>
  <c r="K2395" i="1"/>
  <c r="K2394" i="1"/>
  <c r="K2393" i="1"/>
  <c r="K2392" i="1"/>
  <c r="K2391" i="1"/>
  <c r="K2390" i="1"/>
  <c r="K2389" i="1"/>
  <c r="K2388" i="1"/>
  <c r="K2386" i="1"/>
  <c r="K2385" i="1"/>
  <c r="K2384" i="1"/>
  <c r="K2383" i="1"/>
  <c r="K2382" i="1"/>
  <c r="K2381" i="1"/>
  <c r="K2380" i="1"/>
  <c r="K2379" i="1"/>
  <c r="K2377" i="1"/>
  <c r="K2376" i="1"/>
  <c r="K2375" i="1"/>
  <c r="K2374" i="1"/>
  <c r="K2373" i="1"/>
  <c r="K2372" i="1"/>
  <c r="K2371" i="1"/>
  <c r="K2370" i="1"/>
  <c r="K2368" i="1"/>
  <c r="K2367" i="1"/>
  <c r="K2366" i="1"/>
  <c r="K2365" i="1"/>
  <c r="K2364" i="1"/>
  <c r="K2363" i="1"/>
  <c r="K2362" i="1"/>
  <c r="K2360" i="1"/>
  <c r="K2359" i="1"/>
  <c r="K2358" i="1"/>
  <c r="K2357" i="1"/>
  <c r="K2356" i="1"/>
  <c r="K2355" i="1"/>
  <c r="K2354" i="1"/>
  <c r="K2353" i="1"/>
  <c r="K2351" i="1"/>
  <c r="K2350" i="1"/>
  <c r="K2349" i="1"/>
  <c r="K2348" i="1"/>
  <c r="K2347" i="1"/>
  <c r="K2346" i="1"/>
  <c r="K2345" i="1"/>
  <c r="K2344" i="1"/>
  <c r="K2342" i="1"/>
  <c r="K2341" i="1"/>
  <c r="K2340" i="1"/>
  <c r="K2339" i="1"/>
  <c r="K2338" i="1"/>
  <c r="K2337" i="1"/>
  <c r="K2336" i="1"/>
  <c r="K2335" i="1"/>
  <c r="K2333" i="1"/>
  <c r="K2332" i="1"/>
  <c r="K2331" i="1"/>
  <c r="K2330" i="1"/>
  <c r="K2329" i="1"/>
  <c r="K2328" i="1"/>
  <c r="K2327" i="1"/>
  <c r="K2326" i="1"/>
  <c r="K2324" i="1"/>
  <c r="K2323" i="1"/>
  <c r="K2322" i="1"/>
  <c r="K2321" i="1"/>
  <c r="K2320" i="1"/>
  <c r="K2319" i="1"/>
  <c r="K2318" i="1"/>
  <c r="K2314" i="1"/>
  <c r="K2313" i="1"/>
  <c r="K2311" i="1"/>
  <c r="K2310" i="1"/>
  <c r="K2308" i="1"/>
  <c r="K2307" i="1"/>
  <c r="K2305" i="1"/>
  <c r="K2304" i="1"/>
  <c r="K2295" i="1"/>
  <c r="K2294" i="1"/>
  <c r="K2263" i="1"/>
  <c r="K2262" i="1"/>
  <c r="K2260" i="1"/>
  <c r="K2259" i="1"/>
  <c r="K2254" i="1"/>
  <c r="K2253" i="1"/>
  <c r="K2252" i="1"/>
  <c r="K2251" i="1"/>
  <c r="K2250" i="1"/>
  <c r="K2249" i="1"/>
  <c r="K2248" i="1"/>
  <c r="K2245" i="1"/>
  <c r="K2244" i="1"/>
  <c r="K2243" i="1"/>
  <c r="K2242" i="1"/>
  <c r="K2241" i="1"/>
  <c r="K2240" i="1"/>
  <c r="K2238" i="1"/>
  <c r="K2237" i="1"/>
  <c r="K2236" i="1"/>
  <c r="K2235" i="1"/>
  <c r="K2234" i="1"/>
  <c r="K2232" i="1"/>
  <c r="K2231" i="1"/>
  <c r="K2230" i="1"/>
  <c r="K2229" i="1"/>
  <c r="K2228" i="1"/>
  <c r="K2226" i="1"/>
  <c r="K2225" i="1"/>
  <c r="K2224" i="1"/>
  <c r="K2223" i="1"/>
  <c r="K2222" i="1"/>
  <c r="K2220" i="1"/>
  <c r="K2219" i="1"/>
  <c r="K2218" i="1"/>
  <c r="K2217" i="1"/>
  <c r="K2216" i="1"/>
  <c r="K2214" i="1"/>
  <c r="K2213" i="1"/>
  <c r="K2212" i="1"/>
  <c r="K2211" i="1"/>
  <c r="K2210" i="1"/>
  <c r="K2207" i="1"/>
  <c r="K2206" i="1"/>
  <c r="K2205" i="1"/>
  <c r="K2204" i="1"/>
  <c r="K2203" i="1"/>
  <c r="K2202" i="1"/>
  <c r="K2200" i="1"/>
  <c r="K2199" i="1"/>
  <c r="K2198" i="1"/>
  <c r="K2197" i="1"/>
  <c r="K2196" i="1"/>
  <c r="K2194" i="1"/>
  <c r="K2193" i="1"/>
  <c r="K2192" i="1"/>
  <c r="K2191" i="1"/>
  <c r="K2190" i="1"/>
  <c r="K2189" i="1"/>
  <c r="K2187" i="1"/>
  <c r="K2186" i="1"/>
  <c r="K2185" i="1"/>
  <c r="K2184" i="1"/>
  <c r="K2183" i="1"/>
  <c r="K2181" i="1"/>
  <c r="K2180" i="1"/>
  <c r="K2179" i="1"/>
  <c r="K2178" i="1"/>
  <c r="K2177" i="1"/>
  <c r="K2175" i="1"/>
  <c r="K2174" i="1"/>
  <c r="K2173" i="1"/>
  <c r="K2172" i="1"/>
  <c r="K2171" i="1"/>
  <c r="K2169" i="1"/>
  <c r="K2168" i="1"/>
  <c r="K2167" i="1"/>
  <c r="K2166" i="1"/>
  <c r="K2165" i="1"/>
  <c r="K2163" i="1"/>
  <c r="K2162" i="1"/>
  <c r="K2161" i="1"/>
  <c r="K2160" i="1"/>
  <c r="K2159" i="1"/>
  <c r="K2157" i="1"/>
  <c r="K2156" i="1"/>
  <c r="K2155" i="1"/>
  <c r="K2154" i="1"/>
  <c r="K2153" i="1"/>
  <c r="K2152" i="1"/>
  <c r="K2150" i="1"/>
  <c r="K2149" i="1"/>
  <c r="K2148" i="1"/>
  <c r="K2147" i="1"/>
  <c r="K2146" i="1"/>
  <c r="K2144" i="1"/>
  <c r="K2143" i="1"/>
  <c r="K2142" i="1"/>
  <c r="K2141" i="1"/>
  <c r="K2140" i="1"/>
  <c r="K2124" i="1"/>
  <c r="K2123" i="1"/>
  <c r="K2122" i="1"/>
  <c r="K2121" i="1"/>
  <c r="K2120" i="1"/>
  <c r="K2119" i="1"/>
  <c r="K2118" i="1"/>
  <c r="K2117" i="1"/>
  <c r="K2116" i="1"/>
  <c r="K2115" i="1"/>
  <c r="K2113" i="1"/>
  <c r="K2112" i="1"/>
  <c r="K2111" i="1"/>
  <c r="K2110" i="1"/>
  <c r="K2109" i="1"/>
  <c r="K2108" i="1"/>
  <c r="K2107" i="1"/>
  <c r="K2106" i="1"/>
  <c r="K2104" i="1"/>
  <c r="K2103" i="1"/>
  <c r="K2102" i="1"/>
  <c r="K2101" i="1"/>
  <c r="K2100" i="1"/>
  <c r="K2099" i="1"/>
  <c r="K2098" i="1"/>
  <c r="K2097" i="1"/>
  <c r="K2095" i="1"/>
  <c r="K2094" i="1"/>
  <c r="K2093" i="1"/>
  <c r="K2092" i="1"/>
  <c r="K2091" i="1"/>
  <c r="K2090" i="1"/>
  <c r="K2089" i="1"/>
  <c r="K2088" i="1"/>
  <c r="K2087" i="1"/>
  <c r="K2086" i="1"/>
  <c r="K2085" i="1"/>
  <c r="K2083" i="1"/>
  <c r="K2082" i="1"/>
  <c r="K2081" i="1"/>
  <c r="K2080" i="1"/>
  <c r="K2079" i="1"/>
  <c r="K2078" i="1"/>
  <c r="K2077" i="1"/>
  <c r="K2076" i="1"/>
  <c r="K2075" i="1"/>
  <c r="K2074" i="1"/>
  <c r="K2072" i="1"/>
  <c r="K2071" i="1"/>
  <c r="K2070" i="1"/>
  <c r="K2069" i="1"/>
  <c r="K2068" i="1"/>
  <c r="K2067" i="1"/>
  <c r="K2066" i="1"/>
  <c r="K2065" i="1"/>
  <c r="K2064" i="1"/>
  <c r="K2063" i="1"/>
  <c r="K2061" i="1"/>
  <c r="K2060" i="1"/>
  <c r="K2059" i="1"/>
  <c r="K2058" i="1"/>
  <c r="K2057" i="1"/>
  <c r="K2056" i="1"/>
  <c r="K2055" i="1"/>
  <c r="K2054" i="1"/>
  <c r="K2052" i="1"/>
  <c r="K2051" i="1"/>
  <c r="K2050" i="1"/>
  <c r="K2049" i="1"/>
  <c r="K2048" i="1"/>
  <c r="K2047" i="1"/>
  <c r="K2046" i="1"/>
  <c r="K2045" i="1"/>
  <c r="K2043" i="1"/>
  <c r="K2042" i="1"/>
  <c r="K2041" i="1"/>
  <c r="K2040" i="1"/>
  <c r="K2039" i="1"/>
  <c r="K2038" i="1"/>
  <c r="K2037" i="1"/>
  <c r="K2036" i="1"/>
  <c r="K2035" i="1"/>
  <c r="K2034" i="1"/>
  <c r="K2033" i="1"/>
  <c r="K2031" i="1"/>
  <c r="K2030" i="1"/>
  <c r="K2029" i="1"/>
  <c r="K2028" i="1"/>
  <c r="K2027" i="1"/>
  <c r="K2026" i="1"/>
  <c r="K2025" i="1"/>
  <c r="K2024" i="1"/>
  <c r="K2023" i="1"/>
  <c r="K2022" i="1"/>
  <c r="K2021" i="1"/>
  <c r="K2019" i="1"/>
  <c r="K2018" i="1"/>
  <c r="K2017" i="1"/>
  <c r="K2016" i="1"/>
  <c r="K2015" i="1"/>
  <c r="K2014" i="1"/>
  <c r="K2013" i="1"/>
  <c r="K2012" i="1"/>
  <c r="K2011" i="1"/>
  <c r="K2010" i="1"/>
  <c r="K2009" i="1"/>
  <c r="K2007" i="1"/>
  <c r="K2006" i="1"/>
  <c r="K2005" i="1"/>
  <c r="K2004" i="1"/>
  <c r="K2003" i="1"/>
  <c r="K2002" i="1"/>
  <c r="K2001" i="1"/>
  <c r="K2000" i="1"/>
  <c r="K1999" i="1"/>
  <c r="K1998" i="1"/>
  <c r="K1997" i="1"/>
  <c r="K1995" i="1"/>
  <c r="K1994" i="1"/>
  <c r="K1993" i="1"/>
  <c r="K1992" i="1"/>
  <c r="K1991" i="1"/>
  <c r="K1990" i="1"/>
  <c r="K1989" i="1"/>
  <c r="K1988" i="1"/>
  <c r="K1986" i="1"/>
  <c r="K1985" i="1"/>
  <c r="K1984" i="1"/>
  <c r="K1983" i="1"/>
  <c r="K1982" i="1"/>
  <c r="K1981" i="1"/>
  <c r="K1980" i="1"/>
  <c r="K1979" i="1"/>
  <c r="K1973" i="1"/>
  <c r="K1972" i="1"/>
  <c r="K1971" i="1"/>
  <c r="K1970" i="1"/>
  <c r="K1969" i="1"/>
  <c r="K1968" i="1"/>
  <c r="K1967" i="1"/>
  <c r="K1965" i="1"/>
  <c r="K1964" i="1"/>
  <c r="K1963" i="1"/>
  <c r="K1962" i="1"/>
  <c r="K1961" i="1"/>
  <c r="K1960" i="1"/>
  <c r="K1959" i="1"/>
  <c r="K1958" i="1"/>
  <c r="K1952" i="1"/>
  <c r="K1951" i="1"/>
  <c r="K1950" i="1"/>
  <c r="K1949" i="1"/>
  <c r="K1948" i="1"/>
  <c r="K1947" i="1"/>
  <c r="K1946" i="1"/>
  <c r="K1945" i="1"/>
  <c r="K1940" i="1"/>
  <c r="K1939" i="1"/>
  <c r="K1938" i="1"/>
  <c r="K1937" i="1"/>
  <c r="K1936" i="1"/>
  <c r="K1935" i="1"/>
  <c r="K1934" i="1"/>
  <c r="K1933" i="1"/>
  <c r="K1931" i="1"/>
  <c r="K1930" i="1"/>
  <c r="K1929" i="1"/>
  <c r="K1928" i="1"/>
  <c r="K1927" i="1"/>
  <c r="K1926" i="1"/>
  <c r="K1925" i="1"/>
  <c r="K1924" i="1"/>
  <c r="K1922" i="1"/>
  <c r="K1921" i="1"/>
  <c r="K1920" i="1"/>
  <c r="K1919" i="1"/>
  <c r="K1918" i="1"/>
  <c r="K1917" i="1"/>
  <c r="K1916" i="1"/>
  <c r="K1915" i="1"/>
  <c r="K1913" i="1"/>
  <c r="K1912" i="1"/>
  <c r="K1911" i="1"/>
  <c r="K1910" i="1"/>
  <c r="K1909" i="1"/>
  <c r="K1908" i="1"/>
  <c r="K1907" i="1"/>
  <c r="K1906" i="1"/>
  <c r="K1904" i="1"/>
  <c r="K1903" i="1"/>
  <c r="K1902" i="1"/>
  <c r="K1901" i="1"/>
  <c r="K1900" i="1"/>
  <c r="K1899" i="1"/>
  <c r="K1898" i="1"/>
  <c r="K1897" i="1"/>
  <c r="K1895" i="1"/>
  <c r="K1894" i="1"/>
  <c r="K1893" i="1"/>
  <c r="K1892" i="1"/>
  <c r="K1891" i="1"/>
  <c r="K1890" i="1"/>
  <c r="K1889" i="1"/>
  <c r="K1888" i="1"/>
  <c r="K1885" i="1"/>
  <c r="K1884" i="1"/>
  <c r="K1882" i="1"/>
  <c r="K1881" i="1"/>
  <c r="K1869" i="1"/>
  <c r="K1868" i="1"/>
  <c r="K1867" i="1"/>
  <c r="K1866" i="1"/>
  <c r="K1865" i="1"/>
  <c r="K1864" i="1"/>
  <c r="K1863" i="1"/>
  <c r="K1862" i="1"/>
  <c r="K1861" i="1"/>
  <c r="K1860" i="1"/>
  <c r="K1858" i="1"/>
  <c r="K1857" i="1"/>
  <c r="K1856" i="1"/>
  <c r="K1855" i="1"/>
  <c r="K1854" i="1"/>
  <c r="K1853" i="1"/>
  <c r="K1852" i="1"/>
  <c r="K1851" i="1"/>
  <c r="K1850" i="1"/>
  <c r="K1849" i="1"/>
  <c r="K1847" i="1"/>
  <c r="K1846" i="1"/>
  <c r="K1845" i="1"/>
  <c r="K1844" i="1"/>
  <c r="K1843" i="1"/>
  <c r="K1842" i="1"/>
  <c r="K1841" i="1"/>
  <c r="K1840" i="1"/>
  <c r="K1839" i="1"/>
  <c r="K1838" i="1"/>
  <c r="K1836" i="1"/>
  <c r="K1835" i="1"/>
  <c r="K1834" i="1"/>
  <c r="K1833" i="1"/>
  <c r="K1832" i="1"/>
  <c r="K1831" i="1"/>
  <c r="K1830" i="1"/>
  <c r="K1828" i="1"/>
  <c r="K1827" i="1"/>
  <c r="K1826" i="1"/>
  <c r="K1825" i="1"/>
  <c r="K1824" i="1"/>
  <c r="K1823" i="1"/>
  <c r="K1822" i="1"/>
  <c r="K1821" i="1"/>
  <c r="K1820" i="1"/>
  <c r="K1819" i="1"/>
  <c r="K1816" i="1"/>
  <c r="K1815" i="1"/>
  <c r="K1814" i="1"/>
  <c r="K1813" i="1"/>
  <c r="K1812" i="1"/>
  <c r="K1811" i="1"/>
  <c r="K1810" i="1"/>
  <c r="K1809" i="1"/>
  <c r="K1808" i="1"/>
  <c r="K1807" i="1"/>
  <c r="K1806" i="1"/>
  <c r="K1804" i="1"/>
  <c r="K1803" i="1"/>
  <c r="K1802" i="1"/>
  <c r="K1801" i="1"/>
  <c r="K1800" i="1"/>
  <c r="K1799" i="1"/>
  <c r="K1798" i="1"/>
  <c r="K1797" i="1"/>
  <c r="K1796" i="1"/>
  <c r="K1795" i="1"/>
  <c r="K1794" i="1"/>
  <c r="K1792" i="1"/>
  <c r="K1791" i="1"/>
  <c r="K1790" i="1"/>
  <c r="K1789" i="1"/>
  <c r="K1788" i="1"/>
  <c r="K1787" i="1"/>
  <c r="K1786" i="1"/>
  <c r="K1785" i="1"/>
  <c r="K1784" i="1"/>
  <c r="K1782" i="1"/>
  <c r="K1781" i="1"/>
  <c r="K1780" i="1"/>
  <c r="K1779" i="1"/>
  <c r="K1778" i="1"/>
  <c r="K1777" i="1"/>
  <c r="K1776" i="1"/>
  <c r="K1775" i="1"/>
  <c r="K1774" i="1"/>
  <c r="K1770" i="1"/>
  <c r="K1769" i="1"/>
  <c r="K1768" i="1"/>
  <c r="K1767" i="1"/>
  <c r="K1764" i="1"/>
  <c r="K1763" i="1"/>
  <c r="K1762" i="1"/>
  <c r="K1761" i="1"/>
  <c r="K1760" i="1"/>
  <c r="K1759" i="1"/>
  <c r="K1757" i="1"/>
  <c r="K1756" i="1"/>
  <c r="K1755" i="1"/>
  <c r="K1754" i="1"/>
  <c r="K1753" i="1"/>
  <c r="K1752" i="1"/>
  <c r="K1750" i="1"/>
  <c r="K1749" i="1"/>
  <c r="K1748" i="1"/>
  <c r="K1747" i="1"/>
  <c r="K1746" i="1"/>
  <c r="K1745" i="1"/>
  <c r="K1742" i="1"/>
  <c r="K1741" i="1"/>
  <c r="K1739" i="1"/>
  <c r="K1738" i="1"/>
  <c r="K1737" i="1"/>
  <c r="K1736" i="1"/>
  <c r="K1735" i="1"/>
  <c r="K1734" i="1"/>
  <c r="K1732" i="1"/>
  <c r="K1731" i="1"/>
  <c r="K1730" i="1"/>
  <c r="K1729" i="1"/>
  <c r="K1728" i="1"/>
  <c r="K1727" i="1"/>
  <c r="K1724" i="1"/>
  <c r="K1723" i="1"/>
  <c r="K1722" i="1"/>
  <c r="K1721" i="1"/>
  <c r="K1720" i="1"/>
  <c r="K1719" i="1"/>
  <c r="K1718" i="1"/>
  <c r="K1717" i="1"/>
  <c r="K1716" i="1"/>
  <c r="K1715" i="1"/>
  <c r="K1713" i="1"/>
  <c r="K1712" i="1"/>
  <c r="K1711" i="1"/>
  <c r="K1710" i="1"/>
  <c r="K1709" i="1"/>
  <c r="K1708" i="1"/>
  <c r="K1707" i="1"/>
  <c r="K1706" i="1"/>
  <c r="K1705" i="1"/>
  <c r="K1703" i="1"/>
  <c r="K1702" i="1"/>
  <c r="K1701" i="1"/>
  <c r="K1700" i="1"/>
  <c r="K1699" i="1"/>
  <c r="K1698" i="1"/>
  <c r="K1697" i="1"/>
  <c r="K1696" i="1"/>
  <c r="K1695" i="1"/>
  <c r="K1694" i="1"/>
  <c r="K1692" i="1"/>
  <c r="K1691" i="1"/>
  <c r="K1690" i="1"/>
  <c r="K1689" i="1"/>
  <c r="K1688" i="1"/>
  <c r="K1687" i="1"/>
  <c r="K1686" i="1"/>
  <c r="K1685" i="1"/>
  <c r="K1684" i="1"/>
  <c r="K1683" i="1"/>
  <c r="K1681" i="1"/>
  <c r="K1680" i="1"/>
  <c r="K1679" i="1"/>
  <c r="K1678" i="1"/>
  <c r="K1677" i="1"/>
  <c r="K1676" i="1"/>
  <c r="K1675" i="1"/>
  <c r="K1674" i="1"/>
  <c r="K1672" i="1"/>
  <c r="K1671" i="1"/>
  <c r="K1670" i="1"/>
  <c r="K1669" i="1"/>
  <c r="K1668" i="1"/>
  <c r="K1667" i="1"/>
  <c r="K1666" i="1"/>
  <c r="K1665" i="1"/>
  <c r="K1663" i="1"/>
  <c r="K1662" i="1"/>
  <c r="K1661" i="1"/>
  <c r="K1660" i="1"/>
  <c r="K1659" i="1"/>
  <c r="K1658" i="1"/>
  <c r="K1657" i="1"/>
  <c r="K1656" i="1"/>
  <c r="K1655" i="1"/>
  <c r="K1654" i="1"/>
  <c r="K1652" i="1"/>
  <c r="K1651" i="1"/>
  <c r="K1650" i="1"/>
  <c r="K1649" i="1"/>
  <c r="K1648" i="1"/>
  <c r="K1647" i="1"/>
  <c r="K1646" i="1"/>
  <c r="K1645" i="1"/>
  <c r="K1644" i="1"/>
  <c r="K1643" i="1"/>
  <c r="K1641" i="1"/>
  <c r="K1640" i="1"/>
  <c r="K1639" i="1"/>
  <c r="K1638" i="1"/>
  <c r="K1637" i="1"/>
  <c r="K1636" i="1"/>
  <c r="K1635" i="1"/>
  <c r="K1634" i="1"/>
  <c r="K1633" i="1"/>
  <c r="K1632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5" i="1"/>
  <c r="K1614" i="1"/>
  <c r="K1613" i="1"/>
  <c r="K1612" i="1"/>
  <c r="K1611" i="1"/>
  <c r="K1610" i="1"/>
  <c r="K1609" i="1"/>
  <c r="K1607" i="1"/>
  <c r="K1606" i="1"/>
  <c r="K1605" i="1"/>
  <c r="K1604" i="1"/>
  <c r="K1603" i="1"/>
  <c r="K1602" i="1"/>
  <c r="K1601" i="1"/>
  <c r="K1599" i="1"/>
  <c r="K1598" i="1"/>
  <c r="K1597" i="1"/>
  <c r="K1596" i="1"/>
  <c r="K1595" i="1"/>
  <c r="K1594" i="1"/>
  <c r="K1593" i="1"/>
  <c r="K1591" i="1"/>
  <c r="K1590" i="1"/>
  <c r="K1589" i="1"/>
  <c r="K1588" i="1"/>
  <c r="K1587" i="1"/>
  <c r="K1586" i="1"/>
  <c r="K1585" i="1"/>
  <c r="K1584" i="1"/>
  <c r="K1583" i="1"/>
  <c r="K1582" i="1"/>
  <c r="K1581" i="1"/>
  <c r="K1579" i="1"/>
  <c r="K1578" i="1"/>
  <c r="K1577" i="1"/>
  <c r="K1576" i="1"/>
  <c r="K1575" i="1"/>
  <c r="K1574" i="1"/>
  <c r="K1573" i="1"/>
  <c r="K1572" i="1"/>
  <c r="K1571" i="1"/>
  <c r="K1570" i="1"/>
  <c r="K1569" i="1"/>
  <c r="K1567" i="1"/>
  <c r="K1566" i="1"/>
  <c r="K1565" i="1"/>
  <c r="K1564" i="1"/>
  <c r="K1563" i="1"/>
  <c r="K1562" i="1"/>
  <c r="K1561" i="1"/>
  <c r="K1560" i="1"/>
  <c r="K1559" i="1"/>
  <c r="K1554" i="1"/>
  <c r="K1553" i="1"/>
  <c r="K1552" i="1"/>
  <c r="K1551" i="1"/>
  <c r="K1550" i="1"/>
  <c r="K1549" i="1"/>
  <c r="K1548" i="1"/>
  <c r="K1547" i="1"/>
  <c r="K1546" i="1"/>
  <c r="K1545" i="1"/>
  <c r="K1544" i="1"/>
  <c r="K1542" i="1"/>
  <c r="K1541" i="1"/>
  <c r="K1540" i="1"/>
  <c r="K1539" i="1"/>
  <c r="K1538" i="1"/>
  <c r="K1537" i="1"/>
  <c r="K1536" i="1"/>
  <c r="K1535" i="1"/>
  <c r="K1534" i="1"/>
  <c r="K1533" i="1"/>
  <c r="K1532" i="1"/>
  <c r="K1530" i="1"/>
  <c r="K1529" i="1"/>
  <c r="K1528" i="1"/>
  <c r="K1527" i="1"/>
  <c r="K1526" i="1"/>
  <c r="K1525" i="1"/>
  <c r="K1524" i="1"/>
  <c r="K1523" i="1"/>
  <c r="K1521" i="1"/>
  <c r="K1520" i="1"/>
  <c r="K1519" i="1"/>
  <c r="K1518" i="1"/>
  <c r="K1517" i="1"/>
  <c r="K1516" i="1"/>
  <c r="K1515" i="1"/>
  <c r="K1514" i="1"/>
  <c r="K1512" i="1"/>
  <c r="K1511" i="1"/>
  <c r="K1510" i="1"/>
  <c r="K1509" i="1"/>
  <c r="K1508" i="1"/>
  <c r="K1507" i="1"/>
  <c r="K1506" i="1"/>
  <c r="K1505" i="1"/>
  <c r="K1502" i="1"/>
  <c r="K1501" i="1"/>
  <c r="K1500" i="1"/>
  <c r="K1499" i="1"/>
  <c r="K1498" i="1"/>
  <c r="K1497" i="1"/>
  <c r="K1496" i="1"/>
  <c r="K1495" i="1"/>
  <c r="K1494" i="1"/>
  <c r="K1493" i="1"/>
  <c r="K1491" i="1"/>
  <c r="K1490" i="1"/>
  <c r="K1489" i="1"/>
  <c r="K1488" i="1"/>
  <c r="K1487" i="1"/>
  <c r="K1486" i="1"/>
  <c r="K1485" i="1"/>
  <c r="K1484" i="1"/>
  <c r="K1483" i="1"/>
  <c r="K1482" i="1"/>
  <c r="K1481" i="1"/>
  <c r="K1478" i="1"/>
  <c r="K1477" i="1"/>
  <c r="K1476" i="1"/>
  <c r="K1475" i="1"/>
  <c r="K1472" i="1"/>
  <c r="K1471" i="1"/>
  <c r="K1470" i="1"/>
  <c r="K1469" i="1"/>
  <c r="K1468" i="1"/>
  <c r="K1467" i="1"/>
  <c r="K1464" i="1"/>
  <c r="K1463" i="1"/>
  <c r="K1461" i="1"/>
  <c r="K1460" i="1"/>
  <c r="K1459" i="1"/>
  <c r="K1458" i="1"/>
  <c r="K1457" i="1"/>
  <c r="K1456" i="1"/>
  <c r="K1453" i="1"/>
  <c r="K1452" i="1"/>
  <c r="K1451" i="1"/>
  <c r="K1450" i="1"/>
  <c r="K1449" i="1"/>
  <c r="K1448" i="1"/>
  <c r="K1447" i="1"/>
  <c r="K1446" i="1"/>
  <c r="K1443" i="1"/>
  <c r="K1442" i="1"/>
  <c r="K1441" i="1"/>
  <c r="K1440" i="1"/>
  <c r="K1439" i="1"/>
  <c r="K1438" i="1"/>
  <c r="K1437" i="1"/>
  <c r="K1436" i="1"/>
  <c r="K1435" i="1"/>
  <c r="K1434" i="1"/>
  <c r="K1433" i="1"/>
  <c r="K1427" i="1"/>
  <c r="K1426" i="1"/>
  <c r="K1425" i="1"/>
  <c r="K1424" i="1"/>
  <c r="K1422" i="1"/>
  <c r="K1421" i="1"/>
  <c r="K1420" i="1"/>
  <c r="K1419" i="1"/>
  <c r="K1418" i="1"/>
  <c r="K1416" i="1"/>
  <c r="K1415" i="1"/>
  <c r="K1414" i="1"/>
  <c r="K1413" i="1"/>
  <c r="K1412" i="1"/>
  <c r="K1410" i="1"/>
  <c r="K1409" i="1"/>
  <c r="K1408" i="1"/>
  <c r="K1407" i="1"/>
  <c r="K1406" i="1"/>
  <c r="K1404" i="1"/>
  <c r="K1403" i="1"/>
  <c r="K1402" i="1"/>
  <c r="K1401" i="1"/>
  <c r="K1400" i="1"/>
  <c r="K1398" i="1"/>
  <c r="K1397" i="1"/>
  <c r="K1396" i="1"/>
  <c r="K1395" i="1"/>
  <c r="K1394" i="1"/>
  <c r="K1392" i="1"/>
  <c r="K1391" i="1"/>
  <c r="K1390" i="1"/>
  <c r="K1389" i="1"/>
  <c r="K1388" i="1"/>
  <c r="K1386" i="1"/>
  <c r="K1385" i="1"/>
  <c r="K1384" i="1"/>
  <c r="K1383" i="1"/>
  <c r="K1382" i="1"/>
  <c r="K1367" i="1"/>
  <c r="K1366" i="1"/>
  <c r="K1365" i="1"/>
  <c r="K1364" i="1"/>
  <c r="K1363" i="1"/>
  <c r="K1361" i="1"/>
  <c r="K1360" i="1"/>
  <c r="K1359" i="1"/>
  <c r="K1358" i="1"/>
  <c r="K1357" i="1"/>
  <c r="K1355" i="1"/>
  <c r="K1354" i="1"/>
  <c r="K1353" i="1"/>
  <c r="K1352" i="1"/>
  <c r="K1351" i="1"/>
  <c r="K1349" i="1"/>
  <c r="K1348" i="1"/>
  <c r="K1347" i="1"/>
  <c r="K1346" i="1"/>
  <c r="K1345" i="1"/>
  <c r="K1343" i="1"/>
  <c r="K1342" i="1"/>
  <c r="K1341" i="1"/>
  <c r="K1340" i="1"/>
  <c r="K1339" i="1"/>
  <c r="K1337" i="1"/>
  <c r="K1336" i="1"/>
  <c r="K1335" i="1"/>
  <c r="K1334" i="1"/>
  <c r="K1333" i="1"/>
  <c r="K1331" i="1"/>
  <c r="K1330" i="1"/>
  <c r="K1329" i="1"/>
  <c r="K1328" i="1"/>
  <c r="K1327" i="1"/>
  <c r="K1326" i="1"/>
  <c r="K1325" i="1"/>
  <c r="K1323" i="1"/>
  <c r="K1322" i="1"/>
  <c r="K1321" i="1"/>
  <c r="K1320" i="1"/>
  <c r="K1319" i="1"/>
  <c r="K1318" i="1"/>
  <c r="K1317" i="1"/>
  <c r="K1315" i="1"/>
  <c r="K1314" i="1"/>
  <c r="K1313" i="1"/>
  <c r="K1312" i="1"/>
  <c r="K1311" i="1"/>
  <c r="K1310" i="1"/>
  <c r="K1309" i="1"/>
  <c r="K1307" i="1"/>
  <c r="K1306" i="1"/>
  <c r="K1305" i="1"/>
  <c r="K1304" i="1"/>
  <c r="K1303" i="1"/>
  <c r="K1302" i="1"/>
  <c r="K1301" i="1"/>
  <c r="K1299" i="1"/>
  <c r="K1298" i="1"/>
  <c r="K1297" i="1"/>
  <c r="K1296" i="1"/>
  <c r="K1295" i="1"/>
  <c r="K1293" i="1"/>
  <c r="K1292" i="1"/>
  <c r="K1291" i="1"/>
  <c r="K1290" i="1"/>
  <c r="K1288" i="1"/>
  <c r="K1287" i="1"/>
  <c r="K1286" i="1"/>
  <c r="K1285" i="1"/>
  <c r="K1283" i="1"/>
  <c r="K1282" i="1"/>
  <c r="K1281" i="1"/>
  <c r="K1280" i="1"/>
  <c r="K1279" i="1"/>
  <c r="K1276" i="1"/>
  <c r="K1275" i="1"/>
  <c r="K1274" i="1"/>
  <c r="K1273" i="1"/>
  <c r="K1272" i="1"/>
  <c r="K1271" i="1"/>
  <c r="K1269" i="1"/>
  <c r="K1268" i="1"/>
  <c r="K1267" i="1"/>
  <c r="K1266" i="1"/>
  <c r="K1265" i="1"/>
  <c r="K1264" i="1"/>
  <c r="K1262" i="1"/>
  <c r="K1261" i="1"/>
  <c r="K1260" i="1"/>
  <c r="K1259" i="1"/>
  <c r="K1258" i="1"/>
  <c r="K1256" i="1"/>
  <c r="K1255" i="1"/>
  <c r="K1254" i="1"/>
  <c r="K1253" i="1"/>
  <c r="K1252" i="1"/>
  <c r="K1251" i="1"/>
  <c r="K1249" i="1"/>
  <c r="K1248" i="1"/>
  <c r="K1247" i="1"/>
  <c r="K1246" i="1"/>
  <c r="K1245" i="1"/>
  <c r="K1243" i="1"/>
  <c r="K1242" i="1"/>
  <c r="K1241" i="1"/>
  <c r="K1240" i="1"/>
  <c r="K1239" i="1"/>
  <c r="K1237" i="1"/>
  <c r="K1236" i="1"/>
  <c r="K1235" i="1"/>
  <c r="K1234" i="1"/>
  <c r="K1233" i="1"/>
  <c r="K1232" i="1"/>
  <c r="K1231" i="1"/>
  <c r="K1229" i="1"/>
  <c r="K1228" i="1"/>
  <c r="K1227" i="1"/>
  <c r="K1226" i="1"/>
  <c r="K1225" i="1"/>
  <c r="K1224" i="1"/>
  <c r="K1223" i="1"/>
  <c r="K1217" i="1"/>
  <c r="K1216" i="1"/>
  <c r="K1215" i="1"/>
  <c r="K1214" i="1"/>
  <c r="K1212" i="1"/>
  <c r="K1211" i="1"/>
  <c r="K1210" i="1"/>
  <c r="K1209" i="1"/>
  <c r="K1208" i="1"/>
  <c r="K1206" i="1"/>
  <c r="K1205" i="1"/>
  <c r="K1204" i="1"/>
  <c r="K1203" i="1"/>
  <c r="K1202" i="1"/>
  <c r="K1200" i="1"/>
  <c r="K1199" i="1"/>
  <c r="K1198" i="1"/>
  <c r="K1197" i="1"/>
  <c r="K1196" i="1"/>
  <c r="K1194" i="1"/>
  <c r="K1193" i="1"/>
  <c r="K1192" i="1"/>
  <c r="K1191" i="1"/>
  <c r="K1190" i="1"/>
  <c r="K1188" i="1"/>
  <c r="K1187" i="1"/>
  <c r="K1186" i="1"/>
  <c r="K1185" i="1"/>
  <c r="K1184" i="1"/>
  <c r="K1182" i="1"/>
  <c r="K1181" i="1"/>
  <c r="K1180" i="1"/>
  <c r="K1179" i="1"/>
  <c r="K1178" i="1"/>
  <c r="K1175" i="1"/>
  <c r="K1174" i="1"/>
  <c r="K1173" i="1"/>
  <c r="K1172" i="1"/>
  <c r="K1171" i="1"/>
  <c r="K1169" i="1"/>
  <c r="K1168" i="1"/>
  <c r="K1167" i="1"/>
  <c r="K1166" i="1"/>
  <c r="K1164" i="1"/>
  <c r="K1163" i="1"/>
  <c r="K1162" i="1"/>
  <c r="K1161" i="1"/>
  <c r="K1160" i="1"/>
  <c r="K1158" i="1"/>
  <c r="K1157" i="1"/>
  <c r="K1156" i="1"/>
  <c r="K1155" i="1"/>
  <c r="K1154" i="1"/>
  <c r="K1153" i="1"/>
  <c r="K1152" i="1"/>
  <c r="K1150" i="1"/>
  <c r="K1149" i="1"/>
  <c r="K1148" i="1"/>
  <c r="K1147" i="1"/>
  <c r="K1146" i="1"/>
  <c r="K1145" i="1"/>
  <c r="K1144" i="1"/>
  <c r="K1142" i="1"/>
  <c r="K1141" i="1"/>
  <c r="K1140" i="1"/>
  <c r="K1139" i="1"/>
  <c r="K1138" i="1"/>
  <c r="K1137" i="1"/>
  <c r="K1136" i="1"/>
  <c r="K1134" i="1"/>
  <c r="K1133" i="1"/>
  <c r="K1132" i="1"/>
  <c r="K1131" i="1"/>
  <c r="K1130" i="1"/>
  <c r="K1128" i="1"/>
  <c r="K1127" i="1"/>
  <c r="K1126" i="1"/>
  <c r="K1125" i="1"/>
  <c r="K1124" i="1"/>
  <c r="K1122" i="1"/>
  <c r="K1121" i="1"/>
  <c r="K1120" i="1"/>
  <c r="K1119" i="1"/>
  <c r="K1118" i="1"/>
  <c r="K1116" i="1"/>
  <c r="K1115" i="1"/>
  <c r="K1114" i="1"/>
  <c r="K1113" i="1"/>
  <c r="K1112" i="1"/>
  <c r="K1110" i="1"/>
  <c r="K1109" i="1"/>
  <c r="K1108" i="1"/>
  <c r="K1107" i="1"/>
  <c r="K1105" i="1"/>
  <c r="K1104" i="1"/>
  <c r="K1103" i="1"/>
  <c r="K1102" i="1"/>
  <c r="K1100" i="1"/>
  <c r="K1099" i="1"/>
  <c r="K1098" i="1"/>
  <c r="K1097" i="1"/>
  <c r="K1096" i="1"/>
  <c r="K1093" i="1"/>
  <c r="K1092" i="1"/>
  <c r="K1091" i="1"/>
  <c r="K1090" i="1"/>
  <c r="K1089" i="1"/>
  <c r="K1087" i="1"/>
  <c r="K1086" i="1"/>
  <c r="K1085" i="1"/>
  <c r="K1084" i="1"/>
  <c r="K1083" i="1"/>
  <c r="K1081" i="1"/>
  <c r="K1080" i="1"/>
  <c r="K1079" i="1"/>
  <c r="K1078" i="1"/>
  <c r="K1077" i="1"/>
  <c r="K1076" i="1"/>
  <c r="K1075" i="1"/>
  <c r="K1073" i="1"/>
  <c r="K1072" i="1"/>
  <c r="K1071" i="1"/>
  <c r="K1070" i="1"/>
  <c r="K1069" i="1"/>
  <c r="K1068" i="1"/>
  <c r="K1067" i="1"/>
  <c r="K1062" i="1"/>
  <c r="G1062" i="1" s="1"/>
  <c r="K1061" i="1"/>
  <c r="G1061" i="1" s="1"/>
  <c r="K1059" i="1"/>
  <c r="G1059" i="1" s="1"/>
  <c r="K1058" i="1"/>
  <c r="G1058" i="1" s="1"/>
  <c r="K1056" i="1"/>
  <c r="K1055" i="1"/>
  <c r="K1053" i="1"/>
  <c r="K1052" i="1"/>
  <c r="K1050" i="1"/>
  <c r="K1049" i="1"/>
  <c r="K1047" i="1"/>
  <c r="K1046" i="1"/>
  <c r="K1043" i="1"/>
  <c r="K1042" i="1"/>
  <c r="K1040" i="1"/>
  <c r="K1039" i="1"/>
  <c r="K1033" i="1"/>
  <c r="K1029" i="1"/>
  <c r="K1028" i="1"/>
  <c r="K1019" i="1"/>
  <c r="K1018" i="1"/>
  <c r="K1016" i="1"/>
  <c r="K1015" i="1"/>
  <c r="K1013" i="1"/>
  <c r="K1012" i="1"/>
  <c r="K1010" i="1"/>
  <c r="K1009" i="1"/>
  <c r="K1005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89" i="1"/>
  <c r="K988" i="1"/>
  <c r="K987" i="1"/>
  <c r="K986" i="1"/>
  <c r="K985" i="1"/>
  <c r="K984" i="1"/>
  <c r="K983" i="1"/>
  <c r="K982" i="1"/>
  <c r="K980" i="1"/>
  <c r="K979" i="1"/>
  <c r="K978" i="1"/>
  <c r="K977" i="1"/>
  <c r="K976" i="1"/>
  <c r="K975" i="1"/>
  <c r="K974" i="1"/>
  <c r="K973" i="1"/>
  <c r="K972" i="1"/>
  <c r="K970" i="1"/>
  <c r="K969" i="1"/>
  <c r="K968" i="1"/>
  <c r="K967" i="1"/>
  <c r="K966" i="1"/>
  <c r="K965" i="1"/>
  <c r="K964" i="1"/>
  <c r="K963" i="1"/>
  <c r="K961" i="1"/>
  <c r="K960" i="1"/>
  <c r="K959" i="1"/>
  <c r="K958" i="1"/>
  <c r="K957" i="1"/>
  <c r="K956" i="1"/>
  <c r="K955" i="1"/>
  <c r="K954" i="1"/>
  <c r="K951" i="1"/>
  <c r="K950" i="1"/>
  <c r="K949" i="1"/>
  <c r="K948" i="1"/>
  <c r="K947" i="1"/>
  <c r="K946" i="1"/>
  <c r="K945" i="1"/>
  <c r="K942" i="1"/>
  <c r="K941" i="1"/>
  <c r="K939" i="1"/>
  <c r="K938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7" i="1"/>
  <c r="K876" i="1"/>
  <c r="K875" i="1"/>
  <c r="K874" i="1"/>
  <c r="K873" i="1"/>
  <c r="K872" i="1"/>
  <c r="K871" i="1"/>
  <c r="K870" i="1"/>
  <c r="K869" i="1"/>
  <c r="K868" i="1"/>
  <c r="K867" i="1"/>
  <c r="K863" i="1"/>
  <c r="K857" i="1"/>
  <c r="K852" i="1"/>
  <c r="K849" i="1"/>
  <c r="K848" i="1"/>
  <c r="K847" i="1"/>
  <c r="K846" i="1"/>
  <c r="K845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7" i="1"/>
  <c r="K816" i="1"/>
  <c r="K815" i="1"/>
  <c r="K814" i="1"/>
  <c r="K813" i="1"/>
  <c r="K812" i="1"/>
  <c r="K811" i="1"/>
  <c r="K810" i="1"/>
  <c r="K809" i="1"/>
  <c r="K807" i="1"/>
  <c r="K806" i="1"/>
  <c r="K805" i="1"/>
  <c r="K804" i="1"/>
  <c r="K803" i="1"/>
  <c r="K802" i="1"/>
  <c r="K801" i="1"/>
  <c r="K800" i="1"/>
  <c r="K799" i="1"/>
  <c r="K770" i="1"/>
  <c r="K769" i="1"/>
  <c r="K768" i="1"/>
  <c r="K767" i="1"/>
  <c r="K766" i="1"/>
  <c r="K765" i="1"/>
  <c r="K764" i="1"/>
  <c r="K763" i="1"/>
  <c r="K762" i="1"/>
  <c r="K761" i="1"/>
  <c r="K760" i="1"/>
  <c r="K758" i="1"/>
  <c r="K757" i="1"/>
  <c r="K756" i="1"/>
  <c r="K755" i="1"/>
  <c r="K754" i="1"/>
  <c r="K753" i="1"/>
  <c r="K752" i="1"/>
  <c r="K751" i="1"/>
  <c r="K750" i="1"/>
  <c r="K749" i="1"/>
  <c r="K747" i="1"/>
  <c r="K746" i="1"/>
  <c r="K745" i="1"/>
  <c r="K744" i="1"/>
  <c r="K743" i="1"/>
  <c r="K742" i="1"/>
  <c r="K741" i="1"/>
  <c r="K740" i="1"/>
  <c r="K739" i="1"/>
  <c r="K738" i="1"/>
  <c r="K735" i="1"/>
  <c r="K734" i="1"/>
  <c r="K733" i="1"/>
  <c r="K732" i="1"/>
  <c r="K731" i="1"/>
  <c r="K730" i="1"/>
  <c r="K729" i="1"/>
  <c r="K727" i="1"/>
  <c r="K726" i="1"/>
  <c r="K724" i="1"/>
  <c r="K723" i="1"/>
  <c r="K722" i="1"/>
  <c r="K721" i="1"/>
  <c r="K720" i="1"/>
  <c r="K719" i="1"/>
  <c r="K718" i="1"/>
  <c r="K717" i="1"/>
  <c r="K715" i="1"/>
  <c r="K714" i="1"/>
  <c r="K713" i="1"/>
  <c r="K712" i="1"/>
  <c r="K711" i="1"/>
  <c r="K710" i="1"/>
  <c r="K709" i="1"/>
  <c r="K708" i="1"/>
  <c r="K706" i="1"/>
  <c r="K705" i="1"/>
  <c r="K704" i="1"/>
  <c r="K703" i="1"/>
  <c r="K702" i="1"/>
  <c r="K701" i="1"/>
  <c r="K700" i="1"/>
  <c r="K699" i="1"/>
  <c r="K697" i="1"/>
  <c r="K696" i="1"/>
  <c r="K695" i="1"/>
  <c r="K694" i="1"/>
  <c r="K693" i="1"/>
  <c r="K692" i="1"/>
  <c r="K691" i="1"/>
  <c r="K690" i="1"/>
  <c r="K688" i="1"/>
  <c r="K687" i="1"/>
  <c r="K686" i="1"/>
  <c r="K685" i="1"/>
  <c r="K684" i="1"/>
  <c r="K683" i="1"/>
  <c r="K682" i="1"/>
  <c r="K681" i="1"/>
  <c r="K679" i="1"/>
  <c r="K678" i="1"/>
  <c r="K677" i="1"/>
  <c r="K676" i="1"/>
  <c r="K675" i="1"/>
  <c r="K674" i="1"/>
  <c r="K673" i="1"/>
  <c r="K672" i="1"/>
  <c r="K670" i="1"/>
  <c r="K669" i="1"/>
  <c r="K668" i="1"/>
  <c r="K667" i="1"/>
  <c r="K666" i="1"/>
  <c r="K665" i="1"/>
  <c r="K664" i="1"/>
  <c r="K663" i="1"/>
  <c r="K661" i="1"/>
  <c r="K660" i="1"/>
  <c r="K659" i="1"/>
  <c r="K658" i="1"/>
  <c r="K657" i="1"/>
  <c r="K656" i="1"/>
  <c r="K655" i="1"/>
  <c r="K654" i="1"/>
  <c r="K651" i="1"/>
  <c r="K650" i="1"/>
  <c r="K649" i="1"/>
  <c r="K648" i="1"/>
  <c r="K647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4" i="1"/>
  <c r="K613" i="1"/>
  <c r="K612" i="1"/>
  <c r="K611" i="1"/>
  <c r="K610" i="1"/>
  <c r="K609" i="1"/>
  <c r="K608" i="1"/>
  <c r="K607" i="1"/>
  <c r="K606" i="1"/>
  <c r="K605" i="1"/>
  <c r="K603" i="1"/>
  <c r="K602" i="1"/>
  <c r="K601" i="1"/>
  <c r="K600" i="1"/>
  <c r="K599" i="1"/>
  <c r="K598" i="1"/>
  <c r="K597" i="1"/>
  <c r="K596" i="1"/>
  <c r="K595" i="1"/>
  <c r="K593" i="1"/>
  <c r="K592" i="1"/>
  <c r="K591" i="1"/>
  <c r="K590" i="1"/>
  <c r="K589" i="1"/>
  <c r="K588" i="1"/>
  <c r="K587" i="1"/>
  <c r="K586" i="1"/>
  <c r="K585" i="1"/>
  <c r="K564" i="1"/>
  <c r="K563" i="1"/>
  <c r="K562" i="1"/>
  <c r="K561" i="1"/>
  <c r="K560" i="1"/>
  <c r="K559" i="1"/>
  <c r="K558" i="1"/>
  <c r="K557" i="1"/>
  <c r="K555" i="1"/>
  <c r="K554" i="1"/>
  <c r="K553" i="1"/>
  <c r="K552" i="1"/>
  <c r="K551" i="1"/>
  <c r="K550" i="1"/>
  <c r="K549" i="1"/>
  <c r="K548" i="1"/>
  <c r="K546" i="1"/>
  <c r="K545" i="1"/>
  <c r="K544" i="1"/>
  <c r="K543" i="1"/>
  <c r="K542" i="1"/>
  <c r="K541" i="1"/>
  <c r="K540" i="1"/>
  <c r="K539" i="1"/>
  <c r="K537" i="1"/>
  <c r="K536" i="1"/>
  <c r="K535" i="1"/>
  <c r="K534" i="1"/>
  <c r="K533" i="1"/>
  <c r="K532" i="1"/>
  <c r="K531" i="1"/>
  <c r="K530" i="1"/>
  <c r="K527" i="1"/>
  <c r="K526" i="1"/>
  <c r="K525" i="1"/>
  <c r="K524" i="1"/>
  <c r="K523" i="1"/>
  <c r="K522" i="1"/>
  <c r="K521" i="1"/>
  <c r="K520" i="1"/>
  <c r="K518" i="1"/>
  <c r="K517" i="1"/>
  <c r="K516" i="1"/>
  <c r="K515" i="1"/>
  <c r="K514" i="1"/>
  <c r="K513" i="1"/>
  <c r="K511" i="1"/>
  <c r="K510" i="1"/>
  <c r="K509" i="1"/>
  <c r="K508" i="1"/>
  <c r="K507" i="1"/>
  <c r="K506" i="1"/>
  <c r="K502" i="1"/>
  <c r="K501" i="1"/>
  <c r="K500" i="1"/>
  <c r="K499" i="1"/>
  <c r="K498" i="1"/>
  <c r="K496" i="1"/>
  <c r="K495" i="1"/>
  <c r="K494" i="1"/>
  <c r="K493" i="1"/>
  <c r="K492" i="1"/>
  <c r="K490" i="1"/>
  <c r="K489" i="1"/>
  <c r="K488" i="1"/>
  <c r="K487" i="1"/>
  <c r="K486" i="1"/>
  <c r="K484" i="1"/>
  <c r="K483" i="1"/>
  <c r="K482" i="1"/>
  <c r="K481" i="1"/>
  <c r="K480" i="1"/>
  <c r="K477" i="1"/>
  <c r="K476" i="1"/>
  <c r="K475" i="1"/>
  <c r="K474" i="1"/>
  <c r="K473" i="1"/>
  <c r="K472" i="1"/>
  <c r="K471" i="1"/>
  <c r="K470" i="1"/>
  <c r="K469" i="1"/>
  <c r="K468" i="1"/>
  <c r="K466" i="1"/>
  <c r="K465" i="1"/>
  <c r="K464" i="1"/>
  <c r="K463" i="1"/>
  <c r="K462" i="1"/>
  <c r="K461" i="1"/>
  <c r="K460" i="1"/>
  <c r="K459" i="1"/>
  <c r="K458" i="1"/>
  <c r="K456" i="1"/>
  <c r="K455" i="1"/>
  <c r="K454" i="1"/>
  <c r="K453" i="1"/>
  <c r="K452" i="1"/>
  <c r="K451" i="1"/>
  <c r="K449" i="1"/>
  <c r="K448" i="1"/>
  <c r="K447" i="1"/>
  <c r="K446" i="1"/>
  <c r="K445" i="1"/>
  <c r="K444" i="1"/>
  <c r="K441" i="1"/>
  <c r="K440" i="1"/>
  <c r="K439" i="1"/>
  <c r="K438" i="1"/>
  <c r="K437" i="1"/>
  <c r="K436" i="1"/>
  <c r="K435" i="1"/>
  <c r="K434" i="1"/>
  <c r="K432" i="1"/>
  <c r="K431" i="1"/>
  <c r="K430" i="1"/>
  <c r="K429" i="1"/>
  <c r="K428" i="1"/>
  <c r="K427" i="1"/>
  <c r="K426" i="1"/>
  <c r="K425" i="1"/>
  <c r="K423" i="1"/>
  <c r="K422" i="1"/>
  <c r="K421" i="1"/>
  <c r="K420" i="1"/>
  <c r="K419" i="1"/>
  <c r="K418" i="1"/>
  <c r="K417" i="1"/>
  <c r="K416" i="1"/>
  <c r="K414" i="1"/>
  <c r="K413" i="1"/>
  <c r="K412" i="1"/>
  <c r="K411" i="1"/>
  <c r="K410" i="1"/>
  <c r="K409" i="1"/>
  <c r="K408" i="1"/>
  <c r="K407" i="1"/>
  <c r="K395" i="1"/>
  <c r="K394" i="1"/>
  <c r="K393" i="1"/>
  <c r="K392" i="1"/>
  <c r="K391" i="1"/>
  <c r="K389" i="1"/>
  <c r="K388" i="1"/>
  <c r="K387" i="1"/>
  <c r="K386" i="1"/>
  <c r="K385" i="1"/>
  <c r="K384" i="1"/>
  <c r="K383" i="1"/>
  <c r="K382" i="1"/>
  <c r="K380" i="1"/>
  <c r="K379" i="1"/>
  <c r="K378" i="1"/>
  <c r="K377" i="1"/>
  <c r="K376" i="1"/>
  <c r="K375" i="1"/>
  <c r="K368" i="1"/>
  <c r="K366" i="1"/>
  <c r="K364" i="1"/>
  <c r="K362" i="1"/>
  <c r="K360" i="1"/>
  <c r="K358" i="1"/>
  <c r="K356" i="1"/>
  <c r="K352" i="1"/>
  <c r="K350" i="1"/>
  <c r="K348" i="1"/>
  <c r="K347" i="1"/>
  <c r="K346" i="1"/>
  <c r="K345" i="1"/>
  <c r="K344" i="1"/>
  <c r="K342" i="1"/>
  <c r="K341" i="1"/>
  <c r="K340" i="1"/>
  <c r="K337" i="1"/>
  <c r="K336" i="1"/>
  <c r="K335" i="1"/>
  <c r="K333" i="1"/>
  <c r="K332" i="1"/>
  <c r="K331" i="1"/>
  <c r="K330" i="1"/>
  <c r="K329" i="1"/>
  <c r="K328" i="1"/>
  <c r="K326" i="1"/>
  <c r="K324" i="1"/>
  <c r="K320" i="1"/>
  <c r="K318" i="1"/>
  <c r="K317" i="1"/>
  <c r="K314" i="1"/>
  <c r="K312" i="1"/>
  <c r="K305" i="1"/>
  <c r="K303" i="1"/>
  <c r="K301" i="1"/>
  <c r="K299" i="1"/>
  <c r="K297" i="1"/>
  <c r="K295" i="1"/>
  <c r="K290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7" i="1"/>
  <c r="K245" i="1"/>
  <c r="K243" i="1"/>
  <c r="K242" i="1"/>
  <c r="K241" i="1"/>
  <c r="K240" i="1"/>
  <c r="K239" i="1"/>
  <c r="K238" i="1"/>
  <c r="K236" i="1"/>
  <c r="K234" i="1"/>
  <c r="K232" i="1"/>
  <c r="K230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2" i="1"/>
  <c r="K207" i="1"/>
  <c r="K205" i="1"/>
  <c r="K203" i="1"/>
  <c r="K201" i="1"/>
  <c r="K200" i="1"/>
  <c r="K198" i="1"/>
  <c r="K196" i="1"/>
  <c r="K194" i="1"/>
  <c r="K192" i="1"/>
  <c r="K191" i="1"/>
  <c r="K190" i="1"/>
  <c r="K188" i="1"/>
  <c r="K187" i="1"/>
  <c r="K186" i="1"/>
  <c r="K185" i="1"/>
  <c r="K184" i="1"/>
  <c r="K183" i="1"/>
  <c r="K182" i="1"/>
  <c r="K181" i="1"/>
  <c r="K179" i="1"/>
  <c r="K178" i="1"/>
  <c r="K177" i="1"/>
  <c r="K176" i="1"/>
  <c r="K175" i="1"/>
  <c r="K174" i="1"/>
  <c r="K173" i="1"/>
  <c r="K169" i="1"/>
  <c r="K168" i="1"/>
  <c r="K167" i="1"/>
  <c r="K166" i="1"/>
  <c r="K165" i="1"/>
  <c r="K164" i="1"/>
  <c r="K163" i="1"/>
  <c r="K162" i="1"/>
  <c r="K161" i="1"/>
  <c r="K158" i="1"/>
  <c r="K157" i="1"/>
  <c r="K156" i="1"/>
  <c r="K155" i="1"/>
  <c r="K154" i="1"/>
  <c r="K153" i="1"/>
  <c r="K152" i="1"/>
  <c r="K151" i="1"/>
  <c r="K150" i="1"/>
  <c r="K149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16" i="1"/>
  <c r="K114" i="1"/>
  <c r="K113" i="1"/>
  <c r="K112" i="1"/>
  <c r="K111" i="1"/>
  <c r="K110" i="1"/>
  <c r="K109" i="1"/>
  <c r="K108" i="1"/>
  <c r="K106" i="1"/>
  <c r="K105" i="1"/>
  <c r="K104" i="1"/>
  <c r="K102" i="1"/>
  <c r="K101" i="1"/>
  <c r="K100" i="1"/>
  <c r="K99" i="1"/>
  <c r="K98" i="1"/>
  <c r="K97" i="1"/>
  <c r="K96" i="1"/>
  <c r="K93" i="1"/>
  <c r="K90" i="1"/>
  <c r="K86" i="1"/>
  <c r="K83" i="1"/>
  <c r="K80" i="1"/>
  <c r="K79" i="1"/>
  <c r="K71" i="1"/>
  <c r="K70" i="1"/>
  <c r="K68" i="1"/>
  <c r="K67" i="1"/>
  <c r="K65" i="1"/>
  <c r="K64" i="1"/>
  <c r="K62" i="1"/>
  <c r="K61" i="1"/>
  <c r="K59" i="1"/>
  <c r="K58" i="1"/>
  <c r="K50" i="1"/>
  <c r="K49" i="1"/>
  <c r="K47" i="1"/>
  <c r="K46" i="1"/>
  <c r="K44" i="1"/>
  <c r="K42" i="1"/>
  <c r="K41" i="1"/>
  <c r="K39" i="1"/>
  <c r="K37" i="1"/>
  <c r="K36" i="1"/>
  <c r="K34" i="1"/>
  <c r="K32" i="1"/>
  <c r="K30" i="1"/>
  <c r="K28" i="1"/>
  <c r="K27" i="1"/>
  <c r="K25" i="1"/>
  <c r="K24" i="1"/>
  <c r="K22" i="1"/>
  <c r="K21" i="1"/>
  <c r="K19" i="1"/>
  <c r="K18" i="1"/>
  <c r="K16" i="1"/>
  <c r="K15" i="1"/>
  <c r="K10" i="1"/>
  <c r="K9" i="1"/>
  <c r="G1993" i="1" l="1"/>
  <c r="G71" i="1"/>
  <c r="G411" i="1"/>
  <c r="G993" i="1"/>
  <c r="G1116" i="1"/>
  <c r="G1240" i="1"/>
  <c r="G1702" i="1"/>
  <c r="G1799" i="1"/>
  <c r="G1924" i="1"/>
  <c r="G2046" i="1"/>
  <c r="G2173" i="1"/>
  <c r="G360" i="1"/>
  <c r="G425" i="1"/>
  <c r="G1053" i="1"/>
  <c r="G1081" i="1"/>
  <c r="G1535" i="1"/>
  <c r="G1892" i="1"/>
  <c r="G2015" i="1"/>
  <c r="G2351" i="1"/>
  <c r="G2561" i="1"/>
  <c r="G138" i="1"/>
  <c r="G458" i="1"/>
  <c r="G724" i="1"/>
  <c r="G899" i="1"/>
  <c r="G1163" i="1"/>
  <c r="G1264" i="1"/>
  <c r="G1335" i="1"/>
  <c r="G1613" i="1"/>
  <c r="G1658" i="1"/>
  <c r="G1750" i="1"/>
  <c r="G1980" i="1"/>
  <c r="G2090" i="1"/>
  <c r="G2222" i="1"/>
  <c r="G1956" i="1"/>
  <c r="G922" i="1"/>
  <c r="G1703" i="1"/>
  <c r="G2248" i="1"/>
  <c r="G2478" i="1"/>
  <c r="G2647" i="1"/>
  <c r="G2677" i="1"/>
  <c r="G2699" i="1"/>
  <c r="G2801" i="1"/>
  <c r="G2871" i="1"/>
  <c r="G2891" i="1"/>
  <c r="G2934" i="1"/>
  <c r="G284" i="1"/>
  <c r="G392" i="1"/>
  <c r="G586" i="1"/>
  <c r="G811" i="1"/>
  <c r="G889" i="1"/>
  <c r="G984" i="1"/>
  <c r="G1107" i="1"/>
  <c r="G1179" i="1"/>
  <c r="G1349" i="1"/>
  <c r="G1489" i="1"/>
  <c r="G1560" i="1"/>
  <c r="G1716" i="1"/>
  <c r="G1739" i="1"/>
  <c r="G1835" i="1"/>
  <c r="G2037" i="1"/>
  <c r="G2236" i="1"/>
  <c r="G2374" i="1"/>
  <c r="G2666" i="1"/>
  <c r="G34" i="1"/>
  <c r="G876" i="1"/>
  <c r="G947" i="1"/>
  <c r="G1212" i="1"/>
  <c r="G1359" i="1"/>
  <c r="G1636" i="1"/>
  <c r="G1680" i="1"/>
  <c r="G1822" i="1"/>
  <c r="G2338" i="1"/>
  <c r="G2383" i="1"/>
  <c r="G2477" i="1"/>
  <c r="G2541" i="1"/>
  <c r="G2621" i="1"/>
  <c r="G2800" i="1"/>
  <c r="G2822" i="1"/>
  <c r="G2844" i="1"/>
  <c r="G2870" i="1"/>
  <c r="G348" i="1"/>
  <c r="G112" i="1"/>
  <c r="G187" i="1"/>
  <c r="G220" i="1"/>
  <c r="G273" i="1"/>
  <c r="G301" i="1"/>
  <c r="G459" i="1"/>
  <c r="G658" i="1"/>
  <c r="G726" i="1"/>
  <c r="G799" i="1"/>
  <c r="G877" i="1"/>
  <c r="G900" i="1"/>
  <c r="G948" i="1"/>
  <c r="G994" i="1"/>
  <c r="G1092" i="1"/>
  <c r="G1141" i="1"/>
  <c r="G1214" i="1"/>
  <c r="G1241" i="1"/>
  <c r="G1265" i="1"/>
  <c r="G1499" i="1"/>
  <c r="G1523" i="1"/>
  <c r="G1681" i="1"/>
  <c r="G1727" i="1"/>
  <c r="G1902" i="1"/>
  <c r="G1950" i="1"/>
  <c r="G2047" i="1"/>
  <c r="G2091" i="1"/>
  <c r="G2113" i="1"/>
  <c r="G2150" i="1"/>
  <c r="G2174" i="1"/>
  <c r="G2198" i="1"/>
  <c r="G2339" i="1"/>
  <c r="G10" i="1"/>
  <c r="G46" i="1"/>
  <c r="G96" i="1"/>
  <c r="G125" i="1"/>
  <c r="G318" i="1"/>
  <c r="G465" i="1"/>
  <c r="G625" i="1"/>
  <c r="G710" i="1"/>
  <c r="G756" i="1"/>
  <c r="G805" i="1"/>
  <c r="G827" i="1"/>
  <c r="G1076" i="1"/>
  <c r="G1125" i="1"/>
  <c r="G1197" i="1"/>
  <c r="G1248" i="1"/>
  <c r="G1320" i="1"/>
  <c r="G1343" i="1"/>
  <c r="G1367" i="1"/>
  <c r="G1457" i="1"/>
  <c r="G1759" i="1"/>
  <c r="G1807" i="1"/>
  <c r="G2010" i="1"/>
  <c r="G2098" i="1"/>
  <c r="G2157" i="1"/>
  <c r="G2181" i="1"/>
  <c r="G2205" i="1"/>
  <c r="G2254" i="1"/>
  <c r="G2486" i="1"/>
  <c r="G2630" i="1"/>
  <c r="G2808" i="1"/>
  <c r="G2830" i="1"/>
  <c r="G2877" i="1"/>
  <c r="G2919" i="1"/>
  <c r="G58" i="1"/>
  <c r="G100" i="1"/>
  <c r="G129" i="1"/>
  <c r="G176" i="1"/>
  <c r="G232" i="1"/>
  <c r="G259" i="1"/>
  <c r="G283" i="1"/>
  <c r="G447" i="1"/>
  <c r="G494" i="1"/>
  <c r="G520" i="1"/>
  <c r="G543" i="1"/>
  <c r="G585" i="1"/>
  <c r="G629" i="1"/>
  <c r="G692" i="1"/>
  <c r="G714" i="1"/>
  <c r="G810" i="1"/>
  <c r="G910" i="1"/>
  <c r="G932" i="1"/>
  <c r="G983" i="1"/>
  <c r="G1409" i="1"/>
  <c r="G1437" i="1"/>
  <c r="G1461" i="1"/>
  <c r="G1511" i="1"/>
  <c r="G1534" i="1"/>
  <c r="G1559" i="1"/>
  <c r="G1603" i="1"/>
  <c r="G1626" i="1"/>
  <c r="G1692" i="1"/>
  <c r="G1715" i="1"/>
  <c r="G1789" i="1"/>
  <c r="G1811" i="1"/>
  <c r="G1891" i="1"/>
  <c r="G1913" i="1"/>
  <c r="G1936" i="1"/>
  <c r="G1965" i="1"/>
  <c r="G2124" i="1"/>
  <c r="G2263" i="1"/>
  <c r="G2350" i="1"/>
  <c r="G2526" i="1"/>
  <c r="G2635" i="1"/>
  <c r="G2665" i="1"/>
  <c r="G2750" i="1"/>
  <c r="G2771" i="1"/>
  <c r="G2791" i="1"/>
  <c r="G2834" i="1"/>
  <c r="G2856" i="1"/>
  <c r="G2923" i="1"/>
  <c r="G2950" i="1"/>
  <c r="G2131" i="1"/>
  <c r="G2731" i="1"/>
  <c r="G793" i="1"/>
  <c r="G64" i="1"/>
  <c r="G133" i="1"/>
  <c r="G366" i="1"/>
  <c r="G428" i="1"/>
  <c r="G499" i="1"/>
  <c r="G611" i="1"/>
  <c r="G1057" i="1"/>
  <c r="G1110" i="1"/>
  <c r="G1157" i="1"/>
  <c r="G1206" i="1"/>
  <c r="G1282" i="1"/>
  <c r="G1329" i="1"/>
  <c r="G1441" i="1"/>
  <c r="G1563" i="1"/>
  <c r="G1607" i="1"/>
  <c r="G1630" i="1"/>
  <c r="G1675" i="1"/>
  <c r="G1745" i="1"/>
  <c r="G1794" i="1"/>
  <c r="G1940" i="1"/>
  <c r="G2040" i="1"/>
  <c r="G2167" i="1"/>
  <c r="G2332" i="1"/>
  <c r="G2377" i="1"/>
  <c r="G2532" i="1"/>
  <c r="G2616" i="1"/>
  <c r="G2639" i="1"/>
  <c r="G2669" i="1"/>
  <c r="G2754" i="1"/>
  <c r="G2816" i="1"/>
  <c r="G2839" i="1"/>
  <c r="G2861" i="1"/>
  <c r="G2885" i="1"/>
  <c r="G2928" i="1"/>
  <c r="G25" i="1"/>
  <c r="G155" i="1"/>
  <c r="G696" i="1"/>
  <c r="G765" i="1"/>
  <c r="G914" i="1"/>
  <c r="G965" i="1"/>
  <c r="G1134" i="1"/>
  <c r="G1182" i="1"/>
  <c r="G1306" i="1"/>
  <c r="G1414" i="1"/>
  <c r="G1652" i="1"/>
  <c r="G1697" i="1"/>
  <c r="G1815" i="1"/>
  <c r="G1839" i="1"/>
  <c r="G1918" i="1"/>
  <c r="G1970" i="1"/>
  <c r="G2063" i="1"/>
  <c r="G2305" i="1"/>
  <c r="G2355" i="1"/>
  <c r="G2400" i="1"/>
  <c r="G28" i="1"/>
  <c r="G67" i="1"/>
  <c r="G135" i="1"/>
  <c r="G157" i="1"/>
  <c r="G408" i="1"/>
  <c r="G430" i="1"/>
  <c r="G454" i="1"/>
  <c r="G501" i="1"/>
  <c r="G526" i="1"/>
  <c r="G591" i="1"/>
  <c r="G699" i="1"/>
  <c r="G767" i="1"/>
  <c r="G838" i="1"/>
  <c r="G918" i="1"/>
  <c r="G1016" i="1"/>
  <c r="G1060" i="1"/>
  <c r="G1113" i="1"/>
  <c r="G1285" i="1"/>
  <c r="G1392" i="1"/>
  <c r="G1518" i="1"/>
  <c r="G1587" i="1"/>
  <c r="G1610" i="1"/>
  <c r="G1655" i="1"/>
  <c r="G1677" i="1"/>
  <c r="G1699" i="1"/>
  <c r="G1774" i="1"/>
  <c r="G1841" i="1"/>
  <c r="G1972" i="1"/>
  <c r="G2021" i="1"/>
  <c r="G2109" i="1"/>
  <c r="G2146" i="1"/>
  <c r="G2193" i="1"/>
  <c r="G2308" i="1"/>
  <c r="G2618" i="1"/>
  <c r="G2671" i="1"/>
  <c r="G2756" i="1"/>
  <c r="G2777" i="1"/>
  <c r="G2841" i="1"/>
  <c r="G2444" i="1"/>
  <c r="G131" i="1"/>
  <c r="G236" i="1"/>
  <c r="G362" i="1"/>
  <c r="G393" i="1"/>
  <c r="G587" i="1"/>
  <c r="G812" i="1"/>
  <c r="G1010" i="1"/>
  <c r="G1155" i="1"/>
  <c r="G1204" i="1"/>
  <c r="G1255" i="1"/>
  <c r="G1280" i="1"/>
  <c r="G1327" i="1"/>
  <c r="G1351" i="1"/>
  <c r="G1464" i="1"/>
  <c r="G1490" i="1"/>
  <c r="G1536" i="1"/>
  <c r="G1583" i="1"/>
  <c r="G1605" i="1"/>
  <c r="G1695" i="1"/>
  <c r="G1741" i="1"/>
  <c r="G1836" i="1"/>
  <c r="G1994" i="1"/>
  <c r="G2082" i="1"/>
  <c r="G2528" i="1"/>
  <c r="G2836" i="1"/>
  <c r="G2883" i="1"/>
  <c r="G1875" i="1"/>
  <c r="G782" i="1"/>
  <c r="G262" i="1"/>
  <c r="G364" i="1"/>
  <c r="G427" i="1"/>
  <c r="G473" i="1"/>
  <c r="G498" i="1"/>
  <c r="G523" i="1"/>
  <c r="G718" i="1"/>
  <c r="G742" i="1"/>
  <c r="G891" i="1"/>
  <c r="G913" i="1"/>
  <c r="G964" i="1"/>
  <c r="G1056" i="1"/>
  <c r="G1109" i="1"/>
  <c r="G1181" i="1"/>
  <c r="G1205" i="1"/>
  <c r="G1256" i="1"/>
  <c r="G1281" i="1"/>
  <c r="G1328" i="1"/>
  <c r="G1352" i="1"/>
  <c r="G1467" i="1"/>
  <c r="G1651" i="1"/>
  <c r="G1742" i="1"/>
  <c r="G1838" i="1"/>
  <c r="G1894" i="1"/>
  <c r="G1969" i="1"/>
  <c r="G2061" i="1"/>
  <c r="G2190" i="1"/>
  <c r="G2238" i="1"/>
  <c r="G2531" i="1"/>
  <c r="G2668" i="1"/>
  <c r="G2691" i="1"/>
  <c r="G2837" i="1"/>
  <c r="G2860" i="1"/>
  <c r="G2884" i="1"/>
  <c r="G2926" i="1"/>
  <c r="G2953" i="1"/>
  <c r="G68" i="1"/>
  <c r="G136" i="1"/>
  <c r="G266" i="1"/>
  <c r="G336" i="1"/>
  <c r="G431" i="1"/>
  <c r="G592" i="1"/>
  <c r="G614" i="1"/>
  <c r="G722" i="1"/>
  <c r="G746" i="1"/>
  <c r="G768" i="1"/>
  <c r="G839" i="1"/>
  <c r="G874" i="1"/>
  <c r="G897" i="1"/>
  <c r="G945" i="1"/>
  <c r="G968" i="1"/>
  <c r="G1114" i="1"/>
  <c r="G1138" i="1"/>
  <c r="G1161" i="1"/>
  <c r="G1186" i="1"/>
  <c r="G1210" i="1"/>
  <c r="G1286" i="1"/>
  <c r="G1333" i="1"/>
  <c r="G1357" i="1"/>
  <c r="G1446" i="1"/>
  <c r="G1471" i="1"/>
  <c r="G1496" i="1"/>
  <c r="G1519" i="1"/>
  <c r="G1588" i="1"/>
  <c r="G1656" i="1"/>
  <c r="G1678" i="1"/>
  <c r="G1700" i="1"/>
  <c r="G1722" i="1"/>
  <c r="G1775" i="1"/>
  <c r="G1820" i="1"/>
  <c r="G1899" i="1"/>
  <c r="G1921" i="1"/>
  <c r="G1973" i="1"/>
  <c r="G2000" i="1"/>
  <c r="G2022" i="1"/>
  <c r="G2043" i="1"/>
  <c r="G2066" i="1"/>
  <c r="G2088" i="1"/>
  <c r="G2110" i="1"/>
  <c r="G2147" i="1"/>
  <c r="G2171" i="1"/>
  <c r="G2194" i="1"/>
  <c r="G2219" i="1"/>
  <c r="G2243" i="1"/>
  <c r="G2310" i="1"/>
  <c r="G2336" i="1"/>
  <c r="G2358" i="1"/>
  <c r="G2381" i="1"/>
  <c r="G2403" i="1"/>
  <c r="G2473" i="1"/>
  <c r="G2505" i="1"/>
  <c r="G2537" i="1"/>
  <c r="G2576" i="1"/>
  <c r="G2619" i="1"/>
  <c r="G2642" i="1"/>
  <c r="G2674" i="1"/>
  <c r="G2695" i="1"/>
  <c r="G2778" i="1"/>
  <c r="G2798" i="1"/>
  <c r="G2820" i="1"/>
  <c r="G2842" i="1"/>
  <c r="G2865" i="1"/>
  <c r="G2888" i="1"/>
  <c r="G2909" i="1"/>
  <c r="G12" i="1"/>
  <c r="G32" i="1"/>
  <c r="G70" i="1"/>
  <c r="G110" i="1"/>
  <c r="G137" i="1"/>
  <c r="G161" i="1"/>
  <c r="G185" i="1"/>
  <c r="G218" i="1"/>
  <c r="G267" i="1"/>
  <c r="G337" i="1"/>
  <c r="G377" i="1"/>
  <c r="G410" i="1"/>
  <c r="G456" i="1"/>
  <c r="G480" i="1"/>
  <c r="G506" i="1"/>
  <c r="G530" i="1"/>
  <c r="G552" i="1"/>
  <c r="G593" i="1"/>
  <c r="G617" i="1"/>
  <c r="G656" i="1"/>
  <c r="G678" i="1"/>
  <c r="G723" i="1"/>
  <c r="G769" i="1"/>
  <c r="G819" i="1"/>
  <c r="G840" i="1"/>
  <c r="G898" i="1"/>
  <c r="G920" i="1"/>
  <c r="G946" i="1"/>
  <c r="G969" i="1"/>
  <c r="G992" i="1"/>
  <c r="G1067" i="1"/>
  <c r="G1090" i="1"/>
  <c r="G1115" i="1"/>
  <c r="G1162" i="1"/>
  <c r="G1187" i="1"/>
  <c r="G1211" i="1"/>
  <c r="G1239" i="1"/>
  <c r="G1262" i="1"/>
  <c r="G1287" i="1"/>
  <c r="G1311" i="1"/>
  <c r="G1334" i="1"/>
  <c r="G1358" i="1"/>
  <c r="G1419" i="1"/>
  <c r="G1447" i="1"/>
  <c r="G1472" i="1"/>
  <c r="G1497" i="1"/>
  <c r="G1520" i="1"/>
  <c r="G1567" i="1"/>
  <c r="G1589" i="1"/>
  <c r="G1612" i="1"/>
  <c r="G1657" i="1"/>
  <c r="G1679" i="1"/>
  <c r="G1701" i="1"/>
  <c r="G1749" i="1"/>
  <c r="G1798" i="1"/>
  <c r="G1821" i="1"/>
  <c r="G1843" i="1"/>
  <c r="G1900" i="1"/>
  <c r="G1922" i="1"/>
  <c r="G1948" i="1"/>
  <c r="G1979" i="1"/>
  <c r="G2001" i="1"/>
  <c r="G2023" i="1"/>
  <c r="G2045" i="1"/>
  <c r="G2067" i="1"/>
  <c r="G2089" i="1"/>
  <c r="G2148" i="1"/>
  <c r="G2172" i="1"/>
  <c r="G2196" i="1"/>
  <c r="G2244" i="1"/>
  <c r="G2337" i="1"/>
  <c r="G2359" i="1"/>
  <c r="G2382" i="1"/>
  <c r="G2404" i="1"/>
  <c r="G2474" i="1"/>
  <c r="G2506" i="1"/>
  <c r="G2538" i="1"/>
  <c r="G2620" i="1"/>
  <c r="G2643" i="1"/>
  <c r="G2675" i="1"/>
  <c r="G2696" i="1"/>
  <c r="G2758" i="1"/>
  <c r="G2799" i="1"/>
  <c r="G2821" i="1"/>
  <c r="G2843" i="1"/>
  <c r="G2889" i="1"/>
  <c r="G2932" i="1"/>
  <c r="G580" i="1"/>
  <c r="G2127" i="1"/>
  <c r="G895" i="1"/>
  <c r="G41" i="1"/>
  <c r="G86" i="1"/>
  <c r="G116" i="1"/>
  <c r="G166" i="1"/>
  <c r="G223" i="1"/>
  <c r="G252" i="1"/>
  <c r="G276" i="1"/>
  <c r="G345" i="1"/>
  <c r="G383" i="1"/>
  <c r="G416" i="1"/>
  <c r="G462" i="1"/>
  <c r="G511" i="1"/>
  <c r="G535" i="1"/>
  <c r="G558" i="1"/>
  <c r="G599" i="1"/>
  <c r="G622" i="1"/>
  <c r="G661" i="1"/>
  <c r="G684" i="1"/>
  <c r="G706" i="1"/>
  <c r="G730" i="1"/>
  <c r="G753" i="1"/>
  <c r="G802" i="1"/>
  <c r="G824" i="1"/>
  <c r="G846" i="1"/>
  <c r="G903" i="1"/>
  <c r="G925" i="1"/>
  <c r="G951" i="1"/>
  <c r="G975" i="1"/>
  <c r="G997" i="1"/>
  <c r="G1072" i="1"/>
  <c r="G1097" i="1"/>
  <c r="G1121" i="1"/>
  <c r="G1168" i="1"/>
  <c r="G1193" i="1"/>
  <c r="G1217" i="1"/>
  <c r="G1245" i="1"/>
  <c r="G1268" i="1"/>
  <c r="G1317" i="1"/>
  <c r="G1340" i="1"/>
  <c r="G1364" i="1"/>
  <c r="G1425" i="1"/>
  <c r="G1452" i="1"/>
  <c r="G1481" i="1"/>
  <c r="G1502" i="1"/>
  <c r="G1526" i="1"/>
  <c r="G1548" i="1"/>
  <c r="G1573" i="1"/>
  <c r="G1595" i="1"/>
  <c r="G1619" i="1"/>
  <c r="G1662" i="1"/>
  <c r="G1685" i="1"/>
  <c r="G1707" i="1"/>
  <c r="G1730" i="1"/>
  <c r="G1755" i="1"/>
  <c r="G1803" i="1"/>
  <c r="G1826" i="1"/>
  <c r="G1849" i="1"/>
  <c r="G1906" i="1"/>
  <c r="G1928" i="1"/>
  <c r="G1958" i="1"/>
  <c r="G1984" i="1"/>
  <c r="G2006" i="1"/>
  <c r="G2050" i="1"/>
  <c r="G2072" i="1"/>
  <c r="G2094" i="1"/>
  <c r="G2154" i="1"/>
  <c r="G2178" i="1"/>
  <c r="G2202" i="1"/>
  <c r="G2226" i="1"/>
  <c r="G2251" i="1"/>
  <c r="G2320" i="1"/>
  <c r="G2342" i="1"/>
  <c r="G2365" i="1"/>
  <c r="G2388" i="1"/>
  <c r="G2481" i="1"/>
  <c r="G2513" i="1"/>
  <c r="G2548" i="1"/>
  <c r="G2593" i="1"/>
  <c r="G2627" i="1"/>
  <c r="G2655" i="1"/>
  <c r="G2680" i="1"/>
  <c r="G2702" i="1"/>
  <c r="G2763" i="1"/>
  <c r="G2805" i="1"/>
  <c r="G2826" i="1"/>
  <c r="G2848" i="1"/>
  <c r="G2874" i="1"/>
  <c r="G2894" i="1"/>
  <c r="G2915" i="1"/>
  <c r="G2937" i="1"/>
  <c r="G37" i="1"/>
  <c r="G80" i="1"/>
  <c r="G140" i="1"/>
  <c r="G164" i="1"/>
  <c r="G188" i="1"/>
  <c r="G221" i="1"/>
  <c r="G250" i="1"/>
  <c r="G274" i="1"/>
  <c r="G303" i="1"/>
  <c r="G342" i="1"/>
  <c r="G380" i="1"/>
  <c r="G413" i="1"/>
  <c r="G436" i="1"/>
  <c r="G460" i="1"/>
  <c r="G483" i="1"/>
  <c r="G509" i="1"/>
  <c r="G533" i="1"/>
  <c r="G555" i="1"/>
  <c r="G597" i="1"/>
  <c r="G620" i="1"/>
  <c r="G659" i="1"/>
  <c r="G704" i="1"/>
  <c r="G727" i="1"/>
  <c r="G751" i="1"/>
  <c r="G800" i="1"/>
  <c r="G822" i="1"/>
  <c r="G843" i="1"/>
  <c r="G879" i="1"/>
  <c r="G901" i="1"/>
  <c r="G923" i="1"/>
  <c r="G973" i="1"/>
  <c r="G995" i="1"/>
  <c r="G1033" i="1"/>
  <c r="G1070" i="1"/>
  <c r="G1093" i="1"/>
  <c r="G1119" i="1"/>
  <c r="G1142" i="1"/>
  <c r="G1166" i="1"/>
  <c r="G1191" i="1"/>
  <c r="G1215" i="1"/>
  <c r="G1242" i="1"/>
  <c r="G1266" i="1"/>
  <c r="G1291" i="1"/>
  <c r="G1314" i="1"/>
  <c r="G1337" i="1"/>
  <c r="G1361" i="1"/>
  <c r="G1398" i="1"/>
  <c r="G1422" i="1"/>
  <c r="G1450" i="1"/>
  <c r="G1477" i="1"/>
  <c r="G1500" i="1"/>
  <c r="G1524" i="1"/>
  <c r="G1546" i="1"/>
  <c r="G1571" i="1"/>
  <c r="G1593" i="1"/>
  <c r="G1615" i="1"/>
  <c r="G1638" i="1"/>
  <c r="G1660" i="1"/>
  <c r="G1683" i="1"/>
  <c r="G1705" i="1"/>
  <c r="G1728" i="1"/>
  <c r="G1753" i="1"/>
  <c r="G1779" i="1"/>
  <c r="G1801" i="1"/>
  <c r="G1824" i="1"/>
  <c r="G1846" i="1"/>
  <c r="G1868" i="1"/>
  <c r="G1903" i="1"/>
  <c r="G1926" i="1"/>
  <c r="G1951" i="1"/>
  <c r="G1982" i="1"/>
  <c r="G2004" i="1"/>
  <c r="G2026" i="1"/>
  <c r="G2048" i="1"/>
  <c r="G2070" i="1"/>
  <c r="G2092" i="1"/>
  <c r="G2115" i="1"/>
  <c r="G2152" i="1"/>
  <c r="G2175" i="1"/>
  <c r="G2199" i="1"/>
  <c r="G2224" i="1"/>
  <c r="G2249" i="1"/>
  <c r="G2318" i="1"/>
  <c r="G2340" i="1"/>
  <c r="G2363" i="1"/>
  <c r="G2385" i="1"/>
  <c r="G2408" i="1"/>
  <c r="G2479" i="1"/>
  <c r="G2511" i="1"/>
  <c r="G2546" i="1"/>
  <c r="G2589" i="1"/>
  <c r="G2625" i="1"/>
  <c r="G2648" i="1"/>
  <c r="G2678" i="1"/>
  <c r="G2700" i="1"/>
  <c r="G2761" i="1"/>
  <c r="G2782" i="1"/>
  <c r="G2802" i="1"/>
  <c r="G2824" i="1"/>
  <c r="G2846" i="1"/>
  <c r="G2872" i="1"/>
  <c r="G2892" i="1"/>
  <c r="G2913" i="1"/>
  <c r="G2935" i="1"/>
  <c r="G39" i="1"/>
  <c r="G83" i="1"/>
  <c r="G114" i="1"/>
  <c r="G141" i="1"/>
  <c r="G165" i="1"/>
  <c r="G190" i="1"/>
  <c r="G222" i="1"/>
  <c r="G251" i="1"/>
  <c r="G275" i="1"/>
  <c r="G305" i="1"/>
  <c r="G344" i="1"/>
  <c r="G382" i="1"/>
  <c r="G414" i="1"/>
  <c r="G437" i="1"/>
  <c r="G461" i="1"/>
  <c r="G484" i="1"/>
  <c r="G510" i="1"/>
  <c r="G534" i="1"/>
  <c r="G557" i="1"/>
  <c r="G598" i="1"/>
  <c r="G621" i="1"/>
  <c r="G660" i="1"/>
  <c r="G683" i="1"/>
  <c r="G705" i="1"/>
  <c r="G729" i="1"/>
  <c r="G752" i="1"/>
  <c r="G801" i="1"/>
  <c r="G823" i="1"/>
  <c r="G845" i="1"/>
  <c r="G880" i="1"/>
  <c r="G902" i="1"/>
  <c r="G924" i="1"/>
  <c r="G950" i="1"/>
  <c r="G974" i="1"/>
  <c r="G996" i="1"/>
  <c r="G1039" i="1"/>
  <c r="G1071" i="1"/>
  <c r="G1096" i="1"/>
  <c r="G1120" i="1"/>
  <c r="G1144" i="1"/>
  <c r="G1167" i="1"/>
  <c r="G1192" i="1"/>
  <c r="G1216" i="1"/>
  <c r="G1243" i="1"/>
  <c r="G1267" i="1"/>
  <c r="G1292" i="1"/>
  <c r="G1315" i="1"/>
  <c r="G1339" i="1"/>
  <c r="G1363" i="1"/>
  <c r="G1400" i="1"/>
  <c r="G1424" i="1"/>
  <c r="G1451" i="1"/>
  <c r="G1478" i="1"/>
  <c r="G1501" i="1"/>
  <c r="G1525" i="1"/>
  <c r="G1547" i="1"/>
  <c r="G1572" i="1"/>
  <c r="G1594" i="1"/>
  <c r="G1618" i="1"/>
  <c r="G1639" i="1"/>
  <c r="G1661" i="1"/>
  <c r="G1684" i="1"/>
  <c r="G1706" i="1"/>
  <c r="G1729" i="1"/>
  <c r="G1754" i="1"/>
  <c r="G1780" i="1"/>
  <c r="G1802" i="1"/>
  <c r="G1825" i="1"/>
  <c r="G1847" i="1"/>
  <c r="G1869" i="1"/>
  <c r="G1904" i="1"/>
  <c r="G1927" i="1"/>
  <c r="G1952" i="1"/>
  <c r="G1983" i="1"/>
  <c r="G2005" i="1"/>
  <c r="G2027" i="1"/>
  <c r="G2049" i="1"/>
  <c r="G2071" i="1"/>
  <c r="G2093" i="1"/>
  <c r="G2116" i="1"/>
  <c r="G2153" i="1"/>
  <c r="G2177" i="1"/>
  <c r="G2200" i="1"/>
  <c r="G2225" i="1"/>
  <c r="G2250" i="1"/>
  <c r="G2319" i="1"/>
  <c r="G2341" i="1"/>
  <c r="G2364" i="1"/>
  <c r="G2386" i="1"/>
  <c r="G2409" i="1"/>
  <c r="G2480" i="1"/>
  <c r="G2512" i="1"/>
  <c r="G2547" i="1"/>
  <c r="G2591" i="1"/>
  <c r="G2626" i="1"/>
  <c r="G2654" i="1"/>
  <c r="G2679" i="1"/>
  <c r="G2701" i="1"/>
  <c r="G2762" i="1"/>
  <c r="G2783" i="1"/>
  <c r="G2803" i="1"/>
  <c r="G2825" i="1"/>
  <c r="G2847" i="1"/>
  <c r="G2873" i="1"/>
  <c r="G2893" i="1"/>
  <c r="G2914" i="1"/>
  <c r="G2936" i="1"/>
  <c r="G2742" i="1"/>
  <c r="G795" i="1"/>
  <c r="G2738" i="1"/>
  <c r="G1373" i="1"/>
  <c r="G42" i="1"/>
  <c r="G90" i="1"/>
  <c r="G123" i="1"/>
  <c r="G143" i="1"/>
  <c r="G167" i="1"/>
  <c r="G192" i="1"/>
  <c r="G224" i="1"/>
  <c r="G253" i="1"/>
  <c r="G277" i="1"/>
  <c r="G314" i="1"/>
  <c r="G346" i="1"/>
  <c r="G384" i="1"/>
  <c r="G417" i="1"/>
  <c r="G439" i="1"/>
  <c r="G463" i="1"/>
  <c r="G487" i="1"/>
  <c r="G513" i="1"/>
  <c r="G536" i="1"/>
  <c r="G576" i="1"/>
  <c r="G15" i="1"/>
  <c r="G47" i="1"/>
  <c r="G97" i="1"/>
  <c r="G126" i="1"/>
  <c r="G146" i="1"/>
  <c r="G173" i="1"/>
  <c r="G198" i="1"/>
  <c r="G227" i="1"/>
  <c r="G256" i="1"/>
  <c r="G280" i="1"/>
  <c r="G320" i="1"/>
  <c r="G350" i="1"/>
  <c r="G387" i="1"/>
  <c r="G420" i="1"/>
  <c r="G444" i="1"/>
  <c r="G466" i="1"/>
  <c r="G490" i="1"/>
  <c r="G516" i="1"/>
  <c r="G540" i="1"/>
  <c r="G562" i="1"/>
  <c r="G603" i="1"/>
  <c r="G626" i="1"/>
  <c r="G666" i="1"/>
  <c r="G688" i="1"/>
  <c r="G711" i="1"/>
  <c r="G734" i="1"/>
  <c r="G757" i="1"/>
  <c r="G806" i="1"/>
  <c r="G828" i="1"/>
  <c r="G852" i="1"/>
  <c r="G885" i="1"/>
  <c r="G907" i="1"/>
  <c r="G929" i="1"/>
  <c r="G957" i="1"/>
  <c r="G979" i="1"/>
  <c r="G1001" i="1"/>
  <c r="G1047" i="1"/>
  <c r="G1077" i="1"/>
  <c r="G1102" i="1"/>
  <c r="G1126" i="1"/>
  <c r="G1149" i="1"/>
  <c r="G1173" i="1"/>
  <c r="G1198" i="1"/>
  <c r="G1226" i="1"/>
  <c r="G1249" i="1"/>
  <c r="G1273" i="1"/>
  <c r="G1298" i="1"/>
  <c r="G1321" i="1"/>
  <c r="G1345" i="1"/>
  <c r="G1382" i="1"/>
  <c r="G1406" i="1"/>
  <c r="G1434" i="1"/>
  <c r="G1458" i="1"/>
  <c r="G1485" i="1"/>
  <c r="G1508" i="1"/>
  <c r="G1530" i="1"/>
  <c r="G1552" i="1"/>
  <c r="G1577" i="1"/>
  <c r="G1599" i="1"/>
  <c r="G1623" i="1"/>
  <c r="G1645" i="1"/>
  <c r="G1667" i="1"/>
  <c r="G1689" i="1"/>
  <c r="G1711" i="1"/>
  <c r="G1735" i="1"/>
  <c r="G1760" i="1"/>
  <c r="G1786" i="1"/>
  <c r="G1808" i="1"/>
  <c r="G1831" i="1"/>
  <c r="G1853" i="1"/>
  <c r="G1888" i="1"/>
  <c r="G1910" i="1"/>
  <c r="G1933" i="1"/>
  <c r="G1962" i="1"/>
  <c r="G1989" i="1"/>
  <c r="G2011" i="1"/>
  <c r="G2033" i="1"/>
  <c r="G2055" i="1"/>
  <c r="G2077" i="1"/>
  <c r="G2099" i="1"/>
  <c r="G2121" i="1"/>
  <c r="G2159" i="1"/>
  <c r="G2183" i="1"/>
  <c r="G2206" i="1"/>
  <c r="G2231" i="1"/>
  <c r="G2259" i="1"/>
  <c r="G2324" i="1"/>
  <c r="G2347" i="1"/>
  <c r="G2370" i="1"/>
  <c r="G2392" i="1"/>
  <c r="G2449" i="1"/>
  <c r="G2487" i="1"/>
  <c r="G2521" i="1"/>
  <c r="G2555" i="1"/>
  <c r="G2603" i="1"/>
  <c r="G2631" i="1"/>
  <c r="G2661" i="1"/>
  <c r="G2684" i="1"/>
  <c r="G2747" i="1"/>
  <c r="G2768" i="1"/>
  <c r="G2788" i="1"/>
  <c r="G2809" i="1"/>
  <c r="G2831" i="1"/>
  <c r="G2853" i="1"/>
  <c r="G2878" i="1"/>
  <c r="G2898" i="1"/>
  <c r="G2920" i="1"/>
  <c r="G2947" i="1"/>
  <c r="G49" i="1"/>
  <c r="G127" i="1"/>
  <c r="G149" i="1"/>
  <c r="G228" i="1"/>
  <c r="G281" i="1"/>
  <c r="G352" i="1"/>
  <c r="G421" i="1"/>
  <c r="G468" i="1"/>
  <c r="G517" i="1"/>
  <c r="G563" i="1"/>
  <c r="G627" i="1"/>
  <c r="G712" i="1"/>
  <c r="G758" i="1"/>
  <c r="G829" i="1"/>
  <c r="G886" i="1"/>
  <c r="G930" i="1"/>
  <c r="G980" i="1"/>
  <c r="G1049" i="1"/>
  <c r="G1127" i="1"/>
  <c r="G1174" i="1"/>
  <c r="G1227" i="1"/>
  <c r="G1274" i="1"/>
  <c r="G1322" i="1"/>
  <c r="G1407" i="1"/>
  <c r="G1486" i="1"/>
  <c r="G1532" i="1"/>
  <c r="G1553" i="1"/>
  <c r="G1601" i="1"/>
  <c r="G1646" i="1"/>
  <c r="G1690" i="1"/>
  <c r="G1761" i="1"/>
  <c r="G1809" i="1"/>
  <c r="G1854" i="1"/>
  <c r="G1911" i="1"/>
  <c r="G1934" i="1"/>
  <c r="G1990" i="1"/>
  <c r="G2034" i="1"/>
  <c r="G2078" i="1"/>
  <c r="G2100" i="1"/>
  <c r="G2160" i="1"/>
  <c r="G2232" i="1"/>
  <c r="G2393" i="1"/>
  <c r="G2490" i="1"/>
  <c r="G2556" i="1"/>
  <c r="G2662" i="1"/>
  <c r="G2748" i="1"/>
  <c r="G2789" i="1"/>
  <c r="G2854" i="1"/>
  <c r="G2879" i="1"/>
  <c r="G2921" i="1"/>
  <c r="G16" i="1"/>
  <c r="G98" i="1"/>
  <c r="G174" i="1"/>
  <c r="G200" i="1"/>
  <c r="G257" i="1"/>
  <c r="G324" i="1"/>
  <c r="G388" i="1"/>
  <c r="G445" i="1"/>
  <c r="G492" i="1"/>
  <c r="G541" i="1"/>
  <c r="G605" i="1"/>
  <c r="G667" i="1"/>
  <c r="G735" i="1"/>
  <c r="G807" i="1"/>
  <c r="G857" i="1"/>
  <c r="G908" i="1"/>
  <c r="G958" i="1"/>
  <c r="G1002" i="1"/>
  <c r="G1078" i="1"/>
  <c r="G1103" i="1"/>
  <c r="G1251" i="1"/>
  <c r="G1299" i="1"/>
  <c r="G1346" i="1"/>
  <c r="G1435" i="1"/>
  <c r="G1459" i="1"/>
  <c r="G1509" i="1"/>
  <c r="G1578" i="1"/>
  <c r="G1712" i="1"/>
  <c r="G1736" i="1"/>
  <c r="G1787" i="1"/>
  <c r="G1832" i="1"/>
  <c r="G1889" i="1"/>
  <c r="G1963" i="1"/>
  <c r="G2012" i="1"/>
  <c r="G2056" i="1"/>
  <c r="G2207" i="1"/>
  <c r="G2260" i="1"/>
  <c r="G2326" i="1"/>
  <c r="G2371" i="1"/>
  <c r="G2450" i="1"/>
  <c r="G2522" i="1"/>
  <c r="G2606" i="1"/>
  <c r="G2632" i="1"/>
  <c r="G2769" i="1"/>
  <c r="G2810" i="1"/>
  <c r="G2832" i="1"/>
  <c r="G2948" i="1"/>
  <c r="G2962" i="1"/>
  <c r="G1874" i="1"/>
  <c r="G27" i="1"/>
  <c r="G65" i="1"/>
  <c r="G106" i="1"/>
  <c r="G134" i="1"/>
  <c r="G156" i="1"/>
  <c r="G182" i="1"/>
  <c r="G240" i="1"/>
  <c r="G264" i="1"/>
  <c r="G288" i="1"/>
  <c r="G333" i="1"/>
  <c r="G368" i="1"/>
  <c r="G407" i="1"/>
  <c r="G429" i="1"/>
  <c r="G453" i="1"/>
  <c r="G475" i="1"/>
  <c r="G500" i="1"/>
  <c r="G525" i="1"/>
  <c r="G549" i="1"/>
  <c r="G590" i="1"/>
  <c r="G612" i="1"/>
  <c r="G675" i="1"/>
  <c r="G720" i="1"/>
  <c r="G744" i="1"/>
  <c r="G766" i="1"/>
  <c r="G815" i="1"/>
  <c r="G872" i="1"/>
  <c r="G893" i="1"/>
  <c r="G917" i="1"/>
  <c r="G941" i="1"/>
  <c r="G966" i="1"/>
  <c r="G988" i="1"/>
  <c r="G1015" i="1"/>
  <c r="G1112" i="1"/>
  <c r="G1235" i="1"/>
  <c r="G1283" i="1"/>
  <c r="G1354" i="1"/>
  <c r="G1494" i="1"/>
  <c r="G1517" i="1"/>
  <c r="G1539" i="1"/>
  <c r="G1609" i="1"/>
  <c r="G1720" i="1"/>
  <c r="G1746" i="1"/>
  <c r="G1770" i="1"/>
  <c r="G1840" i="1"/>
  <c r="G1862" i="1"/>
  <c r="G1919" i="1"/>
  <c r="G1971" i="1"/>
  <c r="G2019" i="1"/>
  <c r="G2041" i="1"/>
  <c r="G2064" i="1"/>
  <c r="G2086" i="1"/>
  <c r="G2108" i="1"/>
  <c r="G2217" i="1"/>
  <c r="G2307" i="1"/>
  <c r="G2333" i="1"/>
  <c r="G2379" i="1"/>
  <c r="G2471" i="1"/>
  <c r="G2570" i="1"/>
  <c r="G2617" i="1"/>
  <c r="G2640" i="1"/>
  <c r="G2670" i="1"/>
  <c r="G2755" i="1"/>
  <c r="G2776" i="1"/>
  <c r="G2796" i="1"/>
  <c r="G2862" i="1"/>
  <c r="G2906" i="1"/>
  <c r="G1021" i="1"/>
  <c r="G578" i="1"/>
  <c r="G396" i="1"/>
  <c r="G2283" i="1"/>
  <c r="G567" i="1"/>
  <c r="G2269" i="1"/>
  <c r="G2267" i="1" s="1"/>
  <c r="G76" i="1"/>
  <c r="G51" i="1"/>
  <c r="G1871" i="1"/>
  <c r="G772" i="1"/>
  <c r="G2651" i="1"/>
  <c r="G2300" i="1"/>
  <c r="G559" i="1"/>
  <c r="G600" i="1"/>
  <c r="G685" i="1"/>
  <c r="G825" i="1"/>
  <c r="G882" i="1"/>
  <c r="G926" i="1"/>
  <c r="G954" i="1"/>
  <c r="G1042" i="1"/>
  <c r="G1098" i="1"/>
  <c r="G1122" i="1"/>
  <c r="G1146" i="1"/>
  <c r="G1194" i="1"/>
  <c r="G1223" i="1"/>
  <c r="G1246" i="1"/>
  <c r="G1269" i="1"/>
  <c r="G1341" i="1"/>
  <c r="G1402" i="1"/>
  <c r="G1453" i="1"/>
  <c r="G1482" i="1"/>
  <c r="G1527" i="1"/>
  <c r="G1574" i="1"/>
  <c r="G1641" i="1"/>
  <c r="G1686" i="1"/>
  <c r="G1708" i="1"/>
  <c r="G1756" i="1"/>
  <c r="G1782" i="1"/>
  <c r="G1882" i="1"/>
  <c r="G1907" i="1"/>
  <c r="G1959" i="1"/>
  <c r="G2051" i="1"/>
  <c r="G2074" i="1"/>
  <c r="G2118" i="1"/>
  <c r="G2155" i="1"/>
  <c r="G2203" i="1"/>
  <c r="G2228" i="1"/>
  <c r="G2252" i="1"/>
  <c r="G2321" i="1"/>
  <c r="G2389" i="1"/>
  <c r="G2411" i="1"/>
  <c r="G2598" i="1"/>
  <c r="G2681" i="1"/>
  <c r="G2785" i="1"/>
  <c r="G2828" i="1"/>
  <c r="G2895" i="1"/>
  <c r="G2916" i="1"/>
  <c r="G9" i="1"/>
  <c r="G44" i="1"/>
  <c r="G124" i="1"/>
  <c r="G144" i="1"/>
  <c r="G168" i="1"/>
  <c r="G225" i="1"/>
  <c r="G347" i="1"/>
  <c r="G385" i="1"/>
  <c r="G418" i="1"/>
  <c r="G440" i="1"/>
  <c r="G464" i="1"/>
  <c r="G488" i="1"/>
  <c r="G514" i="1"/>
  <c r="G560" i="1"/>
  <c r="G601" i="1"/>
  <c r="G624" i="1"/>
  <c r="G664" i="1"/>
  <c r="G686" i="1"/>
  <c r="G755" i="1"/>
  <c r="G804" i="1"/>
  <c r="G826" i="1"/>
  <c r="G848" i="1"/>
  <c r="G905" i="1"/>
  <c r="G927" i="1"/>
  <c r="G955" i="1"/>
  <c r="G999" i="1"/>
  <c r="G1043" i="1"/>
  <c r="G1075" i="1"/>
  <c r="G1099" i="1"/>
  <c r="G1147" i="1"/>
  <c r="G1171" i="1"/>
  <c r="G1196" i="1"/>
  <c r="G1271" i="1"/>
  <c r="G1342" i="1"/>
  <c r="G1366" i="1"/>
  <c r="G1427" i="1"/>
  <c r="G1456" i="1"/>
  <c r="G1597" i="1"/>
  <c r="G1643" i="1"/>
  <c r="G1665" i="1"/>
  <c r="G1687" i="1"/>
  <c r="G1709" i="1"/>
  <c r="G1732" i="1"/>
  <c r="G1851" i="1"/>
  <c r="G1908" i="1"/>
  <c r="G1930" i="1"/>
  <c r="G1960" i="1"/>
  <c r="G2009" i="1"/>
  <c r="G2052" i="1"/>
  <c r="G2075" i="1"/>
  <c r="G2097" i="1"/>
  <c r="G2119" i="1"/>
  <c r="G2156" i="1"/>
  <c r="G2180" i="1"/>
  <c r="G2204" i="1"/>
  <c r="G2229" i="1"/>
  <c r="G2253" i="1"/>
  <c r="G2322" i="1"/>
  <c r="G2345" i="1"/>
  <c r="G2367" i="1"/>
  <c r="G2390" i="1"/>
  <c r="G2485" i="1"/>
  <c r="G2517" i="1"/>
  <c r="G2601" i="1"/>
  <c r="G2629" i="1"/>
  <c r="G2659" i="1"/>
  <c r="G2682" i="1"/>
  <c r="G2704" i="1"/>
  <c r="G2766" i="1"/>
  <c r="G2786" i="1"/>
  <c r="G2807" i="1"/>
  <c r="G2829" i="1"/>
  <c r="G2850" i="1"/>
  <c r="G2876" i="1"/>
  <c r="G2896" i="1"/>
  <c r="G2945" i="1"/>
  <c r="G372" i="1"/>
  <c r="G2710" i="1"/>
  <c r="G2705" i="1" s="1"/>
  <c r="G2430" i="1"/>
  <c r="G2724" i="1"/>
  <c r="G2725" i="1"/>
  <c r="G2969" i="1"/>
  <c r="G792" i="1"/>
  <c r="G2265" i="1"/>
  <c r="G2135" i="1"/>
  <c r="G2279" i="1"/>
  <c r="G639" i="1"/>
  <c r="G2455" i="1"/>
  <c r="G777" i="1"/>
  <c r="G642" i="1"/>
  <c r="G635" i="1"/>
  <c r="G1943" i="1"/>
  <c r="G2278" i="1"/>
  <c r="G1877" i="1"/>
  <c r="G2425" i="1"/>
  <c r="G643" i="1"/>
  <c r="G309" i="1"/>
  <c r="G2435" i="1"/>
  <c r="G18" i="1"/>
  <c r="G50" i="1"/>
  <c r="G128" i="1"/>
  <c r="G175" i="1"/>
  <c r="G201" i="1"/>
  <c r="G356" i="1"/>
  <c r="G422" i="1"/>
  <c r="G469" i="1"/>
  <c r="G493" i="1"/>
  <c r="G542" i="1"/>
  <c r="G606" i="1"/>
  <c r="G628" i="1"/>
  <c r="G691" i="1"/>
  <c r="G738" i="1"/>
  <c r="G760" i="1"/>
  <c r="G909" i="1"/>
  <c r="G931" i="1"/>
  <c r="G959" i="1"/>
  <c r="G982" i="1"/>
  <c r="G1003" i="1"/>
  <c r="G1050" i="1"/>
  <c r="G1079" i="1"/>
  <c r="G1175" i="1"/>
  <c r="G1228" i="1"/>
  <c r="G1252" i="1"/>
  <c r="G1275" i="1"/>
  <c r="G1301" i="1"/>
  <c r="G1408" i="1"/>
  <c r="G1436" i="1"/>
  <c r="G1487" i="1"/>
  <c r="G1533" i="1"/>
  <c r="G1554" i="1"/>
  <c r="G1602" i="1"/>
  <c r="G1625" i="1"/>
  <c r="G1647" i="1"/>
  <c r="G1669" i="1"/>
  <c r="G1713" i="1"/>
  <c r="G1737" i="1"/>
  <c r="G1762" i="1"/>
  <c r="G1788" i="1"/>
  <c r="G1833" i="1"/>
  <c r="G1855" i="1"/>
  <c r="G1890" i="1"/>
  <c r="G1912" i="1"/>
  <c r="G1935" i="1"/>
  <c r="G1964" i="1"/>
  <c r="G2013" i="1"/>
  <c r="G2035" i="1"/>
  <c r="G2079" i="1"/>
  <c r="G2123" i="1"/>
  <c r="G2161" i="1"/>
  <c r="G2210" i="1"/>
  <c r="G2262" i="1"/>
  <c r="G2327" i="1"/>
  <c r="G2372" i="1"/>
  <c r="G2394" i="1"/>
  <c r="G2460" i="1"/>
  <c r="G2491" i="1"/>
  <c r="G2559" i="1"/>
  <c r="G2634" i="1"/>
  <c r="G2663" i="1"/>
  <c r="G2749" i="1"/>
  <c r="G2770" i="1"/>
  <c r="G2790" i="1"/>
  <c r="G2811" i="1"/>
  <c r="G2855" i="1"/>
  <c r="G2880" i="1"/>
  <c r="G2900" i="1"/>
  <c r="G2922" i="1"/>
  <c r="G2949" i="1"/>
  <c r="G1873" i="1"/>
  <c r="G371" i="1"/>
  <c r="G568" i="1"/>
  <c r="G2136" i="1"/>
  <c r="G2271" i="1"/>
  <c r="G566" i="1"/>
  <c r="G1370" i="1"/>
  <c r="G632" i="1"/>
  <c r="G1976" i="1"/>
  <c r="G1377" i="1"/>
  <c r="G1024" i="1"/>
  <c r="G2291" i="1"/>
  <c r="G2970" i="1"/>
  <c r="G575" i="1"/>
  <c r="G1942" i="1"/>
  <c r="G1954" i="1"/>
  <c r="G2729" i="1"/>
  <c r="G74" i="1"/>
  <c r="G2737" i="1"/>
  <c r="G370" i="1"/>
  <c r="G791" i="1"/>
  <c r="G789" i="1" s="1"/>
  <c r="G1378" i="1"/>
  <c r="G780" i="1"/>
  <c r="G641" i="1"/>
  <c r="G1375" i="1"/>
  <c r="G2707" i="1"/>
  <c r="G779" i="1"/>
  <c r="G640" i="1"/>
  <c r="G1876" i="1"/>
  <c r="G2716" i="1"/>
  <c r="G2439" i="1"/>
  <c r="G307" i="1"/>
  <c r="G2733" i="1"/>
  <c r="G935" i="1"/>
  <c r="G1025" i="1"/>
  <c r="G2432" i="1"/>
  <c r="G397" i="1"/>
  <c r="G2288" i="1"/>
  <c r="G572" i="1"/>
  <c r="G571" i="1"/>
  <c r="G401" i="1"/>
  <c r="G1022" i="1"/>
  <c r="G2418" i="1"/>
  <c r="G2941" i="1"/>
  <c r="G2441" i="1"/>
  <c r="G638" i="1"/>
  <c r="G2285" i="1"/>
  <c r="G73" i="1"/>
  <c r="G209" i="1"/>
  <c r="G2723" i="1"/>
  <c r="G785" i="1"/>
  <c r="G631" i="1"/>
  <c r="G2277" i="1"/>
  <c r="G579" i="1"/>
  <c r="G2266" i="1"/>
  <c r="G2980" i="1"/>
  <c r="G2974" i="1" s="1"/>
  <c r="G788" i="1"/>
  <c r="G1974" i="1"/>
  <c r="G581" i="1"/>
  <c r="G2276" i="1"/>
  <c r="G1975" i="1"/>
  <c r="G55" i="1"/>
  <c r="G119" i="1"/>
  <c r="G400" i="1"/>
  <c r="G1953" i="1"/>
  <c r="G2650" i="1"/>
  <c r="G2437" i="1"/>
  <c r="G1376" i="1"/>
  <c r="G2426" i="1"/>
  <c r="G2940" i="1"/>
  <c r="G2126" i="1"/>
  <c r="G1379" i="1"/>
  <c r="G2296" i="1"/>
  <c r="G1371" i="1"/>
  <c r="G2286" i="1"/>
  <c r="G2429" i="1"/>
  <c r="G2722" i="1"/>
  <c r="G1428" i="1"/>
  <c r="G778" i="1"/>
  <c r="G2727" i="1" l="1"/>
  <c r="G1368" i="1"/>
  <c r="G775" i="1"/>
  <c r="G2281" i="1"/>
  <c r="G93" i="1"/>
  <c r="G2806" i="1"/>
  <c r="G2484" i="1"/>
  <c r="G2483" i="1" s="1"/>
  <c r="G1663" i="1"/>
  <c r="G1426" i="1"/>
  <c r="G1169" i="1"/>
  <c r="G904" i="1"/>
  <c r="G623" i="1"/>
  <c r="G2929" i="1"/>
  <c r="G2927" i="1" s="1"/>
  <c r="G1795" i="1"/>
  <c r="G1564" i="1"/>
  <c r="G1307" i="1"/>
  <c r="G215" i="1"/>
  <c r="G2122" i="1"/>
  <c r="G1624" i="1"/>
  <c r="G1150" i="1"/>
  <c r="G2610" i="1"/>
  <c r="G2234" i="1"/>
  <c r="G1991" i="1"/>
  <c r="G1510" i="1"/>
  <c r="G713" i="1"/>
  <c r="G446" i="1"/>
  <c r="G150" i="1"/>
  <c r="G2412" i="1"/>
  <c r="G1884" i="1"/>
  <c r="G1403" i="1"/>
  <c r="G883" i="1"/>
  <c r="G317" i="1"/>
  <c r="G316" i="1" s="1"/>
  <c r="G2765" i="1"/>
  <c r="G2095" i="1"/>
  <c r="G1850" i="1"/>
  <c r="G1620" i="1"/>
  <c r="G1365" i="1"/>
  <c r="G1362" i="1" s="1"/>
  <c r="G847" i="1"/>
  <c r="G844" i="1" s="1"/>
  <c r="G2886" i="1"/>
  <c r="G2241" i="1"/>
  <c r="G1998" i="1"/>
  <c r="G1259" i="1"/>
  <c r="G1621" i="1"/>
  <c r="G1124" i="1"/>
  <c r="G278" i="1"/>
  <c r="G2703" i="1"/>
  <c r="G2366" i="1"/>
  <c r="G1827" i="1"/>
  <c r="G1596" i="1"/>
  <c r="G697" i="1"/>
  <c r="G2833" i="1"/>
  <c r="G2525" i="1"/>
  <c r="G2524" i="1" s="1"/>
  <c r="G2185" i="1"/>
  <c r="G1691" i="1"/>
  <c r="G1460" i="1"/>
  <c r="G1455" i="1" s="1"/>
  <c r="G1200" i="1"/>
  <c r="G668" i="1"/>
  <c r="G389" i="1"/>
  <c r="G381" i="1" s="1"/>
  <c r="G99" i="1"/>
  <c r="G95" i="1" s="1"/>
  <c r="G1828" i="1"/>
  <c r="G537" i="1"/>
  <c r="G254" i="1"/>
  <c r="G2938" i="1"/>
  <c r="G2344" i="1"/>
  <c r="G1804" i="1"/>
  <c r="G1318" i="1"/>
  <c r="G1073" i="1"/>
  <c r="G803" i="1"/>
  <c r="G798" i="1" s="1"/>
  <c r="G2840" i="1"/>
  <c r="G2533" i="1"/>
  <c r="G2192" i="1"/>
  <c r="G1945" i="1"/>
  <c r="G1698" i="1"/>
  <c r="G1469" i="1"/>
  <c r="G1208" i="1"/>
  <c r="G1806" i="1"/>
  <c r="G1575" i="1"/>
  <c r="G1319" i="1"/>
  <c r="G2658" i="1"/>
  <c r="G2029" i="1"/>
  <c r="G1549" i="1"/>
  <c r="G1295" i="1"/>
  <c r="G754" i="1"/>
  <c r="G2817" i="1"/>
  <c r="G2501" i="1"/>
  <c r="G2168" i="1"/>
  <c r="G1676" i="1"/>
  <c r="G1442" i="1"/>
  <c r="G1184" i="1"/>
  <c r="G1183" i="1" s="1"/>
  <c r="G651" i="1"/>
  <c r="G2899" i="1"/>
  <c r="G2348" i="1"/>
  <c r="G1383" i="1"/>
  <c r="G1152" i="1"/>
  <c r="G887" i="1"/>
  <c r="G326" i="1"/>
  <c r="G2917" i="1"/>
  <c r="G2030" i="1"/>
  <c r="G1784" i="1"/>
  <c r="G1550" i="1"/>
  <c r="G1296" i="1"/>
  <c r="G194" i="1"/>
  <c r="G2628" i="1"/>
  <c r="G2007" i="1"/>
  <c r="G998" i="1"/>
  <c r="G731" i="1"/>
  <c r="G2144" i="1"/>
  <c r="G1897" i="1"/>
  <c r="G1654" i="1"/>
  <c r="G1415" i="1"/>
  <c r="G1158" i="1"/>
  <c r="G2101" i="1"/>
  <c r="G1384" i="1"/>
  <c r="G1128" i="1"/>
  <c r="G863" i="1"/>
  <c r="G862" i="1" s="1"/>
  <c r="G564" i="1"/>
  <c r="G282" i="1"/>
  <c r="G1757" i="1"/>
  <c r="G1528" i="1"/>
  <c r="G732" i="1"/>
  <c r="G2875" i="1"/>
  <c r="G1985" i="1"/>
  <c r="G1731" i="1"/>
  <c r="G1505" i="1"/>
  <c r="G976" i="1"/>
  <c r="G708" i="1"/>
  <c r="G2401" i="1"/>
  <c r="G1632" i="1"/>
  <c r="G1391" i="1"/>
  <c r="G1136" i="1"/>
  <c r="G1347" i="1"/>
  <c r="G1344" i="1" s="1"/>
  <c r="G1104" i="1"/>
  <c r="G830" i="1"/>
  <c r="G258" i="1"/>
  <c r="G1986" i="1"/>
  <c r="G1978" i="1" s="1"/>
  <c r="G1506" i="1"/>
  <c r="G1504" i="1" s="1"/>
  <c r="G1247" i="1"/>
  <c r="G977" i="1"/>
  <c r="G709" i="1"/>
  <c r="G2849" i="1"/>
  <c r="G2550" i="1"/>
  <c r="G837" i="1"/>
  <c r="G2687" i="1"/>
  <c r="G2349" i="1"/>
  <c r="G2057" i="1"/>
  <c r="G1810" i="1"/>
  <c r="G1579" i="1"/>
  <c r="G1323" i="1"/>
  <c r="G809" i="1"/>
  <c r="G518" i="1"/>
  <c r="G230" i="1"/>
  <c r="G2551" i="1"/>
  <c r="G2549" i="1" s="1"/>
  <c r="G1483" i="1"/>
  <c r="G1224" i="1"/>
  <c r="G2514" i="1"/>
  <c r="G2179" i="1"/>
  <c r="G1929" i="1"/>
  <c r="G663" i="1"/>
  <c r="G2955" i="1"/>
  <c r="G2693" i="1"/>
  <c r="G2356" i="1"/>
  <c r="G1816" i="1"/>
  <c r="G1586" i="1"/>
  <c r="G1330" i="1"/>
  <c r="G1086" i="1"/>
  <c r="G2686" i="1"/>
  <c r="G2184" i="1"/>
  <c r="G1668" i="1"/>
  <c r="G1199" i="1"/>
  <c r="G690" i="1"/>
  <c r="G2428" i="1"/>
  <c r="G2125" i="1"/>
  <c r="G2939" i="1"/>
  <c r="G2649" i="1"/>
  <c r="G118" i="1"/>
  <c r="G54" i="1"/>
  <c r="G630" i="1"/>
  <c r="G208" i="1"/>
  <c r="G72" i="1"/>
  <c r="G2440" i="1"/>
  <c r="G2417" i="1"/>
  <c r="G306" i="1"/>
  <c r="G2715" i="1"/>
  <c r="G1374" i="1"/>
  <c r="G369" i="1"/>
  <c r="G574" i="1"/>
  <c r="G1023" i="1"/>
  <c r="G565" i="1"/>
  <c r="G2270" i="1"/>
  <c r="G2609" i="1"/>
  <c r="G2459" i="1"/>
  <c r="G2261" i="1"/>
  <c r="G355" i="1"/>
  <c r="G308" i="1"/>
  <c r="G2454" i="1"/>
  <c r="G2264" i="1"/>
  <c r="G2967" i="1"/>
  <c r="G1883" i="1"/>
  <c r="G1074" i="1"/>
  <c r="G193" i="1"/>
  <c r="G43" i="1"/>
  <c r="G8" i="1"/>
  <c r="G2597" i="1"/>
  <c r="G1041" i="1"/>
  <c r="G2299" i="1"/>
  <c r="G771" i="1"/>
  <c r="G1870" i="1"/>
  <c r="G75" i="1"/>
  <c r="G1020" i="1"/>
  <c r="G2306" i="1"/>
  <c r="G1111" i="1"/>
  <c r="G1014" i="1"/>
  <c r="G367" i="1"/>
  <c r="G26" i="1"/>
  <c r="G2957" i="1"/>
  <c r="G2605" i="1"/>
  <c r="G856" i="1"/>
  <c r="G323" i="1"/>
  <c r="G199" i="1"/>
  <c r="G1048" i="1"/>
  <c r="G351" i="1"/>
  <c r="G48" i="1"/>
  <c r="G2852" i="1"/>
  <c r="G2520" i="1"/>
  <c r="G2448" i="1"/>
  <c r="G2258" i="1"/>
  <c r="G851" i="1"/>
  <c r="G349" i="1"/>
  <c r="G319" i="1"/>
  <c r="G197" i="1"/>
  <c r="G14" i="1"/>
  <c r="G313" i="1"/>
  <c r="G89" i="1"/>
  <c r="G2653" i="1"/>
  <c r="G2590" i="1"/>
  <c r="G1423" i="1"/>
  <c r="G1338" i="1"/>
  <c r="G343" i="1"/>
  <c r="G304" i="1"/>
  <c r="G82" i="1"/>
  <c r="G38" i="1"/>
  <c r="G2588" i="1"/>
  <c r="G2545" i="1"/>
  <c r="G2151" i="1"/>
  <c r="G1032" i="1"/>
  <c r="G302" i="1"/>
  <c r="G2592" i="1"/>
  <c r="G2201" i="1"/>
  <c r="G115" i="1"/>
  <c r="G85" i="1"/>
  <c r="G40" i="1"/>
  <c r="G2044" i="1"/>
  <c r="G1238" i="1"/>
  <c r="G818" i="1"/>
  <c r="G160" i="1"/>
  <c r="G69" i="1"/>
  <c r="G31" i="1"/>
  <c r="G11" i="1"/>
  <c r="G2908" i="1"/>
  <c r="G2536" i="1"/>
  <c r="G2170" i="1"/>
  <c r="G1356" i="1"/>
  <c r="G896" i="1"/>
  <c r="G2530" i="1"/>
  <c r="G363" i="1"/>
  <c r="G1740" i="1"/>
  <c r="G30" i="1"/>
  <c r="G2753" i="1"/>
  <c r="G2376" i="1"/>
  <c r="G2083" i="1"/>
  <c r="G1606" i="1"/>
  <c r="G835" i="1"/>
  <c r="G546" i="1"/>
  <c r="G2952" i="1"/>
  <c r="G2690" i="1"/>
  <c r="G2353" i="1"/>
  <c r="G2060" i="1"/>
  <c r="G1813" i="1"/>
  <c r="G1083" i="1"/>
  <c r="G522" i="1"/>
  <c r="G2956" i="1"/>
  <c r="G2694" i="1"/>
  <c r="G2357" i="1"/>
  <c r="G2065" i="1"/>
  <c r="G1819" i="1"/>
  <c r="G1331" i="1"/>
  <c r="G1087" i="1"/>
  <c r="G816" i="1"/>
  <c r="G241" i="1"/>
  <c r="G1895" i="1"/>
  <c r="G239" i="1"/>
  <c r="G452" i="1"/>
  <c r="G2688" i="1"/>
  <c r="G2058" i="1"/>
  <c r="G1581" i="1"/>
  <c r="G1325" i="1"/>
  <c r="G1080" i="1"/>
  <c r="G2897" i="1"/>
  <c r="G1529" i="1"/>
  <c r="G1272" i="1"/>
  <c r="G1270" i="1" s="1"/>
  <c r="G1000" i="1"/>
  <c r="G733" i="1"/>
  <c r="G145" i="1"/>
  <c r="G2223" i="1"/>
  <c r="G1421" i="1"/>
  <c r="G1164" i="1"/>
  <c r="G596" i="1"/>
  <c r="G2676" i="1"/>
  <c r="G2673" i="1" s="1"/>
  <c r="G2068" i="1"/>
  <c r="G1521" i="1"/>
  <c r="G770" i="1"/>
  <c r="G2882" i="1"/>
  <c r="G2406" i="1"/>
  <c r="G235" i="1"/>
  <c r="G231" i="1"/>
  <c r="G300" i="1"/>
  <c r="G2542" i="1"/>
  <c r="G2360" i="1"/>
  <c r="G820" i="1"/>
  <c r="G2951" i="1"/>
  <c r="G2212" i="1"/>
  <c r="G1463" i="1"/>
  <c r="G715" i="1"/>
  <c r="G130" i="1"/>
  <c r="G162" i="1"/>
  <c r="G1937" i="1"/>
  <c r="G1131" i="1"/>
  <c r="G1418" i="1"/>
  <c r="G295" i="1"/>
  <c r="G2354" i="1"/>
  <c r="G1814" i="1"/>
  <c r="G1584" i="1"/>
  <c r="G1084" i="1"/>
  <c r="G813" i="1"/>
  <c r="G238" i="1"/>
  <c r="G2925" i="1"/>
  <c r="G2667" i="1"/>
  <c r="G2330" i="1"/>
  <c r="G2038" i="1"/>
  <c r="G1791" i="1"/>
  <c r="G1561" i="1"/>
  <c r="G1304" i="1"/>
  <c r="G1055" i="1"/>
  <c r="G763" i="1"/>
  <c r="G496" i="1"/>
  <c r="G207" i="1"/>
  <c r="G2930" i="1"/>
  <c r="G2335" i="1"/>
  <c r="G2042" i="1"/>
  <c r="G1796" i="1"/>
  <c r="G1565" i="1"/>
  <c r="G1309" i="1"/>
  <c r="G216" i="1"/>
  <c r="G1353" i="1"/>
  <c r="G939" i="1"/>
  <c r="G674" i="1"/>
  <c r="G214" i="1"/>
  <c r="G2467" i="1"/>
  <c r="G1861" i="1"/>
  <c r="G1390" i="1"/>
  <c r="G2328" i="1"/>
  <c r="G2036" i="1"/>
  <c r="G1302" i="1"/>
  <c r="G1052" i="1"/>
  <c r="G761" i="1"/>
  <c r="G203" i="1"/>
  <c r="G2602" i="1"/>
  <c r="G2230" i="1"/>
  <c r="G1988" i="1"/>
  <c r="G1734" i="1"/>
  <c r="G1507" i="1"/>
  <c r="G978" i="1"/>
  <c r="G441" i="1"/>
  <c r="G1925" i="1"/>
  <c r="G1923" i="1" s="1"/>
  <c r="G1659" i="1"/>
  <c r="G1397" i="1"/>
  <c r="G2644" i="1"/>
  <c r="G2002" i="1"/>
  <c r="G679" i="1"/>
  <c r="G1915" i="1"/>
  <c r="G2845" i="1"/>
  <c r="G921" i="1"/>
  <c r="G1857" i="1"/>
  <c r="G1009" i="1"/>
  <c r="G365" i="1"/>
  <c r="G2664" i="1"/>
  <c r="G842" i="1"/>
  <c r="G554" i="1"/>
  <c r="G1498" i="1"/>
  <c r="G2857" i="1"/>
  <c r="G1254" i="1"/>
  <c r="G495" i="1"/>
  <c r="G491" i="1" s="1"/>
  <c r="G59" i="1"/>
  <c r="G1864" i="1"/>
  <c r="G1634" i="1"/>
  <c r="G1394" i="1"/>
  <c r="G551" i="1"/>
  <c r="G2331" i="1"/>
  <c r="G2039" i="1"/>
  <c r="G1792" i="1"/>
  <c r="G1562" i="1"/>
  <c r="G1305" i="1"/>
  <c r="G764" i="1"/>
  <c r="G212" i="1"/>
  <c r="G2903" i="1"/>
  <c r="G2637" i="1"/>
  <c r="G2295" i="1"/>
  <c r="G2016" i="1"/>
  <c r="G1767" i="1"/>
  <c r="G741" i="1"/>
  <c r="G472" i="1"/>
  <c r="G178" i="1"/>
  <c r="G172" i="1" s="1"/>
  <c r="G2907" i="1"/>
  <c r="G2641" i="1"/>
  <c r="G1540" i="1"/>
  <c r="G745" i="1"/>
  <c r="G476" i="1"/>
  <c r="G183" i="1"/>
  <c r="G650" i="1"/>
  <c r="G2901" i="1"/>
  <c r="G2014" i="1"/>
  <c r="G1763" i="1"/>
  <c r="G1758" i="1" s="1"/>
  <c r="G1276" i="1"/>
  <c r="G1005" i="1"/>
  <c r="G739" i="1"/>
  <c r="G470" i="1"/>
  <c r="G2851" i="1"/>
  <c r="G2554" i="1"/>
  <c r="G1961" i="1"/>
  <c r="G1710" i="1"/>
  <c r="G1484" i="1"/>
  <c r="G1225" i="1"/>
  <c r="G956" i="1"/>
  <c r="G687" i="1"/>
  <c r="G419" i="1"/>
  <c r="G1637" i="1"/>
  <c r="G1360" i="1"/>
  <c r="G1118" i="1"/>
  <c r="G821" i="1"/>
  <c r="G532" i="1"/>
  <c r="G247" i="1"/>
  <c r="G2933" i="1"/>
  <c r="G1949" i="1"/>
  <c r="G1420" i="1"/>
  <c r="G595" i="1"/>
  <c r="G2813" i="1"/>
  <c r="G2823" i="1"/>
  <c r="G2407" i="1"/>
  <c r="G2313" i="1"/>
  <c r="G2835" i="1"/>
  <c r="G2140" i="1"/>
  <c r="G1410" i="1"/>
  <c r="G647" i="1"/>
  <c r="G1569" i="1"/>
  <c r="G841" i="1"/>
  <c r="G1812" i="1"/>
  <c r="G1544" i="1"/>
  <c r="G657" i="1"/>
  <c r="G2792" i="1"/>
  <c r="G2081" i="1"/>
  <c r="G544" i="1"/>
  <c r="G2902" i="1"/>
  <c r="G933" i="1"/>
  <c r="G949" i="1"/>
  <c r="G682" i="1"/>
  <c r="G113" i="1"/>
  <c r="G2784" i="1"/>
  <c r="G2410" i="1"/>
  <c r="G2117" i="1"/>
  <c r="G1881" i="1"/>
  <c r="G1640" i="1"/>
  <c r="G1401" i="1"/>
  <c r="G1145" i="1"/>
  <c r="G881" i="1"/>
  <c r="G312" i="1"/>
  <c r="G2779" i="1"/>
  <c r="G2111" i="1"/>
  <c r="G1865" i="1"/>
  <c r="G1635" i="1"/>
  <c r="G1395" i="1"/>
  <c r="G1139" i="1"/>
  <c r="G875" i="1"/>
  <c r="G297" i="1"/>
  <c r="G2757" i="1"/>
  <c r="G1842" i="1"/>
  <c r="G1611" i="1"/>
  <c r="G817" i="1"/>
  <c r="G527" i="1"/>
  <c r="G242" i="1"/>
  <c r="G2904" i="1"/>
  <c r="G2638" i="1"/>
  <c r="G2304" i="1"/>
  <c r="G2017" i="1"/>
  <c r="G1768" i="1"/>
  <c r="G1537" i="1"/>
  <c r="G1012" i="1"/>
  <c r="G179" i="1"/>
  <c r="G2614" i="1"/>
  <c r="G2237" i="1"/>
  <c r="G1514" i="1"/>
  <c r="G985" i="1"/>
  <c r="G717" i="1"/>
  <c r="G449" i="1"/>
  <c r="G153" i="1"/>
  <c r="G2887" i="1"/>
  <c r="G2242" i="1"/>
  <c r="G1999" i="1"/>
  <c r="G1747" i="1"/>
  <c r="G1744" i="1" s="1"/>
  <c r="G1260" i="1"/>
  <c r="G989" i="1"/>
  <c r="G721" i="1"/>
  <c r="G2191" i="1"/>
  <c r="G1769" i="1"/>
  <c r="G1258" i="1"/>
  <c r="G892" i="1"/>
  <c r="G589" i="1"/>
  <c r="G105" i="1"/>
  <c r="G2775" i="1"/>
  <c r="G263" i="1"/>
  <c r="G2881" i="1"/>
  <c r="G2612" i="1"/>
  <c r="G2235" i="1"/>
  <c r="G1992" i="1"/>
  <c r="G1738" i="1"/>
  <c r="G1253" i="1"/>
  <c r="G151" i="1"/>
  <c r="G2518" i="1"/>
  <c r="G1931" i="1"/>
  <c r="G1688" i="1"/>
  <c r="G928" i="1"/>
  <c r="G665" i="1"/>
  <c r="G386" i="1"/>
  <c r="G1867" i="1"/>
  <c r="G1614" i="1"/>
  <c r="G1336" i="1"/>
  <c r="G1332" i="1" s="1"/>
  <c r="G2540" i="1"/>
  <c r="G1106" i="1"/>
  <c r="G2247" i="1"/>
  <c r="G2221" i="1"/>
  <c r="G1326" i="1"/>
  <c r="G2689" i="1"/>
  <c r="G868" i="1"/>
  <c r="G45" i="1"/>
  <c r="G508" i="1"/>
  <c r="G2890" i="1"/>
  <c r="G1866" i="1"/>
  <c r="G531" i="1"/>
  <c r="G2772" i="1"/>
  <c r="G2149" i="1"/>
  <c r="G2145" i="1" s="1"/>
  <c r="G1448" i="1"/>
  <c r="G553" i="1"/>
  <c r="G1303" i="1"/>
  <c r="G471" i="1"/>
  <c r="G2624" i="1"/>
  <c r="G1475" i="1"/>
  <c r="G749" i="1"/>
  <c r="G1764" i="1"/>
  <c r="G1089" i="1"/>
  <c r="G502" i="1"/>
  <c r="G497" i="1" s="1"/>
  <c r="G217" i="1"/>
  <c r="G2615" i="1"/>
  <c r="G1995" i="1"/>
  <c r="G1515" i="1"/>
  <c r="G986" i="1"/>
  <c r="G451" i="1"/>
  <c r="G154" i="1"/>
  <c r="G2859" i="1"/>
  <c r="G2565" i="1"/>
  <c r="G2213" i="1"/>
  <c r="G1968" i="1"/>
  <c r="G1717" i="1"/>
  <c r="G1232" i="1"/>
  <c r="G963" i="1"/>
  <c r="G694" i="1"/>
  <c r="G426" i="1"/>
  <c r="G2863" i="1"/>
  <c r="G2575" i="1"/>
  <c r="G2218" i="1"/>
  <c r="G1721" i="1"/>
  <c r="G1495" i="1"/>
  <c r="G1236" i="1"/>
  <c r="G967" i="1"/>
  <c r="G2143" i="1"/>
  <c r="G1234" i="1"/>
  <c r="G871" i="1"/>
  <c r="G548" i="1"/>
  <c r="G2240" i="1"/>
  <c r="G1719" i="1"/>
  <c r="G181" i="1"/>
  <c r="G2560" i="1"/>
  <c r="G2211" i="1"/>
  <c r="G1488" i="1"/>
  <c r="G1229" i="1"/>
  <c r="G960" i="1"/>
  <c r="G423" i="1"/>
  <c r="G415" i="1" s="1"/>
  <c r="G1909" i="1"/>
  <c r="G1666" i="1"/>
  <c r="G1433" i="1"/>
  <c r="G1172" i="1"/>
  <c r="G1170" i="1" s="1"/>
  <c r="G906" i="1"/>
  <c r="G1845" i="1"/>
  <c r="G1570" i="1"/>
  <c r="G1313" i="1"/>
  <c r="G1069" i="1"/>
  <c r="G750" i="1"/>
  <c r="G482" i="1"/>
  <c r="G1288" i="1"/>
  <c r="G1284" i="1" s="1"/>
  <c r="G481" i="1"/>
  <c r="G234" i="1"/>
  <c r="G2781" i="1"/>
  <c r="G2069" i="1"/>
  <c r="G2751" i="1"/>
  <c r="G1591" i="1"/>
  <c r="G1396" i="1"/>
  <c r="G702" i="1"/>
  <c r="G2495" i="1"/>
  <c r="G1694" i="1"/>
  <c r="G762" i="1"/>
  <c r="G2476" i="1"/>
  <c r="G457" i="1"/>
  <c r="G243" i="1"/>
  <c r="G2931" i="1"/>
  <c r="G1797" i="1"/>
  <c r="G1566" i="1"/>
  <c r="G1310" i="1"/>
  <c r="G1018" i="1"/>
  <c r="G477" i="1"/>
  <c r="G184" i="1"/>
  <c r="G2566" i="1"/>
  <c r="G2214" i="1"/>
  <c r="G1718" i="1"/>
  <c r="G1491" i="1"/>
  <c r="G1233" i="1"/>
  <c r="G695" i="1"/>
  <c r="G132" i="1"/>
  <c r="G2189" i="1"/>
  <c r="G1938" i="1"/>
  <c r="G934" i="1"/>
  <c r="G672" i="1"/>
  <c r="G102" i="1"/>
  <c r="G2534" i="1"/>
  <c r="G1946" i="1"/>
  <c r="G1470" i="1"/>
  <c r="G1209" i="1"/>
  <c r="G1207" i="1" s="1"/>
  <c r="G942" i="1"/>
  <c r="G940" i="1" s="1"/>
  <c r="G676" i="1"/>
  <c r="G108" i="1"/>
  <c r="G2107" i="1"/>
  <c r="G836" i="1"/>
  <c r="G524" i="1"/>
  <c r="G2692" i="1"/>
  <c r="G2216" i="1"/>
  <c r="G2186" i="1"/>
  <c r="G1202" i="1"/>
  <c r="G669" i="1"/>
  <c r="G391" i="1"/>
  <c r="G2787" i="1"/>
  <c r="G2413" i="1"/>
  <c r="G2120" i="1"/>
  <c r="G1885" i="1"/>
  <c r="G1644" i="1"/>
  <c r="G1404" i="1"/>
  <c r="G1148" i="1"/>
  <c r="G884" i="1"/>
  <c r="G602" i="1"/>
  <c r="G279" i="1"/>
  <c r="G2508" i="1"/>
  <c r="G1823" i="1"/>
  <c r="G1545" i="1"/>
  <c r="G1290" i="1"/>
  <c r="G1029" i="1"/>
  <c r="G163" i="1"/>
  <c r="G1777" i="1"/>
  <c r="G434" i="1"/>
  <c r="G2613" i="1"/>
  <c r="G1649" i="1"/>
  <c r="G911" i="1"/>
  <c r="G177" i="1"/>
  <c r="G2760" i="1"/>
  <c r="G2636" i="1"/>
  <c r="G1967" i="1"/>
  <c r="G1231" i="1"/>
  <c r="G2911" i="1"/>
  <c r="G1312" i="1"/>
  <c r="G618" i="1"/>
  <c r="G2329" i="1"/>
  <c r="G1627" i="1"/>
  <c r="G63" i="1"/>
  <c r="G725" i="1"/>
  <c r="G1263" i="1"/>
  <c r="G359" i="1"/>
  <c r="G693" i="1"/>
  <c r="G1541" i="1"/>
  <c r="G991" i="1"/>
  <c r="G455" i="1"/>
  <c r="G158" i="1"/>
  <c r="G1939" i="1"/>
  <c r="G1696" i="1"/>
  <c r="G938" i="1"/>
  <c r="G673" i="1"/>
  <c r="G394" i="1"/>
  <c r="G104" i="1"/>
  <c r="G2814" i="1"/>
  <c r="G2496" i="1"/>
  <c r="G2165" i="1"/>
  <c r="G1916" i="1"/>
  <c r="G1672" i="1"/>
  <c r="G1439" i="1"/>
  <c r="G1180" i="1"/>
  <c r="G912" i="1"/>
  <c r="G648" i="1"/>
  <c r="G61" i="1"/>
  <c r="G2819" i="1"/>
  <c r="G2502" i="1"/>
  <c r="G2169" i="1"/>
  <c r="G1920" i="1"/>
  <c r="G1443" i="1"/>
  <c r="G1185" i="1"/>
  <c r="G654" i="1"/>
  <c r="G375" i="1"/>
  <c r="G1585" i="1"/>
  <c r="G814" i="1"/>
  <c r="G474" i="1"/>
  <c r="G2954" i="1"/>
  <c r="G2812" i="1"/>
  <c r="G2492" i="1"/>
  <c r="G2489" i="1" s="1"/>
  <c r="G2162" i="1"/>
  <c r="G1670" i="1"/>
  <c r="G1178" i="1"/>
  <c r="G358" i="1"/>
  <c r="G2767" i="1"/>
  <c r="G2391" i="1"/>
  <c r="G1852" i="1"/>
  <c r="G1622" i="1"/>
  <c r="G849" i="1"/>
  <c r="G561" i="1"/>
  <c r="G255" i="1"/>
  <c r="G2384" i="1"/>
  <c r="G1800" i="1"/>
  <c r="G703" i="1"/>
  <c r="G435" i="1"/>
  <c r="G139" i="1"/>
  <c r="G1724" i="1"/>
  <c r="G1140" i="1"/>
  <c r="G340" i="1"/>
  <c r="G2527" i="1"/>
  <c r="G101" i="1"/>
  <c r="G2024" i="1"/>
  <c r="G2020" i="1" s="1"/>
  <c r="G378" i="1"/>
  <c r="G1154" i="1"/>
  <c r="G2507" i="1"/>
  <c r="G507" i="1"/>
  <c r="G2187" i="1"/>
  <c r="G1512" i="1"/>
  <c r="G608" i="1"/>
  <c r="G361" i="1"/>
  <c r="G66" i="1"/>
  <c r="G1604" i="1"/>
  <c r="G272" i="1"/>
  <c r="G2463" i="1"/>
  <c r="G1790" i="1"/>
  <c r="G2028" i="1"/>
  <c r="G1781" i="1"/>
  <c r="G1293" i="1"/>
  <c r="G1040" i="1"/>
  <c r="G1038" i="1" s="1"/>
  <c r="G486" i="1"/>
  <c r="G191" i="1"/>
  <c r="G189" i="1" s="1"/>
  <c r="G2910" i="1"/>
  <c r="G2311" i="1"/>
  <c r="G2309" i="1" s="1"/>
  <c r="G1776" i="1"/>
  <c r="G1542" i="1"/>
  <c r="G1019" i="1"/>
  <c r="G747" i="1"/>
  <c r="G1748" i="1"/>
  <c r="G1261" i="1"/>
  <c r="G700" i="1"/>
  <c r="G2815" i="1"/>
  <c r="G2497" i="1"/>
  <c r="G2166" i="1"/>
  <c r="G1917" i="1"/>
  <c r="G1674" i="1"/>
  <c r="G1440" i="1"/>
  <c r="G649" i="1"/>
  <c r="G62" i="1"/>
  <c r="G2793" i="1"/>
  <c r="G2464" i="1"/>
  <c r="G2141" i="1"/>
  <c r="G1893" i="1"/>
  <c r="G1650" i="1"/>
  <c r="G1412" i="1"/>
  <c r="G890" i="1"/>
  <c r="G609" i="1"/>
  <c r="G330" i="1"/>
  <c r="G22" i="1"/>
  <c r="G2797" i="1"/>
  <c r="G2472" i="1"/>
  <c r="G1898" i="1"/>
  <c r="G1416" i="1"/>
  <c r="G1160" i="1"/>
  <c r="G894" i="1"/>
  <c r="G613" i="1"/>
  <c r="G335" i="1"/>
  <c r="G2018" i="1"/>
  <c r="G1538" i="1"/>
  <c r="G1085" i="1"/>
  <c r="G395" i="1"/>
  <c r="G2085" i="1"/>
  <c r="G2461" i="1"/>
  <c r="G1648" i="1"/>
  <c r="G1153" i="1"/>
  <c r="G888" i="1"/>
  <c r="G607" i="1"/>
  <c r="G328" i="1"/>
  <c r="G19" i="1"/>
  <c r="G2746" i="1"/>
  <c r="G2368" i="1"/>
  <c r="G2076" i="1"/>
  <c r="G1830" i="1"/>
  <c r="G1598" i="1"/>
  <c r="G1100" i="1"/>
  <c r="G539" i="1"/>
  <c r="G226" i="1"/>
  <c r="G2362" i="1"/>
  <c r="G2025" i="1"/>
  <c r="G1778" i="1"/>
  <c r="G972" i="1"/>
  <c r="G681" i="1"/>
  <c r="G412" i="1"/>
  <c r="G329" i="1"/>
  <c r="G2905" i="1"/>
  <c r="G2245" i="1"/>
  <c r="G1028" i="1"/>
  <c r="G186" i="1"/>
  <c r="G2759" i="1"/>
  <c r="G1901" i="1"/>
  <c r="G1091" i="1"/>
  <c r="G219" i="1"/>
  <c r="G2397" i="1"/>
  <c r="G1671" i="1"/>
  <c r="G260" i="1"/>
  <c r="G1188" i="1"/>
  <c r="G2103" i="1"/>
  <c r="G1386" i="1"/>
  <c r="G521" i="1"/>
  <c r="G1237" i="1"/>
  <c r="G677" i="1"/>
  <c r="G409" i="1"/>
  <c r="G109" i="1"/>
  <c r="G2794" i="1"/>
  <c r="G2466" i="1"/>
  <c r="G2142" i="1"/>
  <c r="G1413" i="1"/>
  <c r="G1156" i="1"/>
  <c r="G610" i="1"/>
  <c r="G331" i="1"/>
  <c r="G24" i="1"/>
  <c r="G2773" i="1"/>
  <c r="G2398" i="1"/>
  <c r="G2104" i="1"/>
  <c r="G1858" i="1"/>
  <c r="G1628" i="1"/>
  <c r="G1388" i="1"/>
  <c r="G1132" i="1"/>
  <c r="G869" i="1"/>
  <c r="G285" i="1"/>
  <c r="G2443" i="1"/>
  <c r="G2402" i="1"/>
  <c r="G1863" i="1"/>
  <c r="G1633" i="1"/>
  <c r="G1137" i="1"/>
  <c r="G873" i="1"/>
  <c r="G290" i="1"/>
  <c r="G2795" i="1"/>
  <c r="G1493" i="1"/>
  <c r="G1013" i="1"/>
  <c r="G743" i="1"/>
  <c r="G332" i="1"/>
  <c r="G2395" i="1"/>
  <c r="G2102" i="1"/>
  <c r="G1856" i="1"/>
  <c r="G1385" i="1"/>
  <c r="G1130" i="1"/>
  <c r="G867" i="1"/>
  <c r="G2946" i="1"/>
  <c r="G2683" i="1"/>
  <c r="G2346" i="1"/>
  <c r="G2054" i="1"/>
  <c r="G379" i="1"/>
  <c r="G79" i="1"/>
  <c r="G2780" i="1"/>
  <c r="G2197" i="1"/>
  <c r="G2195" i="1" s="1"/>
  <c r="G33" i="1"/>
  <c r="G2646" i="1"/>
  <c r="G1279" i="1"/>
  <c r="G1576" i="1"/>
  <c r="G515" i="1"/>
  <c r="G196" i="1"/>
  <c r="G2003" i="1"/>
  <c r="G1752" i="1"/>
  <c r="G1476" i="1"/>
  <c r="G1213" i="1"/>
  <c r="G740" i="1"/>
  <c r="G2912" i="1"/>
  <c r="G2582" i="1"/>
  <c r="G1844" i="1"/>
  <c r="G970" i="1"/>
  <c r="G205" i="1"/>
  <c r="G299" i="1"/>
  <c r="G2059" i="1"/>
  <c r="G448" i="1"/>
  <c r="G438" i="1"/>
  <c r="G142" i="1"/>
  <c r="G2866" i="1"/>
  <c r="G2580" i="1"/>
  <c r="G2220" i="1"/>
  <c r="G1723" i="1"/>
  <c r="G701" i="1"/>
  <c r="G432" i="1"/>
  <c r="G424" i="1" s="1"/>
  <c r="G1947" i="1"/>
  <c r="G919" i="1"/>
  <c r="G655" i="1"/>
  <c r="G376" i="1"/>
  <c r="G2774" i="1"/>
  <c r="G2399" i="1"/>
  <c r="G2106" i="1"/>
  <c r="G1860" i="1"/>
  <c r="G1629" i="1"/>
  <c r="G1389" i="1"/>
  <c r="G1133" i="1"/>
  <c r="G870" i="1"/>
  <c r="G588" i="1"/>
  <c r="G286" i="1"/>
  <c r="G781" i="1"/>
  <c r="G2752" i="1"/>
  <c r="G2375" i="1"/>
  <c r="G1108" i="1"/>
  <c r="G834" i="1"/>
  <c r="G545" i="1"/>
  <c r="G261" i="1"/>
  <c r="G2380" i="1"/>
  <c r="G2087" i="1"/>
  <c r="G1355" i="1"/>
  <c r="G550" i="1"/>
  <c r="G265" i="1"/>
  <c r="G2498" i="1"/>
  <c r="G1468" i="1"/>
  <c r="G1466" i="1" s="1"/>
  <c r="G987" i="1"/>
  <c r="G719" i="1"/>
  <c r="G287" i="1"/>
  <c r="G2569" i="1"/>
  <c r="G1997" i="1"/>
  <c r="G1516" i="1"/>
  <c r="G2373" i="1"/>
  <c r="G2080" i="1"/>
  <c r="G2073" i="1" s="1"/>
  <c r="G1834" i="1"/>
  <c r="G1348" i="1"/>
  <c r="G1105" i="1"/>
  <c r="G832" i="1"/>
  <c r="G2660" i="1"/>
  <c r="G2323" i="1"/>
  <c r="G2031" i="1"/>
  <c r="G1785" i="1"/>
  <c r="G1551" i="1"/>
  <c r="G1297" i="1"/>
  <c r="G1294" i="1" s="1"/>
  <c r="G1046" i="1"/>
  <c r="G489" i="1"/>
  <c r="G169" i="1"/>
  <c r="G2314" i="1"/>
  <c r="G1981" i="1"/>
  <c r="G1449" i="1"/>
  <c r="G1190" i="1"/>
  <c r="G619" i="1"/>
  <c r="G341" i="1"/>
  <c r="G36" i="1"/>
  <c r="G2698" i="1"/>
  <c r="G2112" i="1"/>
  <c r="G1590" i="1"/>
  <c r="G2924" i="1"/>
  <c r="G2918" i="1" s="1"/>
  <c r="G2163" i="1"/>
  <c r="G1438" i="1"/>
  <c r="G670" i="1"/>
  <c r="G2585" i="1"/>
  <c r="G1582" i="1"/>
  <c r="G961" i="1"/>
  <c r="G1068" i="1"/>
  <c r="G245" i="1"/>
  <c r="G1203" i="1"/>
  <c r="G21" i="1"/>
  <c r="G1726" i="1"/>
  <c r="G111" i="1"/>
  <c r="G2294" i="1"/>
  <c r="G833" i="1"/>
  <c r="G152" i="1"/>
  <c r="G1250" i="1" l="1"/>
  <c r="G1793" i="1"/>
  <c r="G1300" i="1"/>
  <c r="G2500" i="1"/>
  <c r="G1608" i="1"/>
  <c r="G878" i="1"/>
  <c r="G1522" i="1"/>
  <c r="G2317" i="1"/>
  <c r="G2378" i="1"/>
  <c r="G916" i="1"/>
  <c r="G2096" i="1"/>
  <c r="G2657" i="1"/>
  <c r="G1944" i="1"/>
  <c r="G556" i="1"/>
  <c r="G528" i="1" s="1"/>
  <c r="G1682" i="1"/>
  <c r="G2114" i="1"/>
  <c r="G2062" i="1"/>
  <c r="G17" i="1"/>
  <c r="G13" i="1" s="1"/>
  <c r="G1896" i="1"/>
  <c r="G616" i="1"/>
  <c r="G229" i="1"/>
  <c r="G512" i="1"/>
  <c r="G505" i="1"/>
  <c r="G1837" i="1"/>
  <c r="G2864" i="1"/>
  <c r="G1631" i="1"/>
  <c r="G467" i="1"/>
  <c r="G2827" i="1"/>
  <c r="G1704" i="1"/>
  <c r="G1165" i="1"/>
  <c r="G953" i="1"/>
  <c r="G1405" i="1"/>
  <c r="G584" i="1"/>
  <c r="G1773" i="1"/>
  <c r="G1480" i="1"/>
  <c r="G57" i="1"/>
  <c r="G1316" i="1"/>
  <c r="G1445" i="1"/>
  <c r="G1444" i="1" s="1"/>
  <c r="G443" i="1"/>
  <c r="G442" i="1" s="1"/>
  <c r="G2158" i="1"/>
  <c r="G1887" i="1"/>
  <c r="G1957" i="1"/>
  <c r="G406" i="1"/>
  <c r="G1151" i="1"/>
  <c r="G2209" i="1"/>
  <c r="G1714" i="1"/>
  <c r="G2387" i="1"/>
  <c r="G698" i="1"/>
  <c r="G1592" i="1"/>
  <c r="G2470" i="1"/>
  <c r="G479" i="1"/>
  <c r="G2504" i="1"/>
  <c r="G944" i="1"/>
  <c r="G943" i="1" s="1"/>
  <c r="G519" i="1"/>
  <c r="G1531" i="1"/>
  <c r="G2869" i="1"/>
  <c r="G1143" i="1"/>
  <c r="G2804" i="1"/>
  <c r="G2510" i="1"/>
  <c r="G2509" i="1" s="1"/>
  <c r="G737" i="1"/>
  <c r="G736" i="1" s="1"/>
  <c r="G1653" i="1"/>
  <c r="G689" i="1"/>
  <c r="G2008" i="1"/>
  <c r="G1350" i="1"/>
  <c r="G1399" i="1"/>
  <c r="G1222" i="1"/>
  <c r="G2369" i="1"/>
  <c r="G808" i="1"/>
  <c r="G797" i="1" s="1"/>
  <c r="G2182" i="1"/>
  <c r="G2343" i="1"/>
  <c r="G1244" i="1"/>
  <c r="G325" i="1"/>
  <c r="G1066" i="1"/>
  <c r="G148" i="1"/>
  <c r="G1783" i="1"/>
  <c r="G1772" i="1" s="1"/>
  <c r="G249" i="1"/>
  <c r="G2633" i="1"/>
  <c r="G2227" i="1"/>
  <c r="G2685" i="1"/>
  <c r="G1664" i="1"/>
  <c r="G1381" i="1"/>
  <c r="G1101" i="1"/>
  <c r="G2233" i="1"/>
  <c r="G1905" i="1"/>
  <c r="G1123" i="1"/>
  <c r="G1805" i="1"/>
  <c r="G728" i="1"/>
  <c r="G981" i="1"/>
  <c r="G662" i="1"/>
  <c r="G604" i="1"/>
  <c r="G2838" i="1"/>
  <c r="G2032" i="1"/>
  <c r="G1848" i="1"/>
  <c r="G1932" i="1"/>
  <c r="G2600" i="1"/>
  <c r="G1135" i="1"/>
  <c r="G1195" i="1"/>
  <c r="G1600" i="1"/>
  <c r="G2325" i="1"/>
  <c r="G1558" i="1"/>
  <c r="G2944" i="1"/>
  <c r="G2176" i="1"/>
  <c r="G529" i="1"/>
  <c r="G1617" i="1"/>
  <c r="G2516" i="1"/>
  <c r="G759" i="1"/>
  <c r="G1095" i="1"/>
  <c r="G2764" i="1"/>
  <c r="G92" i="1"/>
  <c r="G2558" i="1"/>
  <c r="G707" i="1"/>
  <c r="G1642" i="1"/>
  <c r="G122" i="1"/>
  <c r="G121" i="1" s="1"/>
  <c r="G2293" i="1"/>
  <c r="G1725" i="1"/>
  <c r="G20" i="1"/>
  <c r="G244" i="1"/>
  <c r="G2584" i="1"/>
  <c r="G2697" i="1"/>
  <c r="G35" i="1"/>
  <c r="G1189" i="1"/>
  <c r="G1045" i="1"/>
  <c r="G831" i="1"/>
  <c r="G1996" i="1"/>
  <c r="G2568" i="1"/>
  <c r="G1859" i="1"/>
  <c r="G2105" i="1"/>
  <c r="G2579" i="1"/>
  <c r="G298" i="1"/>
  <c r="G204" i="1"/>
  <c r="G2581" i="1"/>
  <c r="G1751" i="1"/>
  <c r="G195" i="1"/>
  <c r="G1278" i="1"/>
  <c r="G2645" i="1"/>
  <c r="G78" i="1"/>
  <c r="G2053" i="1"/>
  <c r="G866" i="1"/>
  <c r="G1129" i="1"/>
  <c r="G1492" i="1"/>
  <c r="G1479" i="1" s="1"/>
  <c r="G289" i="1"/>
  <c r="G1387" i="1"/>
  <c r="G23" i="1"/>
  <c r="G2465" i="1"/>
  <c r="G2396" i="1"/>
  <c r="G1027" i="1"/>
  <c r="G680" i="1"/>
  <c r="G971" i="1"/>
  <c r="G2361" i="1"/>
  <c r="G538" i="1"/>
  <c r="G1829" i="1"/>
  <c r="G2745" i="1"/>
  <c r="G327" i="1"/>
  <c r="G2084" i="1"/>
  <c r="G334" i="1"/>
  <c r="G322" i="1" s="1"/>
  <c r="G1159" i="1"/>
  <c r="G1411" i="1"/>
  <c r="G1673" i="1"/>
  <c r="G485" i="1"/>
  <c r="G478" i="1" s="1"/>
  <c r="G2462" i="1"/>
  <c r="G2458" i="1" s="1"/>
  <c r="G271" i="1"/>
  <c r="G339" i="1"/>
  <c r="G357" i="1"/>
  <c r="G1177" i="1"/>
  <c r="G374" i="1"/>
  <c r="G653" i="1"/>
  <c r="G2818" i="1"/>
  <c r="G60" i="1"/>
  <c r="G2164" i="1"/>
  <c r="G103" i="1"/>
  <c r="G937" i="1"/>
  <c r="G990" i="1"/>
  <c r="G1230" i="1"/>
  <c r="G1966" i="1"/>
  <c r="G433" i="1"/>
  <c r="G1289" i="1"/>
  <c r="G390" i="1"/>
  <c r="G1201" i="1"/>
  <c r="G2215" i="1"/>
  <c r="G107" i="1"/>
  <c r="G671" i="1"/>
  <c r="G2188" i="1"/>
  <c r="G1017" i="1"/>
  <c r="G2475" i="1"/>
  <c r="G1693" i="1"/>
  <c r="G2494" i="1"/>
  <c r="G233" i="1"/>
  <c r="G1432" i="1"/>
  <c r="G180" i="1"/>
  <c r="G2239" i="1"/>
  <c r="G547" i="1"/>
  <c r="G2574" i="1"/>
  <c r="G962" i="1"/>
  <c r="G2564" i="1"/>
  <c r="G2858" i="1"/>
  <c r="G450" i="1"/>
  <c r="G1088" i="1"/>
  <c r="G748" i="1"/>
  <c r="G1474" i="1"/>
  <c r="G2623" i="1"/>
  <c r="G2246" i="1"/>
  <c r="G2539" i="1"/>
  <c r="G2611" i="1"/>
  <c r="G1257" i="1"/>
  <c r="G716" i="1"/>
  <c r="G1513" i="1"/>
  <c r="G1503" i="1" s="1"/>
  <c r="G1011" i="1"/>
  <c r="G2303" i="1"/>
  <c r="G296" i="1"/>
  <c r="G311" i="1"/>
  <c r="G1880" i="1"/>
  <c r="G1543" i="1"/>
  <c r="G1743" i="1"/>
  <c r="G1568" i="1"/>
  <c r="G646" i="1"/>
  <c r="G2139" i="1"/>
  <c r="G2312" i="1"/>
  <c r="G594" i="1"/>
  <c r="G246" i="1"/>
  <c r="G1117" i="1"/>
  <c r="G2553" i="1"/>
  <c r="G1004" i="1"/>
  <c r="G1766" i="1"/>
  <c r="G211" i="1"/>
  <c r="G1393" i="1"/>
  <c r="G1008" i="1"/>
  <c r="G1914" i="1"/>
  <c r="G1733" i="1"/>
  <c r="G1987" i="1"/>
  <c r="G202" i="1"/>
  <c r="G1051" i="1"/>
  <c r="G213" i="1"/>
  <c r="G1308" i="1"/>
  <c r="G2334" i="1"/>
  <c r="G206" i="1"/>
  <c r="G1054" i="1"/>
  <c r="G237" i="1"/>
  <c r="G294" i="1"/>
  <c r="G1417" i="1"/>
  <c r="G1462" i="1"/>
  <c r="G1454" i="1" s="1"/>
  <c r="G2405" i="1"/>
  <c r="G1324" i="1"/>
  <c r="G1580" i="1"/>
  <c r="G1818" i="1"/>
  <c r="G1082" i="1"/>
  <c r="G2352" i="1"/>
  <c r="G29" i="1"/>
  <c r="G1465" i="1"/>
  <c r="G2529" i="1"/>
  <c r="G2503" i="1"/>
  <c r="G2535" i="1"/>
  <c r="G159" i="1"/>
  <c r="G84" i="1"/>
  <c r="G1031" i="1"/>
  <c r="G2316" i="1"/>
  <c r="G2544" i="1"/>
  <c r="G2587" i="1"/>
  <c r="G81" i="1"/>
  <c r="G1037" i="1"/>
  <c r="G2652" i="1"/>
  <c r="G88" i="1"/>
  <c r="G850" i="1"/>
  <c r="G2257" i="1"/>
  <c r="G2447" i="1"/>
  <c r="G2519" i="1"/>
  <c r="G147" i="1"/>
  <c r="G2488" i="1"/>
  <c r="G855" i="1"/>
  <c r="G2604" i="1"/>
  <c r="G2469" i="1"/>
  <c r="G2499" i="1"/>
  <c r="G2482" i="1"/>
  <c r="G2596" i="1"/>
  <c r="G7" i="1"/>
  <c r="G91" i="1"/>
  <c r="G315" i="1"/>
  <c r="G2515" i="1"/>
  <c r="G2966" i="1"/>
  <c r="G354" i="1"/>
  <c r="G861" i="1"/>
  <c r="G2523" i="1"/>
  <c r="G2557" i="1"/>
  <c r="G2416" i="1"/>
  <c r="G1616" i="1" l="1"/>
  <c r="G171" i="1"/>
  <c r="G1221" i="1"/>
  <c r="G1220" i="1" s="1"/>
  <c r="G2608" i="1"/>
  <c r="G952" i="1"/>
  <c r="G1380" i="1"/>
  <c r="G1886" i="1"/>
  <c r="G94" i="1"/>
  <c r="G87" i="1" s="1"/>
  <c r="G504" i="1"/>
  <c r="G1065" i="1"/>
  <c r="G1064" i="1" s="1"/>
  <c r="G583" i="1"/>
  <c r="G2599" i="1"/>
  <c r="G2868" i="1"/>
  <c r="G2867" i="1" s="1"/>
  <c r="G248" i="1"/>
  <c r="G2208" i="1"/>
  <c r="G2656" i="1"/>
  <c r="G1557" i="1"/>
  <c r="G405" i="1"/>
  <c r="G615" i="1"/>
  <c r="G56" i="1"/>
  <c r="G1094" i="1"/>
  <c r="G2457" i="1"/>
  <c r="G2446" i="1"/>
  <c r="G2315" i="1"/>
  <c r="G1817" i="1"/>
  <c r="G293" i="1"/>
  <c r="G1007" i="1"/>
  <c r="G210" i="1"/>
  <c r="G1765" i="1"/>
  <c r="G2552" i="1"/>
  <c r="G2543" i="1" s="1"/>
  <c r="G2138" i="1"/>
  <c r="G645" i="1"/>
  <c r="G1879" i="1"/>
  <c r="G1771" i="1" s="1"/>
  <c r="G310" i="1"/>
  <c r="G2302" i="1"/>
  <c r="G1473" i="1"/>
  <c r="G2563" i="1"/>
  <c r="G2573" i="1"/>
  <c r="G1431" i="1"/>
  <c r="G2493" i="1"/>
  <c r="G2468" i="1" s="1"/>
  <c r="G936" i="1"/>
  <c r="G652" i="1"/>
  <c r="G373" i="1"/>
  <c r="G1176" i="1"/>
  <c r="G338" i="1"/>
  <c r="G321" i="1" s="1"/>
  <c r="G270" i="1"/>
  <c r="G2744" i="1"/>
  <c r="G1026" i="1"/>
  <c r="G865" i="1"/>
  <c r="G77" i="1"/>
  <c r="G1277" i="1"/>
  <c r="G2578" i="1"/>
  <c r="G2567" i="1"/>
  <c r="G1044" i="1"/>
  <c r="G2583" i="1"/>
  <c r="G2292" i="1"/>
  <c r="G503" i="1" l="1"/>
  <c r="G353" i="1"/>
  <c r="G1036" i="1"/>
  <c r="G2607" i="1"/>
  <c r="G1556" i="1"/>
  <c r="G1555" i="1" s="1"/>
  <c r="G2256" i="1"/>
  <c r="G6" i="1"/>
  <c r="G170" i="1"/>
  <c r="G864" i="1"/>
  <c r="G268" i="1"/>
  <c r="G1430" i="1"/>
  <c r="G2562" i="1"/>
  <c r="G2137" i="1"/>
  <c r="G1006" i="1"/>
  <c r="G292" i="1"/>
  <c r="G1063" i="1"/>
  <c r="G2255" i="1"/>
  <c r="G1219" i="1"/>
  <c r="G5" i="1"/>
  <c r="G291" i="1" l="1"/>
  <c r="G1429" i="1"/>
  <c r="F2" i="1" l="1"/>
  <c r="H2961" i="1"/>
  <c r="H2419" i="1"/>
  <c r="H637" i="1"/>
  <c r="H783" i="1"/>
  <c r="H2732" i="1"/>
  <c r="H2728" i="1"/>
  <c r="H1941" i="1"/>
  <c r="H2714" i="1"/>
  <c r="H402" i="1"/>
  <c r="H569" i="1"/>
  <c r="H2734" i="1"/>
  <c r="H2981" i="1"/>
  <c r="H2133" i="1"/>
  <c r="H786" i="1"/>
  <c r="H398" i="1"/>
  <c r="H2301" i="1"/>
  <c r="H2132" i="1"/>
  <c r="H2972" i="1"/>
  <c r="H2720" i="1"/>
  <c r="H404" i="1"/>
  <c r="H2977" i="1"/>
  <c r="H2943" i="1"/>
  <c r="H2287" i="1"/>
  <c r="H2423" i="1"/>
  <c r="H2978" i="1"/>
  <c r="H2130" i="1"/>
  <c r="H1977" i="1"/>
  <c r="H2282" i="1"/>
  <c r="H582" i="1"/>
  <c r="H2959" i="1"/>
  <c r="H2973" i="1"/>
  <c r="H399" i="1"/>
  <c r="H2965" i="1"/>
  <c r="H2431" i="1"/>
  <c r="H2726" i="1"/>
  <c r="H2453" i="1"/>
  <c r="H120" i="1"/>
  <c r="H2960" i="1"/>
  <c r="H1369" i="1"/>
  <c r="H644" i="1"/>
  <c r="H2942" i="1"/>
  <c r="H2712" i="1"/>
  <c r="H53" i="1"/>
  <c r="H1878" i="1"/>
  <c r="H570" i="1"/>
  <c r="H2456" i="1"/>
  <c r="H2439" i="1"/>
  <c r="H2358" i="1"/>
  <c r="H1215" i="1"/>
  <c r="H560" i="1"/>
  <c r="H2127" i="1"/>
  <c r="H1619" i="1"/>
  <c r="H1832" i="1"/>
  <c r="H1311" i="1"/>
  <c r="H804" i="1"/>
  <c r="H2286" i="1"/>
  <c r="H2411" i="1"/>
  <c r="H1874" i="1"/>
  <c r="H1103" i="1"/>
  <c r="H1246" i="1"/>
  <c r="H440" i="1"/>
  <c r="H791" i="1"/>
  <c r="H1025" i="1"/>
  <c r="H562" i="1"/>
  <c r="H636" i="1"/>
  <c r="H2740" i="1"/>
  <c r="H2436" i="1"/>
  <c r="H1477" i="1"/>
  <c r="H659" i="1"/>
  <c r="H2359" i="1"/>
  <c r="H2291" i="1"/>
  <c r="H683" i="1"/>
  <c r="H1927" i="1"/>
  <c r="H106" i="1"/>
  <c r="H1119" i="1"/>
  <c r="H632" i="1"/>
  <c r="H2803" i="1"/>
  <c r="H1435" i="1"/>
  <c r="H822" i="1"/>
  <c r="H891" i="1"/>
  <c r="H1268" i="1"/>
  <c r="H1314" i="1"/>
  <c r="H2386" i="1"/>
  <c r="H980" i="1"/>
  <c r="H678" i="1"/>
  <c r="H2603" i="1"/>
  <c r="H951" i="1"/>
  <c r="H2892" i="1"/>
  <c r="H2403" i="1"/>
  <c r="H2049" i="1"/>
  <c r="H1354" i="1"/>
  <c r="H801" i="1"/>
  <c r="H266" i="1"/>
  <c r="H2662" i="1"/>
  <c r="H1419" i="1"/>
  <c r="H2739" i="1"/>
  <c r="H915" i="1"/>
  <c r="H2650" i="1"/>
  <c r="H2559" i="1"/>
  <c r="H2300" i="1"/>
  <c r="H1015" i="1"/>
  <c r="H123" i="1"/>
  <c r="H344" i="1"/>
  <c r="H2537" i="1"/>
  <c r="H1838" i="1"/>
  <c r="H586" i="1"/>
  <c r="H1839" i="1"/>
  <c r="H74" i="1"/>
  <c r="H2066" i="1"/>
  <c r="H413" i="1"/>
  <c r="H766" i="1"/>
  <c r="H785" i="1"/>
  <c r="H1364" i="1"/>
  <c r="H2225" i="1"/>
  <c r="H769" i="1"/>
  <c r="H514" i="1"/>
  <c r="H2786" i="1"/>
  <c r="H2266" i="1"/>
  <c r="H2426" i="1"/>
  <c r="H581" i="1"/>
  <c r="H1911" i="1"/>
  <c r="H144" i="1"/>
  <c r="H2790" i="1"/>
  <c r="H2136" i="1"/>
  <c r="H280" i="1"/>
  <c r="H2622" i="1"/>
  <c r="H2451" i="1"/>
  <c r="H1059" i="1"/>
  <c r="H895" i="1"/>
  <c r="H380" i="1"/>
  <c r="H2067" i="1"/>
  <c r="H114" i="1"/>
  <c r="H1451" i="1"/>
  <c r="H2450" i="1"/>
  <c r="H843" i="1"/>
  <c r="H2269" i="1"/>
  <c r="H2480" i="1"/>
  <c r="H958" i="1"/>
  <c r="H2915" i="1"/>
  <c r="H587" i="1"/>
  <c r="H997" i="1"/>
  <c r="H1070" i="1"/>
  <c r="H1120" i="1"/>
  <c r="H2878" i="1"/>
  <c r="H410" i="1"/>
  <c r="H1735" i="1"/>
  <c r="H1948" i="1"/>
  <c r="H2625" i="1"/>
  <c r="H2110" i="1"/>
  <c r="H2203" i="1"/>
  <c r="H1802" i="1"/>
  <c r="H815" i="1"/>
  <c r="H510" i="1"/>
  <c r="H2926" i="1"/>
  <c r="H886" i="1"/>
  <c r="H1162" i="1"/>
  <c r="H2968" i="1"/>
  <c r="H2713" i="1"/>
  <c r="H307" i="1"/>
  <c r="H2265" i="1"/>
  <c r="H1665" i="1"/>
  <c r="H2228" i="1"/>
  <c r="H2307" i="1"/>
  <c r="H2326" i="1"/>
  <c r="H1601" i="1"/>
  <c r="H2370" i="1"/>
  <c r="H1102" i="1"/>
  <c r="H1400" i="1"/>
  <c r="H2115" i="1"/>
  <c r="H2593" i="1"/>
  <c r="H116" i="1"/>
  <c r="H530" i="1"/>
  <c r="H2871" i="1"/>
  <c r="H428" i="1"/>
  <c r="H1141" i="1"/>
  <c r="H2816" i="1"/>
  <c r="H1873" i="1"/>
  <c r="H1820" i="1"/>
  <c r="H2733" i="1"/>
  <c r="H500" i="1"/>
  <c r="H2013" i="1"/>
  <c r="H1121" i="1"/>
  <c r="H1983" i="1"/>
  <c r="H218" i="1"/>
  <c r="H225" i="1"/>
  <c r="H2119" i="1"/>
  <c r="H1022" i="1"/>
  <c r="H579" i="1"/>
  <c r="H1376" i="1"/>
  <c r="H1407" i="1"/>
  <c r="H346" i="1"/>
  <c r="H2123" i="1"/>
  <c r="H1647" i="1"/>
  <c r="H1578" i="1"/>
  <c r="H2289" i="1"/>
  <c r="H2427" i="1"/>
  <c r="H52" i="1"/>
  <c r="H2404" i="1"/>
  <c r="H80" i="1"/>
  <c r="H1589" i="1"/>
  <c r="H1903" i="1"/>
  <c r="H1192" i="1"/>
  <c r="H1963" i="1"/>
  <c r="H274" i="1"/>
  <c r="H1904" i="1"/>
  <c r="H2879" i="1"/>
  <c r="H2655" i="1"/>
  <c r="H2756" i="1"/>
  <c r="H462" i="1"/>
  <c r="H800" i="1"/>
  <c r="H2749" i="1"/>
  <c r="H1588" i="1"/>
  <c r="H1227" i="1"/>
  <c r="H2914" i="1"/>
  <c r="H1762" i="1"/>
  <c r="H276" i="1"/>
  <c r="H1729" i="1"/>
  <c r="H2888" i="1"/>
  <c r="H2906" i="1"/>
  <c r="H1147" i="1"/>
  <c r="H1964" i="1"/>
  <c r="H2372" i="1"/>
  <c r="H2770" i="1"/>
  <c r="H347" i="1"/>
  <c r="H2319" i="1"/>
  <c r="H1275" i="1"/>
  <c r="H722" i="1"/>
  <c r="H1243" i="1"/>
  <c r="H2619" i="1"/>
  <c r="H2640" i="1"/>
  <c r="H601" i="1"/>
  <c r="H1228" i="1"/>
  <c r="H641" i="1"/>
  <c r="H2896" i="1"/>
  <c r="H1602" i="1"/>
  <c r="H2485" i="1"/>
  <c r="H1975" i="1"/>
  <c r="H752" i="1"/>
  <c r="H1003" i="1"/>
  <c r="H2837" i="1"/>
  <c r="H705" i="1"/>
  <c r="H2243" i="1"/>
  <c r="H2019" i="1"/>
  <c r="H2980" i="1"/>
  <c r="H959" i="1"/>
  <c r="H542" i="1"/>
  <c r="H1641" i="1"/>
  <c r="H638" i="1"/>
  <c r="H2089" i="1"/>
  <c r="H469" i="1"/>
  <c r="H2190" i="1"/>
  <c r="H141" i="1"/>
  <c r="H2000" i="1"/>
  <c r="H1770" i="1"/>
  <c r="H2880" i="1"/>
  <c r="H691" i="1"/>
  <c r="H2156" i="1"/>
  <c r="H2285" i="1"/>
  <c r="H1942" i="1"/>
  <c r="H1358" i="1"/>
  <c r="H2704" i="1"/>
  <c r="H2900" i="1"/>
  <c r="H2479" i="1"/>
  <c r="H1907" i="1"/>
  <c r="H720" i="1"/>
  <c r="H1252" i="1"/>
  <c r="H2659" i="1"/>
  <c r="H1487" i="1"/>
  <c r="H464" i="1"/>
  <c r="H907" i="1"/>
  <c r="H2491" i="1"/>
  <c r="H1709" i="1"/>
  <c r="H926" i="1"/>
  <c r="H1930" i="1"/>
  <c r="H2709" i="1"/>
  <c r="H2420" i="1"/>
  <c r="H829" i="1"/>
  <c r="H2788" i="1"/>
  <c r="H840" i="1"/>
  <c r="H2860" i="1"/>
  <c r="H643" i="1"/>
  <c r="H1078" i="1"/>
  <c r="H1595" i="1"/>
  <c r="H2862" i="1"/>
  <c r="H2937" i="1"/>
  <c r="H2684" i="1"/>
  <c r="H1973" i="1"/>
  <c r="H2092" i="1"/>
  <c r="H1552" i="1"/>
  <c r="H2244" i="1"/>
  <c r="H2409" i="1"/>
  <c r="H388" i="1"/>
  <c r="H2082" i="1"/>
  <c r="H1502" i="1"/>
  <c r="H2093" i="1"/>
  <c r="H336" i="1"/>
  <c r="H1594" i="1"/>
  <c r="H257" i="1"/>
  <c r="H164" i="1"/>
  <c r="H1328" i="1"/>
  <c r="H264" i="1"/>
  <c r="H1928" i="1"/>
  <c r="H2831" i="1"/>
  <c r="H704" i="1"/>
  <c r="H1974" i="1"/>
  <c r="H484" i="1"/>
  <c r="H860" i="1"/>
  <c r="H2708" i="1"/>
  <c r="H2424" i="1"/>
  <c r="H1196" i="1"/>
  <c r="H76" i="1"/>
  <c r="H368" i="1"/>
  <c r="H2033" i="1"/>
  <c r="H39" i="1"/>
  <c r="H1166" i="1"/>
  <c r="H1906" i="1"/>
  <c r="H2045" i="1"/>
  <c r="H1446" i="1"/>
  <c r="H1741" i="1"/>
  <c r="H1583" i="1"/>
  <c r="H232" i="1"/>
  <c r="H2478" i="1"/>
  <c r="H2923" i="1"/>
  <c r="H724" i="1"/>
  <c r="H1427" i="1"/>
  <c r="H1876" i="1"/>
  <c r="H2922" i="1"/>
  <c r="H552" i="1"/>
  <c r="H2367" i="1"/>
  <c r="H2941" i="1"/>
  <c r="H1660" i="1"/>
  <c r="H2079" i="1"/>
  <c r="H143" i="1"/>
  <c r="H2916" i="1"/>
  <c r="H2322" i="1"/>
  <c r="H422" i="1"/>
  <c r="H168" i="1"/>
  <c r="H47" i="1"/>
  <c r="H1669" i="1"/>
  <c r="H955" i="1"/>
  <c r="H1919" i="1"/>
  <c r="H1687" i="1"/>
  <c r="H2706" i="1"/>
  <c r="H633" i="1"/>
  <c r="H2283" i="1"/>
  <c r="H228" i="1"/>
  <c r="H2121" i="1"/>
  <c r="H2336" i="1"/>
  <c r="H1969" i="1"/>
  <c r="H1809" i="1"/>
  <c r="H1340" i="1"/>
  <c r="H2570" i="1"/>
  <c r="H2342" i="1"/>
  <c r="H2347" i="1"/>
  <c r="H1722" i="1"/>
  <c r="H675" i="1"/>
  <c r="H1846" i="1"/>
  <c r="H1298" i="1"/>
  <c r="H2001" i="1"/>
  <c r="H2116" i="1"/>
  <c r="H2078" i="1"/>
  <c r="H1836" i="1"/>
  <c r="H1497" i="1"/>
  <c r="H1847" i="1"/>
  <c r="H1352" i="1"/>
  <c r="H251" i="1"/>
  <c r="H2748" i="1"/>
  <c r="H2848" i="1"/>
  <c r="H523" i="1"/>
  <c r="H2769" i="1"/>
  <c r="H1685" i="1"/>
  <c r="H1689" i="1"/>
  <c r="H436" i="1"/>
  <c r="H1954" i="1"/>
  <c r="H2224" i="1"/>
  <c r="H1030" i="1"/>
  <c r="H2964" i="1"/>
  <c r="H1061" i="1"/>
  <c r="H575" i="1"/>
  <c r="H2234" i="1"/>
  <c r="H2517" i="1"/>
  <c r="H1223" i="1"/>
  <c r="H605" i="1"/>
  <c r="H352" i="1"/>
  <c r="H320" i="1"/>
  <c r="H2267" i="1"/>
  <c r="H1096" i="1"/>
  <c r="H1509" i="1"/>
  <c r="H2846" i="1"/>
  <c r="H1851" i="1"/>
  <c r="H1788" i="1"/>
  <c r="H2824" i="1"/>
  <c r="H2041" i="1"/>
  <c r="H2932" i="1"/>
  <c r="H2682" i="1"/>
  <c r="H2883" i="1"/>
  <c r="H1097" i="1"/>
  <c r="H1855" i="1"/>
  <c r="H1746" i="1"/>
  <c r="H572" i="1"/>
  <c r="H2876" i="1"/>
  <c r="H2807" i="1"/>
  <c r="H885" i="1"/>
  <c r="H2392" i="1"/>
  <c r="H2272" i="1"/>
  <c r="H790" i="1"/>
  <c r="H2741" i="1"/>
  <c r="H1267" i="1"/>
  <c r="H1926" i="1"/>
  <c r="H1490" i="1"/>
  <c r="H393" i="1"/>
  <c r="H1478" i="1"/>
  <c r="H2425" i="1"/>
  <c r="H1831" i="1"/>
  <c r="H1098" i="1"/>
  <c r="H924" i="1"/>
  <c r="H838" i="1"/>
  <c r="H806" i="1"/>
  <c r="H1610" i="1"/>
  <c r="H1824" i="1"/>
  <c r="H1210" i="1"/>
  <c r="H2251" i="1"/>
  <c r="H2340" i="1"/>
  <c r="H1001" i="1"/>
  <c r="H2789" i="1"/>
  <c r="H2843" i="1"/>
  <c r="H1299" i="1"/>
  <c r="H2548" i="1"/>
  <c r="H2701" i="1"/>
  <c r="H656" i="1"/>
  <c r="H126" i="1"/>
  <c r="H1708" i="1"/>
  <c r="H2341" i="1"/>
  <c r="H2088" i="1"/>
  <c r="H622" i="1"/>
  <c r="H2415" i="1"/>
  <c r="H2433" i="1"/>
  <c r="H2126" i="1"/>
  <c r="H2441" i="1"/>
  <c r="H2634" i="1"/>
  <c r="H982" i="1"/>
  <c r="H2521" i="1"/>
  <c r="H1382" i="1"/>
  <c r="H557" i="1"/>
  <c r="H250" i="1"/>
  <c r="H819" i="1"/>
  <c r="H792" i="1"/>
  <c r="H640" i="1"/>
  <c r="H2710" i="1"/>
  <c r="H2802" i="1"/>
  <c r="H988" i="1"/>
  <c r="H1943" i="1"/>
  <c r="H2617" i="1"/>
  <c r="H1434" i="1"/>
  <c r="H627" i="1"/>
  <c r="H1686" i="1"/>
  <c r="H2056" i="1"/>
  <c r="H2971" i="1"/>
  <c r="H439" i="1"/>
  <c r="H923" i="1"/>
  <c r="H964" i="1"/>
  <c r="H2200" i="1"/>
  <c r="H2050" i="1"/>
  <c r="H1684" i="1"/>
  <c r="H2643" i="1"/>
  <c r="H1093" i="1"/>
  <c r="H1869" i="1"/>
  <c r="H2678" i="1"/>
  <c r="H221" i="1"/>
  <c r="H483" i="1"/>
  <c r="H807" i="1"/>
  <c r="H110" i="1"/>
  <c r="H1922" i="1"/>
  <c r="H2004" i="1"/>
  <c r="H1458" i="1"/>
  <c r="H898" i="1"/>
  <c r="H387" i="1"/>
  <c r="H854" i="1"/>
  <c r="H2442" i="1"/>
  <c r="H1375" i="1"/>
  <c r="H2210" i="1"/>
  <c r="H309" i="1"/>
  <c r="H941" i="1"/>
  <c r="H49" i="1"/>
  <c r="H1345" i="1"/>
  <c r="H2738" i="1"/>
  <c r="H1039" i="1"/>
  <c r="H41" i="1"/>
  <c r="H70" i="1"/>
  <c r="H1357" i="1"/>
  <c r="H965" i="1"/>
  <c r="H1794" i="1"/>
  <c r="H914" i="1"/>
  <c r="H157" i="1"/>
  <c r="H133" i="1"/>
  <c r="H2666" i="1"/>
  <c r="H2167" i="1"/>
  <c r="H2928" i="1"/>
  <c r="H889" i="1"/>
  <c r="H1680" i="1"/>
  <c r="H1563" i="1"/>
  <c r="H624" i="1"/>
  <c r="H2048" i="1"/>
  <c r="H2874" i="1"/>
  <c r="H2226" i="1"/>
  <c r="H2798" i="1"/>
  <c r="H1679" i="1"/>
  <c r="H727" i="1"/>
  <c r="H1198" i="1"/>
  <c r="H97" i="1"/>
  <c r="H2414" i="1"/>
  <c r="H2730" i="1"/>
  <c r="H119" i="1"/>
  <c r="H2327" i="1"/>
  <c r="H2075" i="1"/>
  <c r="H1422" i="1"/>
  <c r="H2873" i="1"/>
  <c r="H1043" i="1"/>
  <c r="H1517" i="1"/>
  <c r="H905" i="1"/>
  <c r="H371" i="1"/>
  <c r="H1453" i="1"/>
  <c r="H16" i="1"/>
  <c r="H2736" i="1"/>
  <c r="H2893" i="1"/>
  <c r="H599" i="1"/>
  <c r="H427" i="1"/>
  <c r="H1952" i="1"/>
  <c r="H1573" i="1"/>
  <c r="H2385" i="1"/>
  <c r="H2023" i="1"/>
  <c r="H2320" i="1"/>
  <c r="H1639" i="1"/>
  <c r="H421" i="1"/>
  <c r="H2118" i="1"/>
  <c r="H1554" i="1"/>
  <c r="H1597" i="1"/>
  <c r="H901" i="1"/>
  <c r="H1501" i="1"/>
  <c r="H755" i="1"/>
  <c r="H2796" i="1"/>
  <c r="H2288" i="1"/>
  <c r="H600" i="1"/>
  <c r="H1194" i="1"/>
  <c r="H1146" i="1"/>
  <c r="H1050" i="1"/>
  <c r="H1342" i="1"/>
  <c r="H342" i="1"/>
  <c r="H974" i="1"/>
  <c r="H488" i="1"/>
  <c r="H1976" i="1"/>
  <c r="H780" i="1"/>
  <c r="H1953" i="1"/>
  <c r="H2632" i="1"/>
  <c r="H396" i="1"/>
  <c r="H201" i="1"/>
  <c r="H1099" i="1"/>
  <c r="H37" i="1"/>
  <c r="H437" i="1"/>
  <c r="H966" i="1"/>
  <c r="H2629" i="1"/>
  <c r="H2811" i="1"/>
  <c r="H1890" i="1"/>
  <c r="H667" i="1"/>
  <c r="H2982" i="1"/>
  <c r="H2719" i="1"/>
  <c r="H2108" i="1"/>
  <c r="H2766" i="1"/>
  <c r="H2651" i="1"/>
  <c r="H846" i="1"/>
  <c r="H1281" i="1"/>
  <c r="H1706" i="1"/>
  <c r="H999" i="1"/>
  <c r="H1912" i="1"/>
  <c r="H2850" i="1"/>
  <c r="H2393" i="1"/>
  <c r="H1862" i="1"/>
  <c r="H2390" i="1"/>
  <c r="H744" i="1"/>
  <c r="H558" i="1"/>
  <c r="H742" i="1"/>
  <c r="H414" i="1"/>
  <c r="H384" i="1"/>
  <c r="H1175" i="1"/>
  <c r="H2204" i="1"/>
  <c r="H1274" i="1"/>
  <c r="H541" i="1"/>
  <c r="H1366" i="1"/>
  <c r="H1450" i="1"/>
  <c r="H2337" i="1"/>
  <c r="H1994" i="1"/>
  <c r="H2747" i="1"/>
  <c r="H2394" i="1"/>
  <c r="H2229" i="1"/>
  <c r="H1960" i="1"/>
  <c r="H712" i="1"/>
  <c r="H2128" i="1"/>
  <c r="H2717" i="1"/>
  <c r="H2193" i="1"/>
  <c r="H2884" i="1"/>
  <c r="H571" i="1"/>
  <c r="H1826" i="1"/>
  <c r="H1235" i="1"/>
  <c r="H1720" i="1"/>
  <c r="H1496" i="1"/>
  <c r="H2160" i="1"/>
  <c r="H1646" i="1"/>
  <c r="H456" i="1"/>
  <c r="H1526" i="1"/>
  <c r="H1605" i="1"/>
  <c r="H2832" i="1"/>
  <c r="H590" i="1"/>
  <c r="H2147" i="1"/>
  <c r="H2913" i="1"/>
  <c r="H1226" i="1"/>
  <c r="H874" i="1"/>
  <c r="H2086" i="1"/>
  <c r="H661" i="1"/>
  <c r="H1071" i="1"/>
  <c r="H1010" i="1"/>
  <c r="H2154" i="1"/>
  <c r="H2577" i="1"/>
  <c r="H784" i="1"/>
  <c r="H631" i="1"/>
  <c r="H760" i="1"/>
  <c r="H2945" i="1"/>
  <c r="H1124" i="1"/>
  <c r="H1871" i="1"/>
  <c r="H1368" i="1"/>
  <c r="H2490" i="1"/>
  <c r="H1683" i="1"/>
  <c r="H1849" i="1"/>
  <c r="H2531" i="1"/>
  <c r="H899" i="1"/>
  <c r="H520" i="1"/>
  <c r="H1534" i="1"/>
  <c r="H284" i="1"/>
  <c r="H2181" i="1"/>
  <c r="H2486" i="1"/>
  <c r="H425" i="1"/>
  <c r="H1692" i="1"/>
  <c r="H1163" i="1"/>
  <c r="H827" i="1"/>
  <c r="H1116" i="1"/>
  <c r="H2750" i="1"/>
  <c r="H1457" i="1"/>
  <c r="H2157" i="1"/>
  <c r="H1461" i="1"/>
  <c r="H2098" i="1"/>
  <c r="H1807" i="1"/>
  <c r="H1214" i="1"/>
  <c r="H1603" i="1"/>
  <c r="H2695" i="1"/>
  <c r="H848" i="1"/>
  <c r="H2094" i="1"/>
  <c r="H1567" i="1"/>
  <c r="H1255" i="1"/>
  <c r="H1402" i="1"/>
  <c r="H2135" i="1"/>
  <c r="H1732" i="1"/>
  <c r="H686" i="1"/>
  <c r="H127" i="1"/>
  <c r="H794" i="1"/>
  <c r="H2134" i="1"/>
  <c r="H1699" i="1"/>
  <c r="H2238" i="1"/>
  <c r="H824" i="1"/>
  <c r="H1002" i="1"/>
  <c r="H968" i="1"/>
  <c r="H1808" i="1"/>
  <c r="H517" i="1"/>
  <c r="H2842" i="1"/>
  <c r="H166" i="1"/>
  <c r="H1787" i="1"/>
  <c r="H288" i="1"/>
  <c r="H1899" i="1"/>
  <c r="H2648" i="1"/>
  <c r="H487" i="1"/>
  <c r="H592" i="1"/>
  <c r="H383" i="1"/>
  <c r="H222" i="1"/>
  <c r="H1379" i="1"/>
  <c r="H1662" i="1"/>
  <c r="H2984" i="1"/>
  <c r="H2298" i="1"/>
  <c r="H2271" i="1"/>
  <c r="H2601" i="1"/>
  <c r="H1609" i="1"/>
  <c r="H2183" i="1"/>
  <c r="H198" i="1"/>
  <c r="H2177" i="1"/>
  <c r="H1593" i="1"/>
  <c r="H1067" i="1"/>
  <c r="H2674" i="1"/>
  <c r="H1467" i="1"/>
  <c r="H1535" i="1"/>
  <c r="H494" i="1"/>
  <c r="H2308" i="1"/>
  <c r="H176" i="1"/>
  <c r="H2801" i="1"/>
  <c r="H1499" i="1"/>
  <c r="H559" i="1"/>
  <c r="H2035" i="1"/>
  <c r="H2333" i="1"/>
  <c r="H1877" i="1"/>
  <c r="H1398" i="1"/>
  <c r="H1756" i="1"/>
  <c r="H2487" i="1"/>
  <c r="H628" i="1"/>
  <c r="H400" i="1"/>
  <c r="H927" i="1"/>
  <c r="H577" i="1"/>
  <c r="H2556" i="1"/>
  <c r="H996" i="1"/>
  <c r="H1775" i="1"/>
  <c r="H1623" i="1"/>
  <c r="H1638" i="1"/>
  <c r="H1373" i="1"/>
  <c r="H2761" i="1"/>
  <c r="H2363" i="1"/>
  <c r="H1786" i="1"/>
  <c r="H734" i="1"/>
  <c r="H2935" i="1"/>
  <c r="H2742" i="1"/>
  <c r="H2810" i="1"/>
  <c r="H1472" i="1"/>
  <c r="H460" i="1"/>
  <c r="H192" i="1"/>
  <c r="H1934" i="1"/>
  <c r="H2474" i="1"/>
  <c r="H853" i="1"/>
  <c r="H774" i="1"/>
  <c r="H1112" i="1"/>
  <c r="H857" i="1"/>
  <c r="H149" i="1"/>
  <c r="H1406" i="1"/>
  <c r="H90" i="1"/>
  <c r="H2589" i="1"/>
  <c r="H161" i="1"/>
  <c r="H526" i="1"/>
  <c r="H1681" i="1"/>
  <c r="H2355" i="1"/>
  <c r="H273" i="1"/>
  <c r="H2305" i="1"/>
  <c r="H1179" i="1"/>
  <c r="H2618" i="1"/>
  <c r="H25" i="1"/>
  <c r="H2477" i="1"/>
  <c r="H1652" i="1"/>
  <c r="H2383" i="1"/>
  <c r="H2822" i="1"/>
  <c r="H2776" i="1"/>
  <c r="H826" i="1"/>
  <c r="H2785" i="1"/>
  <c r="H2253" i="1"/>
  <c r="H1408" i="1"/>
  <c r="H576" i="1"/>
  <c r="H1955" i="1"/>
  <c r="H1525" i="1"/>
  <c r="H1695" i="1"/>
  <c r="H535" i="1"/>
  <c r="H1459" i="1"/>
  <c r="H1077" i="1"/>
  <c r="H2948" i="1"/>
  <c r="H1894" i="1"/>
  <c r="H536" i="1"/>
  <c r="H567" i="1"/>
  <c r="H1186" i="1"/>
  <c r="H262" i="1"/>
  <c r="H549" i="1"/>
  <c r="H1138" i="1"/>
  <c r="H1712" i="1"/>
  <c r="H240" i="1"/>
  <c r="H1114" i="1"/>
  <c r="H973" i="1"/>
  <c r="H2976" i="1"/>
  <c r="H2940" i="1"/>
  <c r="H1152" i="1"/>
  <c r="H1042" i="1"/>
  <c r="H2471" i="1"/>
  <c r="H1933" i="1"/>
  <c r="H617" i="1"/>
  <c r="H2310" i="1"/>
  <c r="H2950" i="1"/>
  <c r="H1559" i="1"/>
  <c r="H2021" i="1"/>
  <c r="H2621" i="1"/>
  <c r="H454" i="1"/>
  <c r="H726" i="1"/>
  <c r="H2374" i="1"/>
  <c r="H2791" i="1"/>
  <c r="H1053" i="1"/>
  <c r="H259" i="1"/>
  <c r="H1371" i="1"/>
  <c r="H1205" i="1"/>
  <c r="H1737" i="1"/>
  <c r="H1761" i="1"/>
  <c r="H418" i="1"/>
  <c r="H2735" i="1"/>
  <c r="H634" i="1"/>
  <c r="H2175" i="1"/>
  <c r="H1464" i="1"/>
  <c r="H252" i="1"/>
  <c r="H2232" i="1"/>
  <c r="H2825" i="1"/>
  <c r="H2100" i="1"/>
  <c r="H1651" i="1"/>
  <c r="H1571" i="1"/>
  <c r="H2034" i="1"/>
  <c r="H2737" i="1"/>
  <c r="H1990" i="1"/>
  <c r="H2953" i="1"/>
  <c r="H735" i="1"/>
  <c r="H2207" i="1"/>
  <c r="H839" i="1"/>
  <c r="H2481" i="1"/>
  <c r="H2421" i="1"/>
  <c r="H370" i="1"/>
  <c r="H194" i="1"/>
  <c r="H2379" i="1"/>
  <c r="H314" i="1"/>
  <c r="H845" i="1"/>
  <c r="H2152" i="1"/>
  <c r="H2171" i="1"/>
  <c r="H2350" i="1"/>
  <c r="H2877" i="1"/>
  <c r="H1774" i="1"/>
  <c r="H1835" i="1"/>
  <c r="H2754" i="1"/>
  <c r="H2015" i="1"/>
  <c r="H692" i="1"/>
  <c r="H67" i="1"/>
  <c r="H2699" i="1"/>
  <c r="H1560" i="1"/>
  <c r="H2124" i="1"/>
  <c r="H2046" i="1"/>
  <c r="H948" i="1"/>
  <c r="H2919" i="1"/>
  <c r="H1092" i="1"/>
  <c r="H129" i="1"/>
  <c r="H459" i="1"/>
  <c r="H2949" i="1"/>
  <c r="H1533" i="1"/>
  <c r="H2321" i="1"/>
  <c r="H256" i="1"/>
  <c r="H124" i="1"/>
  <c r="H2434" i="1"/>
  <c r="H1062" i="1"/>
  <c r="H1191" i="1"/>
  <c r="H1204" i="1"/>
  <c r="H2696" i="1"/>
  <c r="H1599" i="1"/>
  <c r="H2512" i="1"/>
  <c r="H2920" i="1"/>
  <c r="H635" i="1"/>
  <c r="H1127" i="1"/>
  <c r="H2006" i="1"/>
  <c r="H1553" i="1"/>
  <c r="H872" i="1"/>
  <c r="H930" i="1"/>
  <c r="H2691" i="1"/>
  <c r="H1711" i="1"/>
  <c r="H1486" i="1"/>
  <c r="H2668" i="1"/>
  <c r="H1425" i="1"/>
  <c r="H2963" i="1"/>
  <c r="H954" i="1"/>
  <c r="H27" i="1"/>
  <c r="H1532" i="1"/>
  <c r="H1481" i="1"/>
  <c r="H506" i="1"/>
  <c r="H1811" i="1"/>
  <c r="H1658" i="1"/>
  <c r="H1248" i="1"/>
  <c r="H392" i="1"/>
  <c r="H1206" i="1"/>
  <c r="H1079" i="1"/>
  <c r="H175" i="1"/>
  <c r="H1782" i="1"/>
  <c r="H1833" i="1"/>
  <c r="H893" i="1"/>
  <c r="H2268" i="1"/>
  <c r="H2729" i="1"/>
  <c r="H2758" i="1"/>
  <c r="H2277" i="1"/>
  <c r="H1821" i="1"/>
  <c r="H540" i="1"/>
  <c r="H1361" i="1"/>
  <c r="H2371" i="1"/>
  <c r="H2324" i="1"/>
  <c r="H2661" i="1"/>
  <c r="H730" i="1"/>
  <c r="H2231" i="1"/>
  <c r="H2260" i="1"/>
  <c r="H2555" i="1"/>
  <c r="H2061" i="1"/>
  <c r="H1485" i="1"/>
  <c r="H281" i="1"/>
  <c r="H1056" i="1"/>
  <c r="H1168" i="1"/>
  <c r="H2275" i="1"/>
  <c r="H1024" i="1"/>
  <c r="H863" i="1"/>
  <c r="H2097" i="1"/>
  <c r="H44" i="1"/>
  <c r="H1945" i="1"/>
  <c r="H1888" i="1"/>
  <c r="H729" i="1"/>
  <c r="H1705" i="1"/>
  <c r="H1317" i="1"/>
  <c r="H810" i="1"/>
  <c r="H710" i="1"/>
  <c r="H1285" i="1"/>
  <c r="H799" i="1"/>
  <c r="H1511" i="1"/>
  <c r="H2808" i="1"/>
  <c r="H2844" i="1"/>
  <c r="H2435" i="1"/>
  <c r="H2681" i="1"/>
  <c r="H1539" i="1"/>
  <c r="H2437" i="1"/>
  <c r="H612" i="1"/>
  <c r="H773" i="1"/>
  <c r="H2382" i="1"/>
  <c r="H1334" i="1"/>
  <c r="H660" i="1"/>
  <c r="H2680" i="1"/>
  <c r="H1889" i="1"/>
  <c r="H1047" i="1"/>
  <c r="H757" i="1"/>
  <c r="H1921" i="1"/>
  <c r="H1989" i="1"/>
  <c r="H1736" i="1"/>
  <c r="H2206" i="1"/>
  <c r="H957" i="1"/>
  <c r="H929" i="1"/>
  <c r="H1536" i="1"/>
  <c r="H903" i="1"/>
  <c r="H2975" i="1"/>
  <c r="H708" i="1"/>
  <c r="H1049" i="1"/>
  <c r="H125" i="1"/>
  <c r="H983" i="1"/>
  <c r="H2725" i="1"/>
  <c r="H2051" i="1"/>
  <c r="H1283" i="1"/>
  <c r="H1935" i="1"/>
  <c r="H333" i="1"/>
  <c r="H1218" i="1"/>
  <c r="H1370" i="1"/>
  <c r="H1612" i="1"/>
  <c r="H1090" i="1"/>
  <c r="H2408" i="1"/>
  <c r="H1803" i="1"/>
  <c r="H2278" i="1"/>
  <c r="H445" i="1"/>
  <c r="H490" i="1"/>
  <c r="H2783" i="1"/>
  <c r="H68" i="1"/>
  <c r="H1249" i="1"/>
  <c r="H1508" i="1"/>
  <c r="H1962" i="1"/>
  <c r="H688" i="1"/>
  <c r="H666" i="1"/>
  <c r="H1280" i="1"/>
  <c r="H345" i="1"/>
  <c r="H2721" i="1"/>
  <c r="H55" i="1"/>
  <c r="H566" i="1"/>
  <c r="H738" i="1"/>
  <c r="H2009" i="1"/>
  <c r="H9" i="1"/>
  <c r="H663" i="1"/>
  <c r="H2962" i="1"/>
  <c r="H795" i="1"/>
  <c r="H1245" i="1"/>
  <c r="H480" i="1"/>
  <c r="H2037" i="1"/>
  <c r="H2198" i="1"/>
  <c r="H1016" i="1"/>
  <c r="H220" i="1"/>
  <c r="H714" i="1"/>
  <c r="H2389" i="1"/>
  <c r="H1574" i="1"/>
  <c r="H2782" i="1"/>
  <c r="H931" i="1"/>
  <c r="H758" i="1"/>
  <c r="H2297" i="1"/>
  <c r="H1173" i="1"/>
  <c r="H1115" i="1"/>
  <c r="H453" i="1"/>
  <c r="H2430" i="1"/>
  <c r="H1142" i="1"/>
  <c r="H802" i="1"/>
  <c r="H372" i="1"/>
  <c r="H2921" i="1"/>
  <c r="H277" i="1"/>
  <c r="H880" i="1"/>
  <c r="H1875" i="1"/>
  <c r="H1346" i="1"/>
  <c r="H979" i="1"/>
  <c r="H711" i="1"/>
  <c r="H823" i="1"/>
  <c r="H420" i="1"/>
  <c r="H463" i="1"/>
  <c r="H1657" i="1"/>
  <c r="H2718" i="1"/>
  <c r="H1884" i="1"/>
  <c r="H2828" i="1"/>
  <c r="H775" i="1"/>
  <c r="H1897" i="1"/>
  <c r="H468" i="1"/>
  <c r="H382" i="1"/>
  <c r="H1033" i="1"/>
  <c r="H416" i="1"/>
  <c r="H1333" i="1"/>
  <c r="H1349" i="1"/>
  <c r="H2630" i="1"/>
  <c r="H1815" i="1"/>
  <c r="H447" i="1"/>
  <c r="H10" i="1"/>
  <c r="H1122" i="1"/>
  <c r="H2670" i="1"/>
  <c r="H1868" i="1"/>
  <c r="H2809" i="1"/>
  <c r="H603" i="1"/>
  <c r="H787" i="1"/>
  <c r="H777" i="1"/>
  <c r="H626" i="1"/>
  <c r="H2043" i="1"/>
  <c r="H156" i="1"/>
  <c r="H597" i="1"/>
  <c r="H2576" i="1"/>
  <c r="H1321" i="1"/>
  <c r="H2153" i="1"/>
  <c r="H598" i="1"/>
  <c r="H2854" i="1"/>
  <c r="H224" i="1"/>
  <c r="H146" i="1"/>
  <c r="H534" i="1"/>
  <c r="H2936" i="1"/>
  <c r="H167" i="1"/>
  <c r="H337" i="1"/>
  <c r="H2958" i="1"/>
  <c r="H2705" i="1"/>
  <c r="H2254" i="1"/>
  <c r="H2671" i="1"/>
  <c r="H1306" i="1"/>
  <c r="H2541" i="1"/>
  <c r="H2830" i="1"/>
  <c r="H2113" i="1"/>
  <c r="H408" i="1"/>
  <c r="H1264" i="1"/>
  <c r="H2199" i="1"/>
  <c r="H475" i="1"/>
  <c r="H2077" i="1"/>
  <c r="H1910" i="1"/>
  <c r="H606" i="1"/>
  <c r="H2979" i="1"/>
  <c r="H2626" i="1"/>
  <c r="H768" i="1"/>
  <c r="H2522" i="1"/>
  <c r="H1072" i="1"/>
  <c r="H2219" i="1"/>
  <c r="H516" i="1"/>
  <c r="H2700" i="1"/>
  <c r="H533" i="1"/>
  <c r="H2898" i="1"/>
  <c r="H275" i="1"/>
  <c r="H642" i="1"/>
  <c r="H2364" i="1"/>
  <c r="H2249" i="1"/>
  <c r="H1315" i="1"/>
  <c r="H2679" i="1"/>
  <c r="H269" i="1"/>
  <c r="H2711" i="1"/>
  <c r="H356" i="1"/>
  <c r="H2606" i="1"/>
  <c r="H852" i="1"/>
  <c r="H2654" i="1"/>
  <c r="H32" i="1"/>
  <c r="H945" i="1"/>
  <c r="H1750" i="1"/>
  <c r="H2010" i="1"/>
  <c r="H155" i="1"/>
  <c r="H1359" i="1"/>
  <c r="H1197" i="1"/>
  <c r="H131" i="1"/>
  <c r="H187" i="1"/>
  <c r="H1182" i="1"/>
  <c r="H2561" i="1"/>
  <c r="H1437" i="1"/>
  <c r="H2173" i="1"/>
  <c r="H2885" i="1"/>
  <c r="H138" i="1"/>
  <c r="H2891" i="1"/>
  <c r="H1951" i="1"/>
  <c r="H2743" i="1"/>
  <c r="H2005" i="1"/>
  <c r="H1742" i="1"/>
  <c r="H2012" i="1"/>
  <c r="H511" i="1"/>
  <c r="H431" i="1"/>
  <c r="H227" i="1"/>
  <c r="H2070" i="1"/>
  <c r="H2894" i="1"/>
  <c r="H2011" i="1"/>
  <c r="H2026" i="1"/>
  <c r="H2071" i="1"/>
  <c r="H1753" i="1"/>
  <c r="H2826" i="1"/>
  <c r="H1572" i="1"/>
  <c r="H858" i="1"/>
  <c r="H2280" i="1"/>
  <c r="H772" i="1"/>
  <c r="H2591" i="1"/>
  <c r="H305" i="1"/>
  <c r="H879" i="1"/>
  <c r="H897" i="1"/>
  <c r="H1799" i="1"/>
  <c r="H1759" i="1"/>
  <c r="H1060" i="1"/>
  <c r="H2332" i="1"/>
  <c r="H1739" i="1"/>
  <c r="H46" i="1"/>
  <c r="H1972" i="1"/>
  <c r="H2870" i="1"/>
  <c r="H2669" i="1"/>
  <c r="H1892" i="1"/>
  <c r="H910" i="1"/>
  <c r="H411" i="1"/>
  <c r="H499" i="1"/>
  <c r="H2351" i="1"/>
  <c r="H182" i="1"/>
  <c r="H2722" i="1"/>
  <c r="H1667" i="1"/>
  <c r="H639" i="1"/>
  <c r="H2610" i="1"/>
  <c r="H2724" i="1"/>
  <c r="H2763" i="1"/>
  <c r="H134" i="1"/>
  <c r="H2161" i="1"/>
  <c r="H98" i="1"/>
  <c r="H796" i="1"/>
  <c r="H1754" i="1"/>
  <c r="H1256" i="1"/>
  <c r="H2768" i="1"/>
  <c r="H223" i="1"/>
  <c r="H136" i="1"/>
  <c r="H1661" i="1"/>
  <c r="H1337" i="1"/>
  <c r="H2627" i="1"/>
  <c r="H1760" i="1"/>
  <c r="H1984" i="1"/>
  <c r="H1825" i="1"/>
  <c r="H1524" i="1"/>
  <c r="H2513" i="1"/>
  <c r="H2872" i="1"/>
  <c r="H859" i="1"/>
  <c r="H209" i="1"/>
  <c r="H1643" i="1"/>
  <c r="H1843" i="1"/>
  <c r="H1519" i="1"/>
  <c r="H401" i="1"/>
  <c r="H42" i="1"/>
  <c r="H2099" i="1"/>
  <c r="H1372" i="1"/>
  <c r="H461" i="1"/>
  <c r="H718" i="1"/>
  <c r="H1853" i="1"/>
  <c r="H2675" i="1"/>
  <c r="H1181" i="1"/>
  <c r="H1167" i="1"/>
  <c r="H1548" i="1"/>
  <c r="H1755" i="1"/>
  <c r="H253" i="1"/>
  <c r="H975" i="1"/>
  <c r="H1779" i="1"/>
  <c r="H1266" i="1"/>
  <c r="H2178" i="1"/>
  <c r="H1982" i="1"/>
  <c r="H2983" i="1"/>
  <c r="H2274" i="1"/>
  <c r="H2525" i="1"/>
  <c r="H18" i="1"/>
  <c r="H267" i="1"/>
  <c r="H1908" i="1"/>
  <c r="H1377" i="1"/>
  <c r="H2155" i="1"/>
  <c r="H1126" i="1"/>
  <c r="H573" i="1"/>
  <c r="H165" i="1"/>
  <c r="H2841" i="1"/>
  <c r="H2847" i="1"/>
  <c r="H1798" i="1"/>
  <c r="H913" i="1"/>
  <c r="H902" i="1"/>
  <c r="H753" i="1"/>
  <c r="H1520" i="1"/>
  <c r="H2762" i="1"/>
  <c r="H706" i="1"/>
  <c r="H1546" i="1"/>
  <c r="H995" i="1"/>
  <c r="H1452" i="1"/>
  <c r="H1728" i="1"/>
  <c r="H2723" i="1"/>
  <c r="H473" i="1"/>
  <c r="H1713" i="1"/>
  <c r="H397" i="1"/>
  <c r="H935" i="1"/>
  <c r="H2445" i="1"/>
  <c r="H1854" i="1"/>
  <c r="H2642" i="1"/>
  <c r="H1216" i="1"/>
  <c r="H1341" i="1"/>
  <c r="H1690" i="1"/>
  <c r="H1428" i="1"/>
  <c r="H1615" i="1"/>
  <c r="H2620" i="1"/>
  <c r="H723" i="1"/>
  <c r="H509" i="1"/>
  <c r="H1701" i="1"/>
  <c r="H2663" i="1"/>
  <c r="H2970" i="1"/>
  <c r="H2252" i="1"/>
  <c r="H909" i="1"/>
  <c r="H2180" i="1"/>
  <c r="H2273" i="1"/>
  <c r="H1149" i="1"/>
  <c r="H746" i="1"/>
  <c r="H2702" i="1"/>
  <c r="H1494" i="1"/>
  <c r="H2947" i="1"/>
  <c r="H185" i="1"/>
  <c r="H2194" i="1"/>
  <c r="H1530" i="1"/>
  <c r="H137" i="1"/>
  <c r="H1161" i="1"/>
  <c r="H1217" i="1"/>
  <c r="H920" i="1"/>
  <c r="H685" i="1"/>
  <c r="H2755" i="1"/>
  <c r="H2148" i="1"/>
  <c r="H1780" i="1"/>
  <c r="H2452" i="1"/>
  <c r="H1075" i="1"/>
  <c r="H1505" i="1"/>
  <c r="H917" i="1"/>
  <c r="H324" i="1"/>
  <c r="H15" i="1"/>
  <c r="H2546" i="1"/>
  <c r="H2202" i="1"/>
  <c r="H2505" i="1"/>
  <c r="H1414" i="1"/>
  <c r="H2665" i="1"/>
  <c r="H96" i="1"/>
  <c r="H2856" i="1"/>
  <c r="H458" i="1"/>
  <c r="H932" i="1"/>
  <c r="H362" i="1"/>
  <c r="H1265" i="1"/>
  <c r="H2040" i="1"/>
  <c r="H1489" i="1"/>
  <c r="H782" i="1"/>
  <c r="H1441" i="1"/>
  <c r="H493" i="1"/>
  <c r="H2345" i="1"/>
  <c r="H1527" i="1"/>
  <c r="H50" i="1"/>
  <c r="H664" i="1"/>
  <c r="H2284" i="1"/>
  <c r="H417" i="1"/>
  <c r="H2836" i="1"/>
  <c r="H2365" i="1"/>
  <c r="H2055" i="1"/>
  <c r="H1841" i="1"/>
  <c r="H1700" i="1"/>
  <c r="H65" i="1"/>
  <c r="H1273" i="1"/>
  <c r="H2820" i="1"/>
  <c r="H614" i="1"/>
  <c r="H1211" i="1"/>
  <c r="H377" i="1"/>
  <c r="H578" i="1"/>
  <c r="H1840" i="1"/>
  <c r="H1900" i="1"/>
  <c r="H1547" i="1"/>
  <c r="H2438" i="1"/>
  <c r="H2296" i="1"/>
  <c r="H2716" i="1"/>
  <c r="H2969" i="1"/>
  <c r="H1295" i="1"/>
  <c r="H1021" i="1"/>
  <c r="H200" i="1"/>
  <c r="H1144" i="1"/>
  <c r="H2511" i="1"/>
  <c r="H1239" i="1"/>
  <c r="H1351" i="1"/>
  <c r="H696" i="1"/>
  <c r="H2174" i="1"/>
  <c r="H1965" i="1"/>
  <c r="H100" i="1"/>
  <c r="H1677" i="1"/>
  <c r="H994" i="1"/>
  <c r="H112" i="1"/>
  <c r="H611" i="1"/>
  <c r="H2647" i="1"/>
  <c r="H2131" i="1"/>
  <c r="H828" i="1"/>
  <c r="H1872" i="1"/>
  <c r="H621" i="1"/>
  <c r="H684" i="1"/>
  <c r="H925" i="1"/>
  <c r="H1292" i="1"/>
  <c r="H2262" i="1"/>
  <c r="H877" i="1"/>
  <c r="H366" i="1"/>
  <c r="H1282" i="1"/>
  <c r="H1157" i="1"/>
  <c r="H1630" i="1"/>
  <c r="H1081" i="1"/>
  <c r="H34" i="1"/>
  <c r="H658" i="1"/>
  <c r="H2276" i="1"/>
  <c r="H776" i="1"/>
  <c r="H555" i="1"/>
  <c r="H2821" i="1"/>
  <c r="H2506" i="1"/>
  <c r="H2586" i="1"/>
  <c r="H1301" i="1"/>
  <c r="H789" i="1"/>
  <c r="H444" i="1"/>
  <c r="H1363" i="1"/>
  <c r="H2805" i="1"/>
  <c r="H301" i="1"/>
  <c r="H2635" i="1"/>
  <c r="H1715" i="1"/>
  <c r="H1110" i="1"/>
  <c r="H2063" i="1"/>
  <c r="H1240" i="1"/>
  <c r="H1655" i="1"/>
  <c r="H2236" i="1"/>
  <c r="H779" i="1"/>
  <c r="H2290" i="1"/>
  <c r="H1287" i="1"/>
  <c r="H1447" i="1"/>
  <c r="H2172" i="1"/>
  <c r="H2571" i="1"/>
  <c r="H492" i="1"/>
  <c r="H350" i="1"/>
  <c r="H1339" i="1"/>
  <c r="H1789" i="1"/>
  <c r="H2263" i="1"/>
  <c r="H625" i="1"/>
  <c r="H1134" i="1"/>
  <c r="H28" i="1"/>
  <c r="H2064" i="1"/>
  <c r="H117" i="1"/>
  <c r="H1113" i="1"/>
  <c r="H1187" i="1"/>
  <c r="H525" i="1"/>
  <c r="H2572" i="1"/>
  <c r="H73" i="1"/>
  <c r="H2501" i="1"/>
  <c r="H12" i="1"/>
  <c r="H348" i="1"/>
  <c r="H2205" i="1"/>
  <c r="H318" i="1"/>
  <c r="H64" i="1"/>
  <c r="H765" i="1"/>
  <c r="H1924" i="1"/>
  <c r="H1500" i="1"/>
  <c r="H2388" i="1"/>
  <c r="H2834" i="1"/>
  <c r="H2639" i="1"/>
  <c r="H2777" i="1"/>
  <c r="H1993" i="1"/>
  <c r="H811" i="1"/>
  <c r="H501" i="1"/>
  <c r="H2449" i="1"/>
  <c r="H1291" i="1"/>
  <c r="H2318" i="1"/>
  <c r="H1882" i="1"/>
  <c r="H593" i="1"/>
  <c r="H2889" i="1"/>
  <c r="H2778" i="1"/>
  <c r="H2595" i="1"/>
  <c r="H2598" i="1"/>
  <c r="H2473" i="1"/>
  <c r="H1625" i="1"/>
  <c r="H1727" i="1"/>
  <c r="H2259" i="1"/>
  <c r="H2707" i="1"/>
  <c r="H1322" i="1"/>
  <c r="H825" i="1"/>
  <c r="H1749" i="1"/>
  <c r="H1242" i="1"/>
  <c r="H2594" i="1"/>
  <c r="H2418" i="1"/>
  <c r="H2974" i="1"/>
  <c r="H1208" i="1"/>
  <c r="H2909" i="1"/>
  <c r="H1902" i="1"/>
  <c r="H2526" i="1"/>
  <c r="H1607" i="1"/>
  <c r="H2109" i="1"/>
  <c r="H1523" i="1"/>
  <c r="H756" i="1"/>
  <c r="H950" i="1"/>
  <c r="H1979" i="1"/>
  <c r="H778" i="1"/>
  <c r="H498" i="1"/>
  <c r="H788" i="1"/>
  <c r="H1645" i="1"/>
  <c r="H2217" i="1"/>
  <c r="H1262" i="1"/>
  <c r="H992" i="1"/>
  <c r="H140" i="1"/>
  <c r="H2422" i="1"/>
  <c r="H2550" i="1"/>
  <c r="H173" i="1"/>
  <c r="H2865" i="1"/>
  <c r="H1822" i="1"/>
  <c r="H1936" i="1"/>
  <c r="H1913" i="1"/>
  <c r="H2731" i="1"/>
  <c r="H1392" i="1"/>
  <c r="H922" i="1"/>
  <c r="H2052" i="1"/>
  <c r="H2250" i="1"/>
  <c r="H1471" i="1"/>
  <c r="H908" i="1"/>
  <c r="H2799" i="1"/>
  <c r="H1058" i="1"/>
  <c r="H1184" i="1"/>
  <c r="H1958" i="1"/>
  <c r="H1107" i="1"/>
  <c r="H1716" i="1"/>
  <c r="H2091" i="1"/>
  <c r="H629" i="1"/>
  <c r="H1891" i="1"/>
  <c r="H2444" i="1"/>
  <c r="H591" i="1"/>
  <c r="H1155" i="1"/>
  <c r="H2839" i="1"/>
  <c r="H620" i="1"/>
  <c r="H2855" i="1"/>
  <c r="H580" i="1"/>
  <c r="H429" i="1"/>
  <c r="H2631" i="1"/>
  <c r="H1801" i="1"/>
  <c r="H2381" i="1"/>
  <c r="H403" i="1"/>
  <c r="H2455" i="1"/>
  <c r="H2074" i="1"/>
  <c r="H1136" i="1"/>
  <c r="H993" i="1"/>
  <c r="H984" i="1"/>
  <c r="H58" i="1"/>
  <c r="H1409" i="1"/>
  <c r="H1970" i="1"/>
  <c r="H1918" i="1"/>
  <c r="H2248" i="1"/>
  <c r="H2090" i="1"/>
  <c r="H1212" i="1"/>
  <c r="H1367" i="1"/>
  <c r="H1057" i="1"/>
  <c r="H1320" i="1"/>
  <c r="H2771" i="1"/>
  <c r="H2861" i="1"/>
  <c r="H2895" i="1"/>
  <c r="H1286" i="1"/>
  <c r="H1174" i="1"/>
  <c r="H969" i="1"/>
  <c r="H2129" i="1"/>
  <c r="H86" i="1"/>
  <c r="H812" i="1"/>
  <c r="H1335" i="1"/>
  <c r="H1125" i="1"/>
  <c r="H793" i="1"/>
  <c r="H1241" i="1"/>
  <c r="H1076" i="1"/>
  <c r="H1626" i="1"/>
  <c r="H1269" i="1"/>
  <c r="H2853" i="1"/>
  <c r="H236" i="1"/>
  <c r="H585" i="1"/>
  <c r="H1577" i="1"/>
  <c r="H2538" i="1"/>
  <c r="H2429" i="1"/>
  <c r="H83" i="1"/>
  <c r="H71" i="1"/>
  <c r="H2222" i="1"/>
  <c r="H360" i="1"/>
  <c r="H283" i="1"/>
  <c r="H543" i="1"/>
  <c r="H2196" i="1"/>
  <c r="H1587" i="1"/>
  <c r="H2677" i="1"/>
  <c r="H128" i="1"/>
  <c r="H2022" i="1"/>
  <c r="H1971" i="1"/>
  <c r="H466" i="1"/>
  <c r="H1730" i="1"/>
  <c r="H2672" i="1"/>
  <c r="H513" i="1"/>
  <c r="H190" i="1"/>
  <c r="H1327" i="1"/>
  <c r="H1613" i="1"/>
  <c r="H1343" i="1"/>
  <c r="H1703" i="1"/>
  <c r="H2532" i="1"/>
  <c r="H2528" i="1"/>
  <c r="H563" i="1"/>
  <c r="H1678" i="1"/>
  <c r="H1702" i="1"/>
  <c r="H2047" i="1"/>
  <c r="H805" i="1"/>
  <c r="H1940" i="1"/>
  <c r="H882" i="1"/>
  <c r="H407" i="1"/>
  <c r="H2800" i="1"/>
  <c r="H2339" i="1"/>
  <c r="H1378" i="1"/>
  <c r="H1456" i="1"/>
  <c r="H1109" i="1"/>
  <c r="H1959" i="1"/>
  <c r="H1171" i="1"/>
  <c r="H1518" i="1"/>
  <c r="H1436" i="1"/>
  <c r="H2547" i="1"/>
  <c r="H2432" i="1"/>
  <c r="H1656" i="1"/>
  <c r="H1271" i="1"/>
  <c r="H2400" i="1"/>
  <c r="H767" i="1"/>
  <c r="H699" i="1"/>
  <c r="H2338" i="1"/>
  <c r="H2934" i="1"/>
  <c r="H430" i="1"/>
  <c r="H568" i="1"/>
  <c r="H2072" i="1"/>
  <c r="H188" i="1"/>
  <c r="H1482" i="1"/>
  <c r="H1618" i="1"/>
  <c r="H135" i="1"/>
  <c r="H1980" i="1"/>
  <c r="H1636" i="1"/>
  <c r="H900" i="1"/>
  <c r="H2829" i="1"/>
  <c r="H1707" i="1"/>
  <c r="H2279" i="1"/>
  <c r="H174" i="1"/>
  <c r="H2460" i="1"/>
  <c r="H51" i="1"/>
  <c r="H2159" i="1"/>
  <c r="H1424" i="1"/>
  <c r="H364" i="1"/>
  <c r="H465" i="1"/>
  <c r="H1329" i="1"/>
  <c r="H1745" i="1"/>
  <c r="H2150" i="1"/>
  <c r="H1697" i="1"/>
  <c r="H947" i="1"/>
  <c r="H876" i="1"/>
  <c r="H385" i="1"/>
  <c r="H946" i="1"/>
  <c r="H1193" i="1"/>
  <c r="H2027" i="1"/>
  <c r="H1251" i="1"/>
  <c r="H303" i="1"/>
  <c r="H1950" i="1"/>
  <c r="H1675" i="1"/>
  <c r="H918" i="1"/>
  <c r="H2146" i="1"/>
  <c r="H2616" i="1"/>
  <c r="H751" i="1"/>
  <c r="H2377" i="1"/>
  <c r="H1956" i="1"/>
  <c r="H1541" i="1"/>
  <c r="H986" i="1"/>
  <c r="H2329" i="1"/>
  <c r="H743" i="1"/>
  <c r="H1814" i="1"/>
  <c r="H330" i="1"/>
  <c r="H2835" i="1"/>
  <c r="H2142" i="1"/>
  <c r="H495" i="1"/>
  <c r="H2464" i="1"/>
  <c r="H1013" i="1"/>
  <c r="H62" i="1"/>
  <c r="H1145" i="1"/>
  <c r="H813" i="1"/>
  <c r="H1861" i="1"/>
  <c r="H2213" i="1"/>
  <c r="H1676" i="1"/>
  <c r="H1845" i="1"/>
  <c r="H379" i="1"/>
  <c r="H887" i="1"/>
  <c r="H2602" i="1"/>
  <c r="H2688" i="1"/>
  <c r="H1128" i="1"/>
  <c r="H2955" i="1"/>
  <c r="H2911" i="1"/>
  <c r="H1946" i="1"/>
  <c r="H474" i="1"/>
  <c r="H1575" i="1"/>
  <c r="H2897" i="1"/>
  <c r="H1644" i="1"/>
  <c r="H2242" i="1"/>
  <c r="H709" i="1"/>
  <c r="H2560" i="1"/>
  <c r="H518" i="1"/>
  <c r="H389" i="1"/>
  <c r="H1397" i="1"/>
  <c r="H21" i="1"/>
  <c r="H290" i="1"/>
  <c r="H2362" i="1"/>
  <c r="H359" i="1"/>
  <c r="H2216" i="1"/>
  <c r="H963" i="1"/>
  <c r="H2247" i="1"/>
  <c r="H1005" i="1"/>
  <c r="H238" i="1"/>
  <c r="H497" i="1"/>
  <c r="H31" i="1"/>
  <c r="H89" i="1"/>
  <c r="H2852" i="1"/>
  <c r="H199" i="1"/>
  <c r="H208" i="1"/>
  <c r="H489" i="1"/>
  <c r="H508" i="1"/>
  <c r="H279" i="1"/>
  <c r="H19" i="1"/>
  <c r="H690" i="1"/>
  <c r="H153" i="1"/>
  <c r="H1410" i="1"/>
  <c r="H1650" i="1"/>
  <c r="H2187" i="1"/>
  <c r="H1140" i="1"/>
  <c r="H2197" i="1"/>
  <c r="H331" i="1"/>
  <c r="H1293" i="1"/>
  <c r="H939" i="1"/>
  <c r="H2080" i="1"/>
  <c r="H2038" i="1"/>
  <c r="H2149" i="1"/>
  <c r="H1073" i="1"/>
  <c r="H2917" i="1"/>
  <c r="H2615" i="1"/>
  <c r="H1156" i="1"/>
  <c r="H713" i="1"/>
  <c r="H2930" i="1"/>
  <c r="H546" i="1"/>
  <c r="H1654" i="1"/>
  <c r="H1470" i="1"/>
  <c r="H2931" i="1"/>
  <c r="H847" i="1"/>
  <c r="H1561" i="1"/>
  <c r="H2814" i="1"/>
  <c r="H1621" i="1"/>
  <c r="H1813" i="1"/>
  <c r="H2534" i="1"/>
  <c r="H1611" i="1"/>
  <c r="H282" i="1"/>
  <c r="H977" i="1"/>
  <c r="H998" i="1"/>
  <c r="H674" i="1"/>
  <c r="H781" i="1"/>
  <c r="H486" i="1"/>
  <c r="H358" i="1"/>
  <c r="H1714" i="1"/>
  <c r="H295" i="1"/>
  <c r="H1244" i="1"/>
  <c r="H189" i="1"/>
  <c r="H1143" i="1"/>
  <c r="H349" i="1"/>
  <c r="H323" i="1"/>
  <c r="H1183" i="1"/>
  <c r="H2261" i="1"/>
  <c r="H1023" i="1"/>
  <c r="H1438" i="1"/>
  <c r="H928" i="1"/>
  <c r="H676" i="1"/>
  <c r="H1864" i="1"/>
  <c r="H1710" i="1"/>
  <c r="H2311" i="1"/>
  <c r="H2314" i="1"/>
  <c r="H2954" i="1"/>
  <c r="H700" i="1"/>
  <c r="H1852" i="1"/>
  <c r="H139" i="1"/>
  <c r="H596" i="1"/>
  <c r="H2752" i="1"/>
  <c r="H820" i="1"/>
  <c r="H2689" i="1"/>
  <c r="H883" i="1"/>
  <c r="H754" i="1"/>
  <c r="H1992" i="1"/>
  <c r="H186" i="1"/>
  <c r="H1823" i="1"/>
  <c r="H1131" i="1"/>
  <c r="H1624" i="1"/>
  <c r="H1806" i="1"/>
  <c r="H1591" i="1"/>
  <c r="H1229" i="1"/>
  <c r="H701" i="1"/>
  <c r="H1545" i="1"/>
  <c r="H1172" i="1"/>
  <c r="H113" i="1"/>
  <c r="H1460" i="1"/>
  <c r="H1968" i="1"/>
  <c r="H564" i="1"/>
  <c r="H1383" i="1"/>
  <c r="H2925" i="1"/>
  <c r="H2443" i="1"/>
  <c r="H2463" i="1"/>
  <c r="H1178" i="1"/>
  <c r="H1263" i="1"/>
  <c r="H261" i="1"/>
  <c r="H1260" i="1"/>
  <c r="H602" i="1"/>
  <c r="H2391" i="1"/>
  <c r="H747" i="1"/>
  <c r="H1776" i="1"/>
  <c r="H1938" i="1"/>
  <c r="H2141" i="1"/>
  <c r="H1717" i="1"/>
  <c r="H2472" i="1"/>
  <c r="H648" i="1"/>
  <c r="H1718" i="1"/>
  <c r="H376" i="1"/>
  <c r="H2087" i="1"/>
  <c r="H1019" i="1"/>
  <c r="H341" i="1"/>
  <c r="H419" i="1"/>
  <c r="H2484" i="1"/>
  <c r="H1796" i="1"/>
  <c r="H217" i="1"/>
  <c r="H2230" i="1"/>
  <c r="H1991" i="1"/>
  <c r="H1150" i="1"/>
  <c r="H1566" i="1"/>
  <c r="H2901" i="1"/>
  <c r="H834" i="1"/>
  <c r="H703" i="1"/>
  <c r="H2179" i="1"/>
  <c r="H1336" i="1"/>
  <c r="H502" i="1"/>
  <c r="H1348" i="1"/>
  <c r="H109" i="1"/>
  <c r="H2060" i="1"/>
  <c r="H2102" i="1"/>
  <c r="H2407" i="1"/>
  <c r="H2401" i="1"/>
  <c r="H2667" i="1"/>
  <c r="H803" i="1"/>
  <c r="H36" i="1"/>
  <c r="H299" i="1"/>
  <c r="H2466" i="1"/>
  <c r="H328" i="1"/>
  <c r="H1231" i="1"/>
  <c r="H1881" i="1"/>
  <c r="H300" i="1"/>
  <c r="H75" i="1"/>
  <c r="H1294" i="1"/>
  <c r="H862" i="1"/>
  <c r="H1123" i="1"/>
  <c r="H308" i="1"/>
  <c r="H2558" i="1"/>
  <c r="H2715" i="1"/>
  <c r="H2104" i="1"/>
  <c r="H2117" i="1"/>
  <c r="H1310" i="1"/>
  <c r="H1253" i="1"/>
  <c r="H1516" i="1"/>
  <c r="H2641" i="1"/>
  <c r="H1484" i="1"/>
  <c r="H287" i="1"/>
  <c r="H2812" i="1"/>
  <c r="H553" i="1"/>
  <c r="H2780" i="1"/>
  <c r="H2772" i="1"/>
  <c r="H2076" i="1"/>
  <c r="H1185" i="1"/>
  <c r="H1634" i="1"/>
  <c r="H875" i="1"/>
  <c r="H423" i="1"/>
  <c r="H1302" i="1"/>
  <c r="H2751" i="1"/>
  <c r="H1537" i="1"/>
  <c r="H1863" i="1"/>
  <c r="H1440" i="1"/>
  <c r="H260" i="1"/>
  <c r="H1549" i="1"/>
  <c r="H1795" i="1"/>
  <c r="H1967" i="1"/>
  <c r="H798" i="1"/>
  <c r="H2313" i="1"/>
  <c r="H2545" i="1"/>
  <c r="H1344" i="1"/>
  <c r="H1048" i="1"/>
  <c r="H1653" i="1"/>
  <c r="H1870" i="1"/>
  <c r="H1170" i="1"/>
  <c r="H306" i="1"/>
  <c r="H2939" i="1"/>
  <c r="H2395" i="1"/>
  <c r="H1947" i="1"/>
  <c r="H242" i="1"/>
  <c r="H942" i="1"/>
  <c r="H693" i="1"/>
  <c r="H1632" i="1"/>
  <c r="H1326" i="1"/>
  <c r="H1981" i="1"/>
  <c r="H191" i="1"/>
  <c r="H949" i="1"/>
  <c r="H1719" i="1"/>
  <c r="H740" i="1"/>
  <c r="H655" i="1"/>
  <c r="H2384" i="1"/>
  <c r="H2373" i="1"/>
  <c r="H1540" i="1"/>
  <c r="H2184" i="1"/>
  <c r="H326" i="1"/>
  <c r="H2354" i="1"/>
  <c r="H2235" i="1"/>
  <c r="H1666" i="1"/>
  <c r="H702" i="1"/>
  <c r="H1396" i="1"/>
  <c r="H1792" i="1"/>
  <c r="H432" i="1"/>
  <c r="H2036" i="1"/>
  <c r="H673" i="1"/>
  <c r="H892" i="1"/>
  <c r="H2518" i="1"/>
  <c r="H1108" i="1"/>
  <c r="H1598" i="1"/>
  <c r="H1731" i="1"/>
  <c r="H1858" i="1"/>
  <c r="H2016" i="1"/>
  <c r="H1158" i="1"/>
  <c r="H2542" i="1"/>
  <c r="H2886" i="1"/>
  <c r="H33" i="1"/>
  <c r="H2819" i="1"/>
  <c r="H1018" i="1"/>
  <c r="H234" i="1"/>
  <c r="H1089" i="1"/>
  <c r="H2140" i="1"/>
  <c r="H214" i="1"/>
  <c r="H1758" i="1"/>
  <c r="H896" i="1"/>
  <c r="H556" i="1"/>
  <c r="H1423" i="1"/>
  <c r="H446" i="1"/>
  <c r="H1909" i="1"/>
  <c r="H2683" i="1"/>
  <c r="H1391" i="1"/>
  <c r="H1442" i="1"/>
  <c r="H1254" i="1"/>
  <c r="H205" i="1"/>
  <c r="H2085" i="1"/>
  <c r="H61" i="1"/>
  <c r="H424" i="1"/>
  <c r="H1544" i="1"/>
  <c r="H2353" i="1"/>
  <c r="H2536" i="1"/>
  <c r="H2195" i="1"/>
  <c r="H1032" i="1"/>
  <c r="H14" i="1"/>
  <c r="H2258" i="1"/>
  <c r="H1504" i="1"/>
  <c r="H2508" i="1"/>
  <c r="H2168" i="1"/>
  <c r="H2410" i="1"/>
  <c r="H2849" i="1"/>
  <c r="H472" i="1"/>
  <c r="H1649" i="1"/>
  <c r="H2757" i="1"/>
  <c r="H1777" i="1"/>
  <c r="H1867" i="1"/>
  <c r="H154" i="1"/>
  <c r="H1925" i="1"/>
  <c r="H1401" i="1"/>
  <c r="H177" i="1"/>
  <c r="H2533" i="1"/>
  <c r="H2806" i="1"/>
  <c r="H1180" i="1"/>
  <c r="H961" i="1"/>
  <c r="H1395" i="1"/>
  <c r="H1276" i="1"/>
  <c r="H452" i="1"/>
  <c r="H770" i="1"/>
  <c r="H2101" i="1"/>
  <c r="H1585" i="1"/>
  <c r="H2144" i="1"/>
  <c r="H183" i="1"/>
  <c r="H890" i="1"/>
  <c r="H1331" i="1"/>
  <c r="H761" i="1"/>
  <c r="H608" i="1"/>
  <c r="H102" i="1"/>
  <c r="H2765" i="1"/>
  <c r="H163" i="1"/>
  <c r="H317" i="1"/>
  <c r="H2693" i="1"/>
  <c r="H2241" i="1"/>
  <c r="H1726" i="1"/>
  <c r="H1752" i="1"/>
  <c r="H1130" i="1"/>
  <c r="H681" i="1"/>
  <c r="H1412" i="1"/>
  <c r="H361" i="1"/>
  <c r="H938" i="1"/>
  <c r="H391" i="1"/>
  <c r="H45" i="1"/>
  <c r="H1284" i="1"/>
  <c r="H1118" i="1"/>
  <c r="H1009" i="1"/>
  <c r="H1055" i="1"/>
  <c r="H235" i="1"/>
  <c r="H1356" i="1"/>
  <c r="H115" i="1"/>
  <c r="H197" i="1"/>
  <c r="H1111" i="1"/>
  <c r="H43" i="1"/>
  <c r="H355" i="1"/>
  <c r="H1069" i="1"/>
  <c r="H1920" i="1"/>
  <c r="H2924" i="1"/>
  <c r="H1507" i="1"/>
  <c r="H1784" i="1"/>
  <c r="H619" i="1"/>
  <c r="H870" i="1"/>
  <c r="H1961" i="1"/>
  <c r="H1629" i="1"/>
  <c r="H2186" i="1"/>
  <c r="H687" i="1"/>
  <c r="H1538" i="1"/>
  <c r="H1769" i="1"/>
  <c r="H1866" i="1"/>
  <c r="H1353" i="1"/>
  <c r="H2413" i="1"/>
  <c r="H2095" i="1"/>
  <c r="H2686" i="1"/>
  <c r="H524" i="1"/>
  <c r="H1297" i="1"/>
  <c r="H1330" i="1"/>
  <c r="H2081" i="1"/>
  <c r="H764" i="1"/>
  <c r="H835" i="1"/>
  <c r="H239" i="1"/>
  <c r="H668" i="1"/>
  <c r="H394" i="1"/>
  <c r="H1469" i="1"/>
  <c r="H2331" i="1"/>
  <c r="H1542" i="1"/>
  <c r="H1986" i="1"/>
  <c r="H496" i="1"/>
  <c r="H849" i="1"/>
  <c r="H2218" i="1"/>
  <c r="H1491" i="1"/>
  <c r="H2281" i="1"/>
  <c r="H1415" i="1"/>
  <c r="H1564" i="1"/>
  <c r="H196" i="1"/>
  <c r="H972" i="1"/>
  <c r="H991" i="1"/>
  <c r="H1202" i="1"/>
  <c r="H1514" i="1"/>
  <c r="H2554" i="1"/>
  <c r="H363" i="1"/>
  <c r="H11" i="1"/>
  <c r="H2592" i="1"/>
  <c r="H2653" i="1"/>
  <c r="H2520" i="1"/>
  <c r="H2489" i="1"/>
  <c r="H2323" i="1"/>
  <c r="H332" i="1"/>
  <c r="H1898" i="1"/>
  <c r="H1390" i="1"/>
  <c r="H1468" i="1"/>
  <c r="H152" i="1"/>
  <c r="H482" i="1"/>
  <c r="H1696" i="1"/>
  <c r="H934" i="1"/>
  <c r="H732" i="1"/>
  <c r="H449" i="1"/>
  <c r="H470" i="1"/>
  <c r="H2058" i="1"/>
  <c r="H2863" i="1"/>
  <c r="H2122" i="1"/>
  <c r="H1261" i="1"/>
  <c r="H1237" i="1"/>
  <c r="H219" i="1"/>
  <c r="H243" i="1"/>
  <c r="H1080" i="1"/>
  <c r="H2781" i="1"/>
  <c r="H2412" i="1"/>
  <c r="H2551" i="1"/>
  <c r="H2582" i="1"/>
  <c r="H2746" i="1"/>
  <c r="H2189" i="1"/>
  <c r="H2240" i="1"/>
  <c r="H1325" i="1"/>
  <c r="H1837" i="1"/>
  <c r="H415" i="1"/>
  <c r="H878" i="1"/>
  <c r="H916" i="1"/>
  <c r="H1041" i="1"/>
  <c r="H759" i="1"/>
  <c r="H2428" i="1"/>
  <c r="H1038" i="1"/>
  <c r="H491" i="1"/>
  <c r="H2657" i="1"/>
  <c r="H1270" i="1"/>
  <c r="H2380" i="1"/>
  <c r="H2815" i="1"/>
  <c r="H1272" i="1"/>
  <c r="H976" i="1"/>
  <c r="H2346" i="1"/>
  <c r="H1738" i="1"/>
  <c r="H721" i="1"/>
  <c r="H1498" i="1"/>
  <c r="H1404" i="1"/>
  <c r="H649" i="1"/>
  <c r="H130" i="1"/>
  <c r="H1388" i="1"/>
  <c r="H1581" i="1"/>
  <c r="H1095" i="1"/>
  <c r="H1381" i="1"/>
  <c r="H1222" i="1"/>
  <c r="H2609" i="1"/>
  <c r="H522" i="1"/>
  <c r="H409" i="1"/>
  <c r="H550" i="1"/>
  <c r="H2638" i="1"/>
  <c r="H2042" i="1"/>
  <c r="H471" i="1"/>
  <c r="H455" i="1"/>
  <c r="H2899" i="1"/>
  <c r="H457" i="1"/>
  <c r="H313" i="1"/>
  <c r="H604" i="1"/>
  <c r="H2827" i="1"/>
  <c r="H386" i="1"/>
  <c r="H1724" i="1"/>
  <c r="H2357" i="1"/>
  <c r="H1915" i="1"/>
  <c r="H1819" i="1"/>
  <c r="H818" i="1"/>
  <c r="H1338" i="1"/>
  <c r="H48" i="1"/>
  <c r="H2967" i="1"/>
  <c r="H967" i="1"/>
  <c r="H2613" i="1"/>
  <c r="H2017" i="1"/>
  <c r="H670" i="1"/>
  <c r="H2644" i="1"/>
  <c r="H2083" i="1"/>
  <c r="H2375" i="1"/>
  <c r="H657" i="1"/>
  <c r="H1279" i="1"/>
  <c r="H2476" i="1"/>
  <c r="H8" i="1"/>
  <c r="H2633" i="1"/>
  <c r="H1068" i="1"/>
  <c r="H2398" i="1"/>
  <c r="H682" i="1"/>
  <c r="H741" i="1"/>
  <c r="H59" i="1"/>
  <c r="H719" i="1"/>
  <c r="H1791" i="1"/>
  <c r="H2956" i="1"/>
  <c r="H1582" i="1"/>
  <c r="H1659" i="1"/>
  <c r="H2760" i="1"/>
  <c r="H665" i="1"/>
  <c r="H2030" i="1"/>
  <c r="H933" i="1"/>
  <c r="H2637" i="1"/>
  <c r="H2952" i="1"/>
  <c r="H2933" i="1"/>
  <c r="H960" i="1"/>
  <c r="H435" i="1"/>
  <c r="H1604" i="1"/>
  <c r="H2905" i="1"/>
  <c r="H762" i="1"/>
  <c r="H2018" i="1"/>
  <c r="H1828" i="1"/>
  <c r="H763" i="1"/>
  <c r="H1757" i="1"/>
  <c r="H1190" i="1"/>
  <c r="H1213" i="1"/>
  <c r="H2304" i="1"/>
  <c r="H647" i="1"/>
  <c r="H2588" i="1"/>
  <c r="H122" i="1"/>
  <c r="H2306" i="1"/>
  <c r="H1416" i="1"/>
  <c r="H2951" i="1"/>
  <c r="H1551" i="1"/>
  <c r="H2120" i="1"/>
  <c r="H2817" i="1"/>
  <c r="H2823" i="1"/>
  <c r="H1816" i="1"/>
  <c r="H1763" i="1"/>
  <c r="H589" i="1"/>
  <c r="H412" i="1"/>
  <c r="H1721" i="1"/>
  <c r="H623" i="1"/>
  <c r="H1448" i="1"/>
  <c r="H2628" i="1"/>
  <c r="H66" i="1"/>
  <c r="H548" i="1"/>
  <c r="H2221" i="1"/>
  <c r="H1793" i="1"/>
  <c r="H2530" i="1"/>
  <c r="H940" i="1"/>
  <c r="H2417" i="1"/>
  <c r="H2497" i="1"/>
  <c r="H618" i="1"/>
  <c r="H2694" i="1"/>
  <c r="H1318" i="1"/>
  <c r="H1985" i="1"/>
  <c r="H1085" i="1"/>
  <c r="H1087" i="1"/>
  <c r="H868" i="1"/>
  <c r="H2344" i="1"/>
  <c r="H2295" i="1"/>
  <c r="H2687" i="1"/>
  <c r="H1305" i="1"/>
  <c r="H532" i="1"/>
  <c r="H1488" i="1"/>
  <c r="H2461" i="1"/>
  <c r="H731" i="1"/>
  <c r="H2775" i="1"/>
  <c r="H145" i="1"/>
  <c r="H1046" i="1"/>
  <c r="H725" i="1"/>
  <c r="H297" i="1"/>
  <c r="H2673" i="1"/>
  <c r="H1640" i="1"/>
  <c r="H821" i="1"/>
  <c r="H1999" i="1"/>
  <c r="H476" i="1"/>
  <c r="H1698" i="1"/>
  <c r="H832" i="1"/>
  <c r="H312" i="1"/>
  <c r="H1418" i="1"/>
  <c r="H1480" i="1"/>
  <c r="H38" i="1"/>
  <c r="H1405" i="1"/>
  <c r="H1165" i="1"/>
  <c r="H2500" i="1"/>
  <c r="H1455" i="1"/>
  <c r="H2039" i="1"/>
  <c r="H2566" i="1"/>
  <c r="H1997" i="1"/>
  <c r="H247" i="1"/>
  <c r="H2908" i="1"/>
  <c r="H1362" i="1"/>
  <c r="H1151" i="1"/>
  <c r="H72" i="1"/>
  <c r="H2245" i="1"/>
  <c r="H2024" i="1"/>
  <c r="H1014" i="1"/>
  <c r="H158" i="1"/>
  <c r="H2107" i="1"/>
  <c r="H2784" i="1"/>
  <c r="H2294" i="1"/>
  <c r="H1106" i="1"/>
  <c r="H919" i="1"/>
  <c r="H561" i="1"/>
  <c r="H1091" i="1"/>
  <c r="H1576" i="1"/>
  <c r="H2793" i="1"/>
  <c r="H1901" i="1"/>
  <c r="H2774" i="1"/>
  <c r="H2857" i="1"/>
  <c r="H830" i="1"/>
  <c r="H2882" i="1"/>
  <c r="H715" i="1"/>
  <c r="H1232" i="1"/>
  <c r="H2614" i="1"/>
  <c r="H2440" i="1"/>
  <c r="H2840" i="1"/>
  <c r="H1570" i="1"/>
  <c r="H2866" i="1"/>
  <c r="H1579" i="1"/>
  <c r="H1449" i="1"/>
  <c r="H2025" i="1"/>
  <c r="H1233" i="1"/>
  <c r="H1797" i="1"/>
  <c r="H2912" i="1"/>
  <c r="H1403" i="1"/>
  <c r="H2191" i="1"/>
  <c r="H841" i="1"/>
  <c r="H1247" i="1"/>
  <c r="H2057" i="1"/>
  <c r="H1347" i="1"/>
  <c r="H1895" i="1"/>
  <c r="H650" i="1"/>
  <c r="H1303" i="1"/>
  <c r="H836" i="1"/>
  <c r="H817" i="1"/>
  <c r="H1834" i="1"/>
  <c r="H2366" i="1"/>
  <c r="H1865" i="1"/>
  <c r="H2029" i="1"/>
  <c r="H1923" i="1"/>
  <c r="H24" i="1"/>
  <c r="H335" i="1"/>
  <c r="H340" i="1"/>
  <c r="H63" i="1"/>
  <c r="H2575" i="1"/>
  <c r="H595" i="1"/>
  <c r="H1083" i="1"/>
  <c r="H1169" i="1"/>
  <c r="H856" i="1"/>
  <c r="H2496" i="1"/>
  <c r="H2676" i="1"/>
  <c r="H1614" i="1"/>
  <c r="H1671" i="1"/>
  <c r="H1313" i="1"/>
  <c r="H1995" i="1"/>
  <c r="H1413" i="1"/>
  <c r="H448" i="1"/>
  <c r="H669" i="1"/>
  <c r="H1529" i="1"/>
  <c r="H2031" i="1"/>
  <c r="H2002" i="1"/>
  <c r="H2467" i="1"/>
  <c r="H2938" i="1"/>
  <c r="H1086" i="1"/>
  <c r="H184" i="1"/>
  <c r="H263" i="1"/>
  <c r="H2727" i="1"/>
  <c r="H2845" i="1"/>
  <c r="H1768" i="1"/>
  <c r="H1288" i="1"/>
  <c r="H1360" i="1"/>
  <c r="H1723" i="1"/>
  <c r="H2068" i="1"/>
  <c r="H2703" i="1"/>
  <c r="H1160" i="1"/>
  <c r="H1734" i="1"/>
  <c r="H1463" i="1"/>
  <c r="H944" i="1"/>
  <c r="H1592" i="1"/>
  <c r="H82" i="1"/>
  <c r="H1399" i="1"/>
  <c r="H2032" i="1"/>
  <c r="H148" i="1"/>
  <c r="H1664" i="1"/>
  <c r="H2454" i="1"/>
  <c r="H2270" i="1"/>
  <c r="H987" i="1"/>
  <c r="H1694" i="1"/>
  <c r="H1052" i="1"/>
  <c r="H343" i="1"/>
  <c r="H1608" i="1"/>
  <c r="H989" i="1"/>
  <c r="H2368" i="1"/>
  <c r="H2143" i="1"/>
  <c r="H1931" i="1"/>
  <c r="H912" i="1"/>
  <c r="H873" i="1"/>
  <c r="H132" i="1"/>
  <c r="H2767" i="1"/>
  <c r="H970" i="1"/>
  <c r="H894" i="1"/>
  <c r="H1224" i="1"/>
  <c r="H2330" i="1"/>
  <c r="H150" i="1"/>
  <c r="H1810" i="1"/>
  <c r="H985" i="1"/>
  <c r="H2237" i="1"/>
  <c r="H881" i="1"/>
  <c r="H531" i="1"/>
  <c r="H551" i="1"/>
  <c r="H2402" i="1"/>
  <c r="H93" i="1"/>
  <c r="H241" i="1"/>
  <c r="H1998" i="1"/>
  <c r="H2646" i="1"/>
  <c r="H2397" i="1"/>
  <c r="H375" i="1"/>
  <c r="H434" i="1"/>
  <c r="H2565" i="1"/>
  <c r="H1957" i="1"/>
  <c r="H172" i="1"/>
  <c r="H351" i="1"/>
  <c r="H1250" i="1"/>
  <c r="H1020" i="1"/>
  <c r="H2073" i="1"/>
  <c r="H1300" i="1"/>
  <c r="H1207" i="1"/>
  <c r="H630" i="1"/>
  <c r="H1790" i="1"/>
  <c r="H527" i="1"/>
  <c r="H956" i="1"/>
  <c r="H2162" i="1"/>
  <c r="H1153" i="1"/>
  <c r="H1596" i="1"/>
  <c r="H1040" i="1"/>
  <c r="H750" i="1"/>
  <c r="H1421" i="1"/>
  <c r="H1236" i="1"/>
  <c r="H254" i="1"/>
  <c r="H2792" i="1"/>
  <c r="H215" i="1"/>
  <c r="H739" i="1"/>
  <c r="H1512" i="1"/>
  <c r="H554" i="1"/>
  <c r="H1674" i="1"/>
  <c r="H2859" i="1"/>
  <c r="H304" i="1"/>
  <c r="H2325" i="1"/>
  <c r="H2227" i="1"/>
  <c r="H2209" i="1"/>
  <c r="H833" i="1"/>
  <c r="H2185" i="1"/>
  <c r="H2851" i="1"/>
  <c r="H1209" i="1"/>
  <c r="H169" i="1"/>
  <c r="H1290" i="1"/>
  <c r="H451" i="1"/>
  <c r="H1744" i="1"/>
  <c r="H1767" i="1"/>
  <c r="H231" i="1"/>
  <c r="H69" i="1"/>
  <c r="H2201" i="1"/>
  <c r="H1805" i="1"/>
  <c r="H54" i="1"/>
  <c r="H1234" i="1"/>
  <c r="H1785" i="1"/>
  <c r="H426" i="1"/>
  <c r="H441" i="1"/>
  <c r="H1691" i="1"/>
  <c r="H1860" i="1"/>
  <c r="H2145" i="1"/>
  <c r="H2612" i="1"/>
  <c r="H319" i="1"/>
  <c r="H230" i="1"/>
  <c r="H2166" i="1"/>
  <c r="H1515" i="1"/>
  <c r="H1747" i="1"/>
  <c r="H2907" i="1"/>
  <c r="H1154" i="1"/>
  <c r="H101" i="1"/>
  <c r="H733" i="1"/>
  <c r="H869" i="1"/>
  <c r="H226" i="1"/>
  <c r="H2514" i="1"/>
  <c r="H1917" i="1"/>
  <c r="H2360" i="1"/>
  <c r="H2795" i="1"/>
  <c r="H1506" i="1"/>
  <c r="H1139" i="1"/>
  <c r="H1635" i="1"/>
  <c r="H1312" i="1"/>
  <c r="H2328" i="1"/>
  <c r="H1857" i="1"/>
  <c r="H2028" i="1"/>
  <c r="H111" i="1"/>
  <c r="H2376" i="1"/>
  <c r="H1307" i="1"/>
  <c r="H2569" i="1"/>
  <c r="H1028" i="1"/>
  <c r="H2540" i="1"/>
  <c r="H95" i="1"/>
  <c r="H1988" i="1"/>
  <c r="H30" i="1"/>
  <c r="H1332" i="1"/>
  <c r="H1978" i="1"/>
  <c r="H1688" i="1"/>
  <c r="H2192" i="1"/>
  <c r="H544" i="1"/>
  <c r="H884" i="1"/>
  <c r="H1304" i="1"/>
  <c r="H162" i="1"/>
  <c r="H1203" i="1"/>
  <c r="H2044" i="1"/>
  <c r="H565" i="1"/>
  <c r="H1627" i="1"/>
  <c r="H1844" i="1"/>
  <c r="H651" i="1"/>
  <c r="H1949" i="1"/>
  <c r="H694" i="1"/>
  <c r="H1622" i="1"/>
  <c r="H2918" i="1"/>
  <c r="H654" i="1"/>
  <c r="H203" i="1"/>
  <c r="H2182" i="1"/>
  <c r="H771" i="1"/>
  <c r="H193" i="1"/>
  <c r="H17" i="1"/>
  <c r="H1137" i="1"/>
  <c r="H286" i="1"/>
  <c r="H1672" i="1"/>
  <c r="H395" i="1"/>
  <c r="H521" i="1"/>
  <c r="H2890" i="1"/>
  <c r="H1850" i="1"/>
  <c r="H1296" i="1"/>
  <c r="H265" i="1"/>
  <c r="H1937" i="1"/>
  <c r="H2779" i="1"/>
  <c r="H2212" i="1"/>
  <c r="H2502" i="1"/>
  <c r="H1483" i="1"/>
  <c r="H79" i="1"/>
  <c r="H1740" i="1"/>
  <c r="H2151" i="1"/>
  <c r="H2176" i="1"/>
  <c r="H1883" i="1"/>
  <c r="H2233" i="1"/>
  <c r="H118" i="1"/>
  <c r="H978" i="1"/>
  <c r="H1565" i="1"/>
  <c r="H142" i="1"/>
  <c r="H871" i="1"/>
  <c r="H2903" i="1"/>
  <c r="H837" i="1"/>
  <c r="H2904" i="1"/>
  <c r="H1584" i="1"/>
  <c r="H515" i="1"/>
  <c r="H1225" i="1"/>
  <c r="H178" i="1"/>
  <c r="H1133" i="1"/>
  <c r="H695" i="1"/>
  <c r="H1668" i="1"/>
  <c r="H2003" i="1"/>
  <c r="H438" i="1"/>
  <c r="H1893" i="1"/>
  <c r="H1000" i="1"/>
  <c r="H2399" i="1"/>
  <c r="H1188" i="1"/>
  <c r="H1386" i="1"/>
  <c r="H255" i="1"/>
  <c r="H1827" i="1"/>
  <c r="H2759" i="1"/>
  <c r="H1495" i="1"/>
  <c r="H477" i="1"/>
  <c r="H1259" i="1"/>
  <c r="H1562" i="1"/>
  <c r="H607" i="1"/>
  <c r="H2794" i="1"/>
  <c r="H1637" i="1"/>
  <c r="H2527" i="1"/>
  <c r="H904" i="1"/>
  <c r="H278" i="1"/>
  <c r="H539" i="1"/>
  <c r="H104" i="1"/>
  <c r="H1433" i="1"/>
  <c r="H2020" i="1"/>
  <c r="H2335" i="1"/>
  <c r="H2406" i="1"/>
  <c r="H1466" i="1"/>
  <c r="H851" i="1"/>
  <c r="H26" i="1"/>
  <c r="H1374" i="1"/>
  <c r="H545" i="1"/>
  <c r="H2887" i="1"/>
  <c r="H2787" i="1"/>
  <c r="H1633" i="1"/>
  <c r="H2507" i="1"/>
  <c r="H1029" i="1"/>
  <c r="H613" i="1"/>
  <c r="H1648" i="1"/>
  <c r="H1443" i="1"/>
  <c r="H378" i="1"/>
  <c r="H2902" i="1"/>
  <c r="H2881" i="1"/>
  <c r="H1606" i="1"/>
  <c r="H2946" i="1"/>
  <c r="H1365" i="1"/>
  <c r="H1781" i="1"/>
  <c r="H329" i="1"/>
  <c r="H745" i="1"/>
  <c r="H2492" i="1"/>
  <c r="H2356" i="1"/>
  <c r="H842" i="1"/>
  <c r="H2698" i="1"/>
  <c r="H1830" i="1"/>
  <c r="H2927" i="1"/>
  <c r="H672" i="1"/>
  <c r="H1012" i="1"/>
  <c r="H1569" i="1"/>
  <c r="H2664" i="1"/>
  <c r="H844" i="1"/>
  <c r="H367" i="1"/>
  <c r="H2516" i="1"/>
  <c r="H2125" i="1"/>
  <c r="H1476" i="1"/>
  <c r="H1842" i="1"/>
  <c r="H2910" i="1"/>
  <c r="H679" i="1"/>
  <c r="H2692" i="1"/>
  <c r="H1800" i="1"/>
  <c r="H609" i="1"/>
  <c r="H1939" i="1"/>
  <c r="H1323" i="1"/>
  <c r="H2214" i="1"/>
  <c r="H2813" i="1"/>
  <c r="H1420" i="1"/>
  <c r="H2797" i="1"/>
  <c r="H285" i="1"/>
  <c r="H2773" i="1"/>
  <c r="H2169" i="1"/>
  <c r="H1100" i="1"/>
  <c r="H921" i="1"/>
  <c r="H1916" i="1"/>
  <c r="H99" i="1"/>
  <c r="H2690" i="1"/>
  <c r="H1493" i="1"/>
  <c r="H181" i="1"/>
  <c r="H2624" i="1"/>
  <c r="H365" i="1"/>
  <c r="H207" i="1"/>
  <c r="H2504" i="1"/>
  <c r="H302" i="1"/>
  <c r="H2448" i="1"/>
  <c r="H1944" i="1"/>
  <c r="H2597" i="1"/>
  <c r="H1195" i="1"/>
  <c r="H2524" i="1"/>
  <c r="H1764" i="1"/>
  <c r="H1238" i="1"/>
  <c r="H2264" i="1"/>
  <c r="H911" i="1"/>
  <c r="H1385" i="1"/>
  <c r="H816" i="1"/>
  <c r="H1812" i="1"/>
  <c r="H2957" i="1"/>
  <c r="H2483" i="1"/>
  <c r="H1778" i="1"/>
  <c r="H814" i="1"/>
  <c r="H1426" i="1"/>
  <c r="H1586" i="1"/>
  <c r="H2495" i="1"/>
  <c r="H2658" i="1"/>
  <c r="H2660" i="1"/>
  <c r="H2875" i="1"/>
  <c r="H1105" i="1"/>
  <c r="H22" i="1"/>
  <c r="H369" i="1"/>
  <c r="H1084" i="1"/>
  <c r="H2096" i="1"/>
  <c r="H1355" i="1"/>
  <c r="H1164" i="1"/>
  <c r="H697" i="1"/>
  <c r="H2369" i="1"/>
  <c r="H1148" i="1"/>
  <c r="H1528" i="1"/>
  <c r="H1132" i="1"/>
  <c r="H867" i="1"/>
  <c r="H2059" i="1"/>
  <c r="H2103" i="1"/>
  <c r="H2753" i="1"/>
  <c r="H2580" i="1"/>
  <c r="H272" i="1"/>
  <c r="H2317" i="1"/>
  <c r="H443" i="1"/>
  <c r="H2349" i="1"/>
  <c r="H1521" i="1"/>
  <c r="H1389" i="1"/>
  <c r="H519" i="1"/>
  <c r="H2549" i="1"/>
  <c r="H574" i="1"/>
  <c r="H2163" i="1"/>
  <c r="H809" i="1"/>
  <c r="H258" i="1"/>
  <c r="H1590" i="1"/>
  <c r="H888" i="1"/>
  <c r="H1522" i="1"/>
  <c r="H2838" i="1"/>
  <c r="H160" i="1"/>
  <c r="H1663" i="1"/>
  <c r="H1510" i="1"/>
  <c r="H216" i="1"/>
  <c r="H1600" i="1"/>
  <c r="H677" i="1"/>
  <c r="H1748" i="1"/>
  <c r="H245" i="1"/>
  <c r="H2069" i="1"/>
  <c r="H2585" i="1"/>
  <c r="H2590" i="1"/>
  <c r="H2299" i="1"/>
  <c r="H2459" i="1"/>
  <c r="H381" i="1"/>
  <c r="H2054" i="1"/>
  <c r="H1896" i="1"/>
  <c r="H105" i="1"/>
  <c r="H2112" i="1"/>
  <c r="H40" i="1"/>
  <c r="H481" i="1"/>
  <c r="H2007" i="1"/>
  <c r="H212" i="1"/>
  <c r="H229" i="1"/>
  <c r="H2211" i="1"/>
  <c r="H1104" i="1"/>
  <c r="H1384" i="1"/>
  <c r="H2387" i="1"/>
  <c r="H1628" i="1"/>
  <c r="H1319" i="1"/>
  <c r="H1199" i="1"/>
  <c r="H1258" i="1"/>
  <c r="H2170" i="1"/>
  <c r="H2223" i="1"/>
  <c r="H1550" i="1"/>
  <c r="H717" i="1"/>
  <c r="H1309" i="1"/>
  <c r="H249" i="1"/>
  <c r="H2065" i="1"/>
  <c r="H1804" i="1"/>
  <c r="H1200" i="1"/>
  <c r="H316" i="1"/>
  <c r="H1670" i="1"/>
  <c r="H1856" i="1"/>
  <c r="H662" i="1"/>
  <c r="H2498" i="1"/>
  <c r="H2309" i="1"/>
  <c r="H1631" i="1"/>
  <c r="H588" i="1"/>
  <c r="H610" i="1"/>
  <c r="H537" i="1"/>
  <c r="H108" i="1"/>
  <c r="H2929" i="1"/>
  <c r="H2220" i="1"/>
  <c r="H179" i="1"/>
  <c r="H749" i="1"/>
  <c r="H1439" i="1"/>
  <c r="H2111" i="1"/>
  <c r="H2636" i="1"/>
  <c r="H2348" i="1"/>
  <c r="H2165" i="1"/>
  <c r="H1475" i="1"/>
  <c r="H85" i="1"/>
  <c r="H1074" i="1"/>
  <c r="H325" i="1"/>
  <c r="H2649" i="1"/>
  <c r="H906" i="1"/>
  <c r="H2014" i="1"/>
  <c r="H1885" i="1"/>
  <c r="H2833" i="1"/>
  <c r="H507" i="1"/>
  <c r="H151" i="1"/>
  <c r="H2106" i="1"/>
  <c r="H1394" i="1"/>
  <c r="H2605" i="1"/>
  <c r="H1929" i="1"/>
  <c r="H1620" i="1"/>
  <c r="H1350" i="1"/>
  <c r="H2600" i="1"/>
  <c r="H1531" i="1"/>
  <c r="H91" i="1"/>
  <c r="H2764" i="1"/>
  <c r="H57" i="1"/>
  <c r="H2966" i="1"/>
  <c r="H2352" i="1"/>
  <c r="H237" i="1"/>
  <c r="H1914" i="1"/>
  <c r="H1117" i="1"/>
  <c r="H2623" i="1"/>
  <c r="H2574" i="1"/>
  <c r="H1017" i="1"/>
  <c r="H1159" i="1"/>
  <c r="H2579" i="1"/>
  <c r="H2697" i="1"/>
  <c r="H990" i="1"/>
  <c r="H1177" i="1"/>
  <c r="H2053" i="1"/>
  <c r="H1380" i="1"/>
  <c r="H1773" i="1"/>
  <c r="H1848" i="1"/>
  <c r="H981" i="1"/>
  <c r="H1465" i="1"/>
  <c r="H1082" i="1"/>
  <c r="H547" i="1"/>
  <c r="H147" i="1"/>
  <c r="H78" i="1"/>
  <c r="H1316" i="1"/>
  <c r="H2334" i="1"/>
  <c r="H748" i="1"/>
  <c r="H327" i="1"/>
  <c r="H1887" i="1"/>
  <c r="H2458" i="1"/>
  <c r="H1444" i="1"/>
  <c r="H354" i="1"/>
  <c r="H233" i="1"/>
  <c r="H1387" i="1"/>
  <c r="H1932" i="1"/>
  <c r="H2503" i="1"/>
  <c r="H1462" i="1"/>
  <c r="H390" i="1"/>
  <c r="H442" i="1"/>
  <c r="H1558" i="1"/>
  <c r="H1673" i="1"/>
  <c r="H1454" i="1"/>
  <c r="H1905" i="1"/>
  <c r="H2470" i="1"/>
  <c r="H1725" i="1"/>
  <c r="H2416" i="1"/>
  <c r="H2685" i="1"/>
  <c r="H246" i="1"/>
  <c r="H1880" i="1"/>
  <c r="H1027" i="1"/>
  <c r="H952" i="1"/>
  <c r="H855" i="1"/>
  <c r="H2257" i="1"/>
  <c r="H1054" i="1"/>
  <c r="H2188" i="1"/>
  <c r="H334" i="1"/>
  <c r="H2105" i="1"/>
  <c r="H736" i="1"/>
  <c r="H2114" i="1"/>
  <c r="H2519" i="1"/>
  <c r="H2246" i="1"/>
  <c r="H1008" i="1"/>
  <c r="H311" i="1"/>
  <c r="H671" i="1"/>
  <c r="H937" i="1"/>
  <c r="H2084" i="1"/>
  <c r="H2584" i="1"/>
  <c r="H244" i="1"/>
  <c r="H2515" i="1"/>
  <c r="H2539" i="1"/>
  <c r="H2608" i="1"/>
  <c r="H88" i="1"/>
  <c r="H2312" i="1"/>
  <c r="H296" i="1"/>
  <c r="H339" i="1"/>
  <c r="H2465" i="1"/>
  <c r="H1278" i="1"/>
  <c r="H479" i="1"/>
  <c r="H1704" i="1"/>
  <c r="H1393" i="1"/>
  <c r="H2745" i="1"/>
  <c r="H2293" i="1"/>
  <c r="H271" i="1"/>
  <c r="H831" i="1"/>
  <c r="H1066" i="1"/>
  <c r="H2462" i="1"/>
  <c r="H7" i="1"/>
  <c r="H2858" i="1"/>
  <c r="H2869" i="1"/>
  <c r="H1642" i="1"/>
  <c r="H1065" i="1"/>
  <c r="H716" i="1"/>
  <c r="H485" i="1"/>
  <c r="H1045" i="1"/>
  <c r="H1743" i="1"/>
  <c r="H1031" i="1"/>
  <c r="H1987" i="1"/>
  <c r="H2564" i="1"/>
  <c r="H1129" i="1"/>
  <c r="H1135" i="1"/>
  <c r="H2596" i="1"/>
  <c r="H698" i="1"/>
  <c r="H2804" i="1"/>
  <c r="H943" i="1"/>
  <c r="H121" i="1"/>
  <c r="H2482" i="1"/>
  <c r="H171" i="1"/>
  <c r="H1818" i="1"/>
  <c r="H206" i="1"/>
  <c r="H594" i="1"/>
  <c r="H1474" i="1"/>
  <c r="H2239" i="1"/>
  <c r="H357" i="1"/>
  <c r="H2396" i="1"/>
  <c r="H1859" i="1"/>
  <c r="H2568" i="1"/>
  <c r="H1580" i="1"/>
  <c r="H103" i="1"/>
  <c r="H2488" i="1"/>
  <c r="H2587" i="1"/>
  <c r="H20" i="1"/>
  <c r="H1996" i="1"/>
  <c r="H1432" i="1"/>
  <c r="H1479" i="1"/>
  <c r="H2652" i="1"/>
  <c r="H2544" i="1"/>
  <c r="H1829" i="1"/>
  <c r="H13" i="1"/>
  <c r="H2557" i="1"/>
  <c r="H2316" i="1"/>
  <c r="H1513" i="1"/>
  <c r="H2494" i="1"/>
  <c r="H538" i="1"/>
  <c r="H2581" i="1"/>
  <c r="H689" i="1"/>
  <c r="H467" i="1"/>
  <c r="H1568" i="1"/>
  <c r="H1289" i="1"/>
  <c r="H1492" i="1"/>
  <c r="H1682" i="1"/>
  <c r="H2378" i="1"/>
  <c r="H2469" i="1"/>
  <c r="H653" i="1"/>
  <c r="H1189" i="1"/>
  <c r="H512" i="1"/>
  <c r="H2062" i="1"/>
  <c r="H528" i="1"/>
  <c r="H707" i="1"/>
  <c r="H159" i="1"/>
  <c r="H2499" i="1"/>
  <c r="H180" i="1"/>
  <c r="H107" i="1"/>
  <c r="H2475" i="1"/>
  <c r="H450" i="1"/>
  <c r="H797" i="1"/>
  <c r="H213" i="1"/>
  <c r="H1201" i="1"/>
  <c r="H84" i="1"/>
  <c r="H1751" i="1"/>
  <c r="H1616" i="1"/>
  <c r="H646" i="1"/>
  <c r="H2343" i="1"/>
  <c r="H1221" i="1"/>
  <c r="H2818" i="1"/>
  <c r="H505" i="1"/>
  <c r="H1417" i="1"/>
  <c r="H1693" i="1"/>
  <c r="H204" i="1"/>
  <c r="H2944" i="1"/>
  <c r="H504" i="1"/>
  <c r="H433" i="1"/>
  <c r="H1886" i="1"/>
  <c r="H478" i="1"/>
  <c r="H2523" i="1"/>
  <c r="H2645" i="1"/>
  <c r="H92" i="1"/>
  <c r="H1037" i="1"/>
  <c r="H1324" i="1"/>
  <c r="H1308" i="1"/>
  <c r="H1088" i="1"/>
  <c r="H2215" i="1"/>
  <c r="H23" i="1"/>
  <c r="H195" i="1"/>
  <c r="H2864" i="1"/>
  <c r="H81" i="1"/>
  <c r="H1766" i="1"/>
  <c r="H1051" i="1"/>
  <c r="H1617" i="1"/>
  <c r="H202" i="1"/>
  <c r="H1101" i="1"/>
  <c r="H1004" i="1"/>
  <c r="H2361" i="1"/>
  <c r="H529" i="1"/>
  <c r="H2510" i="1"/>
  <c r="H315" i="1"/>
  <c r="H728" i="1"/>
  <c r="H2604" i="1"/>
  <c r="H211" i="1"/>
  <c r="H2139" i="1"/>
  <c r="H2303" i="1"/>
  <c r="H2164" i="1"/>
  <c r="H2008" i="1"/>
  <c r="H2405" i="1"/>
  <c r="H1011" i="1"/>
  <c r="H60" i="1"/>
  <c r="H1503" i="1"/>
  <c r="H289" i="1"/>
  <c r="H1445" i="1"/>
  <c r="H861" i="1"/>
  <c r="H1772" i="1"/>
  <c r="H2509" i="1"/>
  <c r="H406" i="1"/>
  <c r="H808" i="1"/>
  <c r="H2535" i="1"/>
  <c r="H322" i="1"/>
  <c r="H294" i="1"/>
  <c r="H2553" i="1"/>
  <c r="H1257" i="1"/>
  <c r="H962" i="1"/>
  <c r="H971" i="1"/>
  <c r="H298" i="1"/>
  <c r="H584" i="1"/>
  <c r="H2158" i="1"/>
  <c r="H737" i="1"/>
  <c r="H1783" i="1"/>
  <c r="H2529" i="1"/>
  <c r="H29" i="1"/>
  <c r="H1733" i="1"/>
  <c r="H1543" i="1"/>
  <c r="H2611" i="1"/>
  <c r="H2868" i="1"/>
  <c r="H1966" i="1"/>
  <c r="H1411" i="1"/>
  <c r="H866" i="1"/>
  <c r="H35" i="1"/>
  <c r="H850" i="1"/>
  <c r="H953" i="1"/>
  <c r="H616" i="1"/>
  <c r="H2447" i="1"/>
  <c r="H1230" i="1"/>
  <c r="H374" i="1"/>
  <c r="H680" i="1"/>
  <c r="H1557" i="1"/>
  <c r="H2315" i="1"/>
  <c r="H1473" i="1"/>
  <c r="H2563" i="1"/>
  <c r="H2138" i="1"/>
  <c r="H503" i="1"/>
  <c r="H2567" i="1"/>
  <c r="H2599" i="1"/>
  <c r="H2468" i="1"/>
  <c r="H1771" i="1"/>
  <c r="H87" i="1"/>
  <c r="H652" i="1"/>
  <c r="H1879" i="1"/>
  <c r="H1007" i="1"/>
  <c r="H338" i="1"/>
  <c r="H2573" i="1"/>
  <c r="H293" i="1"/>
  <c r="H645" i="1"/>
  <c r="H2583" i="1"/>
  <c r="H2656" i="1"/>
  <c r="H2493" i="1"/>
  <c r="H2256" i="1"/>
  <c r="H405" i="1"/>
  <c r="H2292" i="1"/>
  <c r="H1431" i="1"/>
  <c r="H94" i="1"/>
  <c r="H77" i="1"/>
  <c r="H2867" i="1"/>
  <c r="H2543" i="1"/>
  <c r="H1817" i="1"/>
  <c r="H56" i="1"/>
  <c r="H1094" i="1"/>
  <c r="H1277" i="1"/>
  <c r="H2552" i="1"/>
  <c r="H1765" i="1"/>
  <c r="H321" i="1"/>
  <c r="H1176" i="1"/>
  <c r="H373" i="1"/>
  <c r="H210" i="1"/>
  <c r="H1064" i="1"/>
  <c r="H2302" i="1"/>
  <c r="H615" i="1"/>
  <c r="H865" i="1"/>
  <c r="H583" i="1"/>
  <c r="H2744" i="1"/>
  <c r="H2208" i="1"/>
  <c r="H1044" i="1"/>
  <c r="H2578" i="1"/>
  <c r="H1026" i="1"/>
  <c r="H2446" i="1"/>
  <c r="H936" i="1"/>
  <c r="H310" i="1"/>
  <c r="H1220" i="1"/>
  <c r="H270" i="1"/>
  <c r="H248" i="1"/>
  <c r="H6" i="1"/>
  <c r="H2457" i="1"/>
  <c r="H1555" i="1"/>
  <c r="H2255" i="1"/>
  <c r="H170" i="1"/>
  <c r="H353" i="1"/>
  <c r="H2562" i="1"/>
  <c r="H5" i="1"/>
  <c r="H1219" i="1"/>
  <c r="H2607" i="1"/>
  <c r="H1556" i="1"/>
  <c r="H1036" i="1"/>
  <c r="H268" i="1"/>
  <c r="H864" i="1"/>
  <c r="H1063" i="1"/>
  <c r="H1006" i="1"/>
  <c r="H2137" i="1"/>
  <c r="H292" i="1"/>
  <c r="H1430" i="1"/>
  <c r="H1429" i="1"/>
  <c r="H29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1C558D-0BD7-445C-9B66-305ED70A47EE}" keepAlive="1" name="Consulta - COMP - INS - O4210 - ORC4" description="Conexão com a consulta 'COMP - INS - O4210 - ORC4' na pasta de trabalho." type="5" refreshedVersion="8" background="1" saveData="1">
    <dbPr connection="Provider=Microsoft.Mashup.OleDb.1;Data Source=$Workbook$;Location=&quot;COMP - INS - O4210 - ORC4&quot;;Extended Properties=&quot;&quot;" command="SELECT * FROM [COMP - INS - O4210 - ORC4]"/>
  </connection>
</connections>
</file>

<file path=xl/sharedStrings.xml><?xml version="1.0" encoding="utf-8"?>
<sst xmlns="http://schemas.openxmlformats.org/spreadsheetml/2006/main" count="30935" uniqueCount="5387">
  <si>
    <t>07.04.01</t>
  </si>
  <si>
    <t>21.01.01</t>
  </si>
  <si>
    <t>Z010904001</t>
  </si>
  <si>
    <t>09.03.01</t>
  </si>
  <si>
    <t>07.04.02</t>
  </si>
  <si>
    <t>PROJETO DE CANTEIRO</t>
  </si>
  <si>
    <t>CONTENCAO - DRENAGEM</t>
  </si>
  <si>
    <t>07.04.03</t>
  </si>
  <si>
    <t>Z020102004</t>
  </si>
  <si>
    <t>07.04.04</t>
  </si>
  <si>
    <t>Z000081001</t>
  </si>
  <si>
    <t>PROJETO DE FACHADA</t>
  </si>
  <si>
    <t>INSTALAÇÃO DE LUMINOTÉCNICO ÁREA COMUM</t>
  </si>
  <si>
    <t>Z000081002</t>
  </si>
  <si>
    <t>Z000081003</t>
  </si>
  <si>
    <t>Z020103027</t>
  </si>
  <si>
    <t>Z020105061</t>
  </si>
  <si>
    <t>Z020103028</t>
  </si>
  <si>
    <t>Z020105062</t>
  </si>
  <si>
    <t>IMPERMEABILIZAÇÃO DE ÁREAS MOLHADAS</t>
  </si>
  <si>
    <t>CONTENCAO - EXECUCAO DE ESCAVACAO /</t>
  </si>
  <si>
    <t>Z020103029</t>
  </si>
  <si>
    <t>Z000082025</t>
  </si>
  <si>
    <t>Z020610001</t>
  </si>
  <si>
    <t>Z000082026</t>
  </si>
  <si>
    <t>SERVICO DE REBOCO EXTERNO - TERCEIRIZADO</t>
  </si>
  <si>
    <t>PROJETO LAYOUT DE COZINHA</t>
  </si>
  <si>
    <t>Z011101001</t>
  </si>
  <si>
    <t>10.01.01</t>
  </si>
  <si>
    <t>Z011101002</t>
  </si>
  <si>
    <t>10.01.02</t>
  </si>
  <si>
    <t>08.12.01</t>
  </si>
  <si>
    <t>Z011101003</t>
  </si>
  <si>
    <t>10.01.03</t>
  </si>
  <si>
    <t>ESCAVACAO DE ESTACA RAIZ, DIAMETRO 20CM</t>
  </si>
  <si>
    <t>AVERBACAO DO HABITE-SE</t>
  </si>
  <si>
    <t>Z011101004</t>
  </si>
  <si>
    <t>10.01.04</t>
  </si>
  <si>
    <t>EQUIPAMENTO DE PROTEÇÃO INDIVIDUAL E</t>
  </si>
  <si>
    <t>Z011101005</t>
  </si>
  <si>
    <t>Z000187001</t>
  </si>
  <si>
    <t>SERVICO DE VIDEO MONITORAMENTO ELETRONICO</t>
  </si>
  <si>
    <t>Z011101006</t>
  </si>
  <si>
    <t>Z000187002</t>
  </si>
  <si>
    <t>Z050103010</t>
  </si>
  <si>
    <t>Z000072001</t>
  </si>
  <si>
    <t>Z050103011</t>
  </si>
  <si>
    <t>Z011101007</t>
  </si>
  <si>
    <t>Z050103012</t>
  </si>
  <si>
    <t>Z011101008</t>
  </si>
  <si>
    <t>Z000187004</t>
  </si>
  <si>
    <t>Z000072003</t>
  </si>
  <si>
    <t>Z011101009</t>
  </si>
  <si>
    <t>Z000187005</t>
  </si>
  <si>
    <t>Z050103013</t>
  </si>
  <si>
    <t>BRISE DE ALUMINIO PARA FACHADA</t>
  </si>
  <si>
    <t>Z050103014</t>
  </si>
  <si>
    <t>Z050103015</t>
  </si>
  <si>
    <t>Z050103016</t>
  </si>
  <si>
    <t>Z010707002</t>
  </si>
  <si>
    <t>RESERVATORIO - INDICE EP</t>
  </si>
  <si>
    <t>Z050103017</t>
  </si>
  <si>
    <t>Z050103018</t>
  </si>
  <si>
    <t>Z000216001</t>
  </si>
  <si>
    <t>OUTROS</t>
  </si>
  <si>
    <t>Z000101001</t>
  </si>
  <si>
    <t>Z050103019</t>
  </si>
  <si>
    <t>Z000101002</t>
  </si>
  <si>
    <t>PINTURA DE PISO</t>
  </si>
  <si>
    <t>Z000101003</t>
  </si>
  <si>
    <t>20.01.01</t>
  </si>
  <si>
    <t>Z000101004</t>
  </si>
  <si>
    <t>08.03.01</t>
  </si>
  <si>
    <t>TREINAMENTOS E DESENVOLVIMENTO</t>
  </si>
  <si>
    <t>20.01.02</t>
  </si>
  <si>
    <t>08.03.02</t>
  </si>
  <si>
    <t>20.01.03</t>
  </si>
  <si>
    <t>08.03.03</t>
  </si>
  <si>
    <t>Z040102001</t>
  </si>
  <si>
    <t>Z000063001</t>
  </si>
  <si>
    <t>Z010404001</t>
  </si>
  <si>
    <t>Z040102003</t>
  </si>
  <si>
    <t>Z010404002</t>
  </si>
  <si>
    <t>Z000063002</t>
  </si>
  <si>
    <t>%</t>
  </si>
  <si>
    <t>Z010404003</t>
  </si>
  <si>
    <t>Z010404004</t>
  </si>
  <si>
    <t>Z040102006</t>
  </si>
  <si>
    <t>PEDRA MOLEDO - PISO OU PAREDE</t>
  </si>
  <si>
    <t>Z020102019</t>
  </si>
  <si>
    <t>Z000082032</t>
  </si>
  <si>
    <t>Z070304002</t>
  </si>
  <si>
    <t>EQUIPE APOIO - SERVENTE</t>
  </si>
  <si>
    <t>ESCAVACAO DE ESTACA RAIZ, DIAMETRO 31CM</t>
  </si>
  <si>
    <t>Z000242002</t>
  </si>
  <si>
    <t>Z000082035</t>
  </si>
  <si>
    <t>PLACA VIBRATORIA - CHI</t>
  </si>
  <si>
    <t>SEGURO</t>
  </si>
  <si>
    <t>Z010101001</t>
  </si>
  <si>
    <t>MATERIAIS PARA BRISE DE ALUMINIO</t>
  </si>
  <si>
    <t>Z011101010</t>
  </si>
  <si>
    <t>15.01.05.01</t>
  </si>
  <si>
    <t>Z010101002</t>
  </si>
  <si>
    <t>FUNDAÇÃO</t>
  </si>
  <si>
    <t>Z011101011</t>
  </si>
  <si>
    <t>Z010101003</t>
  </si>
  <si>
    <t>Z011101012</t>
  </si>
  <si>
    <t>Z010101004</t>
  </si>
  <si>
    <t>Z011101013</t>
  </si>
  <si>
    <t>MADEIRA INDUSPARQUET A DEFINIR</t>
  </si>
  <si>
    <t>Z010101005</t>
  </si>
  <si>
    <t>Z011101014</t>
  </si>
  <si>
    <t>Z010101006</t>
  </si>
  <si>
    <t>Z050102001</t>
  </si>
  <si>
    <t>PLACA VIBRATORIA - CHP</t>
  </si>
  <si>
    <t>Z011101015</t>
  </si>
  <si>
    <t>Z010101007</t>
  </si>
  <si>
    <t>Z011101016</t>
  </si>
  <si>
    <t>Z010101008</t>
  </si>
  <si>
    <t>Z050102003</t>
  </si>
  <si>
    <t>Z050103020</t>
  </si>
  <si>
    <t>Z011101017</t>
  </si>
  <si>
    <t>Z050102004</t>
  </si>
  <si>
    <t>CONSULTORIA EM SOLUÇÃO ACUSTICA</t>
  </si>
  <si>
    <t>Z011101018</t>
  </si>
  <si>
    <t>Z050102005</t>
  </si>
  <si>
    <t>PROJETO DE VEDACAO</t>
  </si>
  <si>
    <t>Z011101019</t>
  </si>
  <si>
    <t>Z020404004</t>
  </si>
  <si>
    <t>PISO DE MADEIRA - APARTAMENTO</t>
  </si>
  <si>
    <t>REJUNTE COLORIDO</t>
  </si>
  <si>
    <t>Z050102006</t>
  </si>
  <si>
    <t>Z050103024</t>
  </si>
  <si>
    <t>Z050102007</t>
  </si>
  <si>
    <t>PROJETO DE CANTEIRO DE OBRAS</t>
  </si>
  <si>
    <t>ACABAMENTO DE PAREDE - ÁREA COMUM</t>
  </si>
  <si>
    <t>ARGAMASSA PARA CHAPISCO ENSACADO</t>
  </si>
  <si>
    <t>07.03.01</t>
  </si>
  <si>
    <t>Z010903001</t>
  </si>
  <si>
    <t>09.02.01</t>
  </si>
  <si>
    <t>07.03.02</t>
  </si>
  <si>
    <t>Z020102020</t>
  </si>
  <si>
    <t>09.02.02</t>
  </si>
  <si>
    <t>07.03.03</t>
  </si>
  <si>
    <t>Z020102021</t>
  </si>
  <si>
    <t>07.03.04</t>
  </si>
  <si>
    <t>ENSAIO DE ARRANCAMENTO EM REVESTIMENTO</t>
  </si>
  <si>
    <t>Z020101005</t>
  </si>
  <si>
    <t>Z020101007</t>
  </si>
  <si>
    <t>Z020101009</t>
  </si>
  <si>
    <t>QUARTZITO ARTEMIS - RODAPE</t>
  </si>
  <si>
    <t>H</t>
  </si>
  <si>
    <t>L</t>
  </si>
  <si>
    <t>M</t>
  </si>
  <si>
    <t>LOCACAO DE CACAMBA PARA ENTULHO</t>
  </si>
  <si>
    <t>Z011101020</t>
  </si>
  <si>
    <t>17.03.01</t>
  </si>
  <si>
    <t>Z030101001</t>
  </si>
  <si>
    <t>Z000082048</t>
  </si>
  <si>
    <t>Z011101021</t>
  </si>
  <si>
    <t>Z030101002</t>
  </si>
  <si>
    <t>Z000082049</t>
  </si>
  <si>
    <t>Z011101022</t>
  </si>
  <si>
    <t>KIT QUEIMADOR PARA LAREIRA</t>
  </si>
  <si>
    <t>Z011101023</t>
  </si>
  <si>
    <t>Z011101024</t>
  </si>
  <si>
    <t>Z000169011</t>
  </si>
  <si>
    <t>Z011101025</t>
  </si>
  <si>
    <t>MASSA ACRILICA</t>
  </si>
  <si>
    <t>Z000071003</t>
  </si>
  <si>
    <t>Z000169013</t>
  </si>
  <si>
    <t>IMPERMEABILIZADOR - HORISTA</t>
  </si>
  <si>
    <t>Z000071006</t>
  </si>
  <si>
    <t>Z010706001</t>
  </si>
  <si>
    <t>Z000169016</t>
  </si>
  <si>
    <t>Z000215001</t>
  </si>
  <si>
    <t>FORROS</t>
  </si>
  <si>
    <t>MONTAGEM DE ARMADURA EM OBRA</t>
  </si>
  <si>
    <t>EQUIPE ADM - ENGENHEIRO CIVIL I PJ</t>
  </si>
  <si>
    <t>Z020101010</t>
  </si>
  <si>
    <t>08.02.01</t>
  </si>
  <si>
    <t>INSTALAÇÕES HIDROSSANITARIAS</t>
  </si>
  <si>
    <t>08.02.02</t>
  </si>
  <si>
    <t>08.02.03</t>
  </si>
  <si>
    <t>Z040101001</t>
  </si>
  <si>
    <t>PISO PORCELANATO - ÁREA COMUM</t>
  </si>
  <si>
    <t>08.02.04</t>
  </si>
  <si>
    <t>RELOGIO DE PONTO</t>
  </si>
  <si>
    <t>Z040101002</t>
  </si>
  <si>
    <t>Z010403001</t>
  </si>
  <si>
    <t>Z000062001</t>
  </si>
  <si>
    <t>Z040101004</t>
  </si>
  <si>
    <t>Z040101005</t>
  </si>
  <si>
    <t>18.02.01.01</t>
  </si>
  <si>
    <t>MAO DE OBRA PARA DE SANCA DE GESSO</t>
  </si>
  <si>
    <t>TINTA LATEX ACRILICA PREMIUM, COR A DEFINIR</t>
  </si>
  <si>
    <t>Z040101007</t>
  </si>
  <si>
    <t>18.02.01.02</t>
  </si>
  <si>
    <t>PROJETO DE INTERIORES</t>
  </si>
  <si>
    <t>Z040101008</t>
  </si>
  <si>
    <t>18.02.01.03</t>
  </si>
  <si>
    <t>SELADOR PIGMENTADO (PRIMER) PARA PINTURA</t>
  </si>
  <si>
    <t>PISO MATERIAL SINTÉTICO - APARTAMENTO</t>
  </si>
  <si>
    <t>Z000082050</t>
  </si>
  <si>
    <t>18.02.01.04</t>
  </si>
  <si>
    <t>Z000241001</t>
  </si>
  <si>
    <t>Z000082051</t>
  </si>
  <si>
    <t>Z070303003</t>
  </si>
  <si>
    <t>Z000241002</t>
  </si>
  <si>
    <t>18.02.01.05</t>
  </si>
  <si>
    <t>Z000082052</t>
  </si>
  <si>
    <t>Z070303004</t>
  </si>
  <si>
    <t>CUSTO DE ALTERAÇÕES FEITAS DURANTE A</t>
  </si>
  <si>
    <t>Z000241003</t>
  </si>
  <si>
    <t>18.02.01.06</t>
  </si>
  <si>
    <t>Z020412009</t>
  </si>
  <si>
    <t>IMPERMEABILIZAÇÃO DE COBERTURA</t>
  </si>
  <si>
    <t>Z000082053</t>
  </si>
  <si>
    <t>Z000241004</t>
  </si>
  <si>
    <t>18.02.01.07</t>
  </si>
  <si>
    <t>Z000082054</t>
  </si>
  <si>
    <t>Z070303006</t>
  </si>
  <si>
    <t>18.02.01.08</t>
  </si>
  <si>
    <t>QUARTZITO MONT BLANC - PISO OU PAREDE</t>
  </si>
  <si>
    <t>ACABAMENTO DE PISO - ÁREA COMUM</t>
  </si>
  <si>
    <t>15.01.04.01</t>
  </si>
  <si>
    <t>Z000082055</t>
  </si>
  <si>
    <t>Z070303007</t>
  </si>
  <si>
    <t>18.02.01.09</t>
  </si>
  <si>
    <t>Z070303008</t>
  </si>
  <si>
    <t>18.02.01</t>
  </si>
  <si>
    <t>Z070303009</t>
  </si>
  <si>
    <t>18.02.02</t>
  </si>
  <si>
    <t>Z050101001</t>
  </si>
  <si>
    <t>EQUIPAMENTOS</t>
  </si>
  <si>
    <t>Z050101002</t>
  </si>
  <si>
    <t>Z000168004</t>
  </si>
  <si>
    <t>SERVICO DE CHAPISCO EXTERNO - TERCEIRIZADO</t>
  </si>
  <si>
    <t>Z050101005</t>
  </si>
  <si>
    <t>Z050101006</t>
  </si>
  <si>
    <t>EPI - INDICE</t>
  </si>
  <si>
    <t>Z020403005</t>
  </si>
  <si>
    <t>Z050101007</t>
  </si>
  <si>
    <t>FERRAMENTAS E EQUIPAMENTOS</t>
  </si>
  <si>
    <t>Z050101008</t>
  </si>
  <si>
    <t>Z050101009</t>
  </si>
  <si>
    <t>MURO, GRADIL</t>
  </si>
  <si>
    <t>Z000232001</t>
  </si>
  <si>
    <t>EPI E EPC</t>
  </si>
  <si>
    <t>Z000169028</t>
  </si>
  <si>
    <t>CORTE E DOBRA DE ACO</t>
  </si>
  <si>
    <t>07.02.01</t>
  </si>
  <si>
    <t>Z010902001</t>
  </si>
  <si>
    <t>09.01.01</t>
  </si>
  <si>
    <t>07.02.02</t>
  </si>
  <si>
    <t>09.01.02</t>
  </si>
  <si>
    <t>07.02.03</t>
  </si>
  <si>
    <t>ESTAGIARIO</t>
  </si>
  <si>
    <t>INSTALAÇÕES COMBATE INCÊNDIO</t>
  </si>
  <si>
    <t>09.01.03</t>
  </si>
  <si>
    <t>Z040101010</t>
  </si>
  <si>
    <t>09.01.04</t>
  </si>
  <si>
    <t>MATERIAL PARA INSTALACOES CFTV - INDICE M2</t>
  </si>
  <si>
    <t>Z040101014</t>
  </si>
  <si>
    <t>MAO DE OBRA PARA FORRO DE DRYWALL</t>
  </si>
  <si>
    <t>18.02.01.10</t>
  </si>
  <si>
    <t>18.02.01.11</t>
  </si>
  <si>
    <t>CARPINTEIRO INSTALADOR - HORISTA</t>
  </si>
  <si>
    <t>CONCRETO USINADO BOMBEAVEL, FCK = 35MPA</t>
  </si>
  <si>
    <t>Z070303010</t>
  </si>
  <si>
    <t>Z070303011</t>
  </si>
  <si>
    <t>Z000223001</t>
  </si>
  <si>
    <t>Z070303012</t>
  </si>
  <si>
    <t>Z070303013</t>
  </si>
  <si>
    <t>Z070303014</t>
  </si>
  <si>
    <t>Z070303015</t>
  </si>
  <si>
    <t>DOBRADICAS TRADICIONAL</t>
  </si>
  <si>
    <t>Z070303016</t>
  </si>
  <si>
    <t>17.02.01</t>
  </si>
  <si>
    <t>CUSTOS DE CONCRETO</t>
  </si>
  <si>
    <t>Z070303017</t>
  </si>
  <si>
    <t>19.01.01</t>
  </si>
  <si>
    <t>17.02.02</t>
  </si>
  <si>
    <t>Z070303018</t>
  </si>
  <si>
    <t>17.02.03</t>
  </si>
  <si>
    <t>Z070303019</t>
  </si>
  <si>
    <t>Z050101010</t>
  </si>
  <si>
    <t>17.02.04</t>
  </si>
  <si>
    <t>17.02.05</t>
  </si>
  <si>
    <t>MANUTENCAO DE MAQUINAS</t>
  </si>
  <si>
    <t>17.02.06</t>
  </si>
  <si>
    <t>Z050101013</t>
  </si>
  <si>
    <t>Z050101014</t>
  </si>
  <si>
    <t>Z000185006</t>
  </si>
  <si>
    <t>Z000169031</t>
  </si>
  <si>
    <t>Z050101015</t>
  </si>
  <si>
    <t>Z000185007</t>
  </si>
  <si>
    <t>Z020403013</t>
  </si>
  <si>
    <t>Z010705001</t>
  </si>
  <si>
    <t>Z050101016</t>
  </si>
  <si>
    <t>Z050101017</t>
  </si>
  <si>
    <t>Z000185009</t>
  </si>
  <si>
    <t>Z020403015</t>
  </si>
  <si>
    <t>SERVICO DE CONCRETO ARMADO (MAT E MO)</t>
  </si>
  <si>
    <t>INDENIZACOES DE CLIENTES E TERCEIROS</t>
  </si>
  <si>
    <t>Z050101018</t>
  </si>
  <si>
    <t>Z000214001</t>
  </si>
  <si>
    <t>Z000169035</t>
  </si>
  <si>
    <t>Z020403016</t>
  </si>
  <si>
    <t>Z010705004</t>
  </si>
  <si>
    <t>Z020403017</t>
  </si>
  <si>
    <t>Z030206001</t>
  </si>
  <si>
    <t>CONTENCAO - SISTEMA DE</t>
  </si>
  <si>
    <t>08.01.01</t>
  </si>
  <si>
    <t>08.01.02</t>
  </si>
  <si>
    <t>PROJETO DE TERRAPLANAGEM</t>
  </si>
  <si>
    <t>08.01.03</t>
  </si>
  <si>
    <t>Z000061001</t>
  </si>
  <si>
    <t>Z000026001</t>
  </si>
  <si>
    <t>Z020411002</t>
  </si>
  <si>
    <t>Z010402003</t>
  </si>
  <si>
    <t>ESTACAO DE TRATAMENTO DE ESGOTO E AGUA</t>
  </si>
  <si>
    <t>JANELAS - ESQUADRIA DE PVC E VIDRO</t>
  </si>
  <si>
    <t>Z000061004</t>
  </si>
  <si>
    <t>Z010402004</t>
  </si>
  <si>
    <t>Z020411004</t>
  </si>
  <si>
    <t>Z010402005</t>
  </si>
  <si>
    <t>Z070302001</t>
  </si>
  <si>
    <t>Item</t>
  </si>
  <si>
    <t>Z070302002</t>
  </si>
  <si>
    <t>POCO ARTESIANO - REDE PARA POCO</t>
  </si>
  <si>
    <t>MAO DE OBRA PARA FORRO DE MADEIRA NATURAL</t>
  </si>
  <si>
    <t>Z070303020</t>
  </si>
  <si>
    <t>Z070302003</t>
  </si>
  <si>
    <t>EQUIPE ADM - ENCARREGADO ADMINISTRATIVO</t>
  </si>
  <si>
    <t>AJUDANTE DE ARMADOR - HORISTA</t>
  </si>
  <si>
    <t>Z070303021</t>
  </si>
  <si>
    <t>CANTEIRO DE OBRA</t>
  </si>
  <si>
    <t>Z070302004</t>
  </si>
  <si>
    <t>Z070303022</t>
  </si>
  <si>
    <t>Z070302005</t>
  </si>
  <si>
    <t>Z070303023</t>
  </si>
  <si>
    <t>Z070302006</t>
  </si>
  <si>
    <t>15.01.03.01</t>
  </si>
  <si>
    <t>Z070303024</t>
  </si>
  <si>
    <t>15.01.03.02</t>
  </si>
  <si>
    <t>Z070302008</t>
  </si>
  <si>
    <t>URBANIZAÇÃO E PAISAGISMO</t>
  </si>
  <si>
    <t>18.01.01</t>
  </si>
  <si>
    <t>Z070302009</t>
  </si>
  <si>
    <t>Z040206001</t>
  </si>
  <si>
    <t>18.01.02</t>
  </si>
  <si>
    <t>18.01.03</t>
  </si>
  <si>
    <t>INTERLIGAÇÕES A REDE DA CONCESSIONÁRIA</t>
  </si>
  <si>
    <t>Z000052001</t>
  </si>
  <si>
    <t>Z040206004</t>
  </si>
  <si>
    <t>Z000052002</t>
  </si>
  <si>
    <t>Z020403020</t>
  </si>
  <si>
    <t>FRETE - DESPESAS ADMINISTRATIVAS</t>
  </si>
  <si>
    <t>PISOS / REVESTIMENTOS ÁREA COMUM</t>
  </si>
  <si>
    <t>REGULARIZAÇÃO E INCORPORAÇÃO DE OBRA</t>
  </si>
  <si>
    <t>INSTALACOES DE GAS - INDICE EP</t>
  </si>
  <si>
    <t>Z000231001</t>
  </si>
  <si>
    <t>ENSAIO DE CORPO MOLE EM GUARDA CORPO</t>
  </si>
  <si>
    <t>EQUIPE APOIO - OPERADOR DE MAQUINAS</t>
  </si>
  <si>
    <t>EXTENSAO DE REDE DE ESGOTO - INDICE VB</t>
  </si>
  <si>
    <t>DESPESAS COM ALIMENTACAO E TRANSPORTE</t>
  </si>
  <si>
    <t>07.01.01</t>
  </si>
  <si>
    <t>GUARDA CORPO DE VIDRO RETO</t>
  </si>
  <si>
    <t>Z010901001</t>
  </si>
  <si>
    <t>SUPERESTRUTURA</t>
  </si>
  <si>
    <t>07.01.02</t>
  </si>
  <si>
    <t>Z010901002</t>
  </si>
  <si>
    <t>07.01.03</t>
  </si>
  <si>
    <t>07.01.04</t>
  </si>
  <si>
    <t>Z070105001</t>
  </si>
  <si>
    <t>Planilha Orçamentária com Custo</t>
  </si>
  <si>
    <t>07.01.05</t>
  </si>
  <si>
    <t>INTERNET</t>
  </si>
  <si>
    <t>07.01.06</t>
  </si>
  <si>
    <t>07.01.07</t>
  </si>
  <si>
    <t>ADESIVO (COLA) DE RESINA COM CATALISADOR</t>
  </si>
  <si>
    <t>GUARDA CORPO DE ALUMINIO</t>
  </si>
  <si>
    <t>Z000222001</t>
  </si>
  <si>
    <t>Z070302012</t>
  </si>
  <si>
    <t>Z070302013</t>
  </si>
  <si>
    <t>FITA CREPE ROLO DE 25 MM X 50 M</t>
  </si>
  <si>
    <t>Z070302014</t>
  </si>
  <si>
    <t>Z070302015</t>
  </si>
  <si>
    <t>QUARTZITO ARTEMIS - PISO OU PAREDE</t>
  </si>
  <si>
    <t>GERADOR PARA CANTEIRO DE OBRAS</t>
  </si>
  <si>
    <t>Z070302016</t>
  </si>
  <si>
    <t>ALIMENTACAO E TRANSPORTE</t>
  </si>
  <si>
    <t>17.01.01</t>
  </si>
  <si>
    <t>17.01.02</t>
  </si>
  <si>
    <t>17.01.03</t>
  </si>
  <si>
    <t>RALO OCULTO 10X10CM - LINHA SEKINHO</t>
  </si>
  <si>
    <t>MATERIAL PARA INSTALACOES SPDA - INDICE M2</t>
  </si>
  <si>
    <t>17.01.04</t>
  </si>
  <si>
    <t>17.01.05</t>
  </si>
  <si>
    <t>17.01.06</t>
  </si>
  <si>
    <t>LOUÇAS</t>
  </si>
  <si>
    <t>SERVENTE - HORISTA</t>
  </si>
  <si>
    <t>17.01.07</t>
  </si>
  <si>
    <t>Z000149004</t>
  </si>
  <si>
    <t>17.01.08</t>
  </si>
  <si>
    <t>17.01.09</t>
  </si>
  <si>
    <t>PROJETOS</t>
  </si>
  <si>
    <t>Z000149007</t>
  </si>
  <si>
    <t>Z010704001</t>
  </si>
  <si>
    <t>CONCRETO USINADO BOMBEAVEL, FCK = 25MPA</t>
  </si>
  <si>
    <t>PROJETO DE GAS</t>
  </si>
  <si>
    <t>Z000167017</t>
  </si>
  <si>
    <t>CAMINHAO PIPA 10.000 L TRUCADO - CHI</t>
  </si>
  <si>
    <t>Z000213001</t>
  </si>
  <si>
    <t>MATERIAL PARA GUARDA CORPO DE ALUMINIO</t>
  </si>
  <si>
    <t>INFRA VIGILIANCIA E MONITORAMENTO</t>
  </si>
  <si>
    <t>Z000213002</t>
  </si>
  <si>
    <t>FORROS DE ALUMINIO</t>
  </si>
  <si>
    <t>16.02.03.01</t>
  </si>
  <si>
    <t>CAMINHAO PIPA 10.000 L TRUCADO - CHP</t>
  </si>
  <si>
    <t>16.02.03.02</t>
  </si>
  <si>
    <t>01.01.03.01</t>
  </si>
  <si>
    <t>Z010401001</t>
  </si>
  <si>
    <t>01.01.03.02</t>
  </si>
  <si>
    <t>Z010401002</t>
  </si>
  <si>
    <t>Z000175003</t>
  </si>
  <si>
    <t>Z000025001</t>
  </si>
  <si>
    <t>01.01.03.03</t>
  </si>
  <si>
    <t>01.01.03.04</t>
  </si>
  <si>
    <t>INSTALAÇÕES DE GÁS</t>
  </si>
  <si>
    <t>Z020410003</t>
  </si>
  <si>
    <t>RETRO ESCAVADEIRA</t>
  </si>
  <si>
    <t>01.01.03.05</t>
  </si>
  <si>
    <t>SISTEMA DE IRRIGAÇÃO</t>
  </si>
  <si>
    <t>Z020410005</t>
  </si>
  <si>
    <t>TABUA 2,5 X 23 CM EM PINUS, MISTA OU EQUIVANTE</t>
  </si>
  <si>
    <t>PROJETO ESTRUTURAL</t>
  </si>
  <si>
    <t>SERVICOS DE CONSULTORIAS DIVERSAS</t>
  </si>
  <si>
    <t>Z070301003</t>
  </si>
  <si>
    <t>Z070301004</t>
  </si>
  <si>
    <t>CORRIMAO INOX DUPLO PARA FIXACAO EM PISO</t>
  </si>
  <si>
    <t>Z070301005</t>
  </si>
  <si>
    <t>Z070301006</t>
  </si>
  <si>
    <t>15.01.02.01</t>
  </si>
  <si>
    <t>CUSTOS COM ARMACAO</t>
  </si>
  <si>
    <t>AJUDANTE DE CARPINTEIRO - HORISTA</t>
  </si>
  <si>
    <t>Z070301007</t>
  </si>
  <si>
    <t>Z070301008</t>
  </si>
  <si>
    <t>17.01.10</t>
  </si>
  <si>
    <t>Z070301009</t>
  </si>
  <si>
    <t>MAO DE OBRA RESERVATORIO - INDICE M2</t>
  </si>
  <si>
    <t>17.01.11</t>
  </si>
  <si>
    <t>CORTE E DOBRA DE ACO - ESTACAS</t>
  </si>
  <si>
    <t>EXTENSAO DE REDE DE AGUA - INDICE VB</t>
  </si>
  <si>
    <t>PERFURACAO DE ESTACA RAIZ D = 25 CM</t>
  </si>
  <si>
    <t>Z000051002</t>
  </si>
  <si>
    <t>Z000016001</t>
  </si>
  <si>
    <t>Z000149012</t>
  </si>
  <si>
    <t>TV LED 40``</t>
  </si>
  <si>
    <t>PERFURACAO DE ESTACA ESCAVADA D = 90 CM</t>
  </si>
  <si>
    <t>Z000051004</t>
  </si>
  <si>
    <t>Z000051006</t>
  </si>
  <si>
    <t>Z040205009</t>
  </si>
  <si>
    <t>NIVELADOR DE PISO CUNHA</t>
  </si>
  <si>
    <t>INTERLIGACOES A REDE DA CONCESSIONARIA</t>
  </si>
  <si>
    <t>ACO CA-50 25.0 MM</t>
  </si>
  <si>
    <t>Z000051008</t>
  </si>
  <si>
    <t>Z010204001</t>
  </si>
  <si>
    <t>MADEIRA MULTIESTRUTURADA CUMARU ELEGANCE</t>
  </si>
  <si>
    <t>PROJETO ELETRICO PREDIAL</t>
  </si>
  <si>
    <t>Z010204004</t>
  </si>
  <si>
    <t>Z010204005</t>
  </si>
  <si>
    <t>Z010204006</t>
  </si>
  <si>
    <t>Z070104001</t>
  </si>
  <si>
    <t>Z000042001</t>
  </si>
  <si>
    <t>Z000042002</t>
  </si>
  <si>
    <t>LIMPEZA DE OBRA - LIMPEZA TECNICA</t>
  </si>
  <si>
    <t>Z070301010</t>
  </si>
  <si>
    <t>Z000221001</t>
  </si>
  <si>
    <t>Z070301012</t>
  </si>
  <si>
    <t>Z000221002</t>
  </si>
  <si>
    <t>Z070301014</t>
  </si>
  <si>
    <t>Z070301015</t>
  </si>
  <si>
    <t>MONTAGEM DE ARMADURA - BLOCOS</t>
  </si>
  <si>
    <t>OUTORGA DE LANCAMENTO DE EFLUENTES</t>
  </si>
  <si>
    <t>PORCELANATO 80 X 80 HIT OFF WHITE</t>
  </si>
  <si>
    <t>Z000051010</t>
  </si>
  <si>
    <t>Z000033001</t>
  </si>
  <si>
    <t>CONSUMOS E PATRIMONIO PARA IMPLANTAÇÃO</t>
  </si>
  <si>
    <t>Z000051011</t>
  </si>
  <si>
    <t>Z000033002</t>
  </si>
  <si>
    <t>Z000183005</t>
  </si>
  <si>
    <t>Z020401011</t>
  </si>
  <si>
    <t>PINGADEIRA PRE MOLDADA DE CONCRETO</t>
  </si>
  <si>
    <t>POCO ARTESIANO - PERFURACAO</t>
  </si>
  <si>
    <t>Z000183006</t>
  </si>
  <si>
    <t>Z010507014</t>
  </si>
  <si>
    <t>Z040401001</t>
  </si>
  <si>
    <t>Z020401013</t>
  </si>
  <si>
    <t>Z010507015</t>
  </si>
  <si>
    <t>INSTALACAO DE CANTEIRO DE OBRAS</t>
  </si>
  <si>
    <t>Z040401002</t>
  </si>
  <si>
    <t>Z000185042</t>
  </si>
  <si>
    <t>Z000183008</t>
  </si>
  <si>
    <t>Z040401003</t>
  </si>
  <si>
    <t>Z000185043</t>
  </si>
  <si>
    <t>Z000212001</t>
  </si>
  <si>
    <t>Z000185044</t>
  </si>
  <si>
    <t>ASSENTADOR DE TUBOS - HORISTA</t>
  </si>
  <si>
    <t>Z000212002</t>
  </si>
  <si>
    <t>Z000185045</t>
  </si>
  <si>
    <t>Z000212003</t>
  </si>
  <si>
    <t>Z000185046</t>
  </si>
  <si>
    <t>SERVIÇOS DE CONSULTORIAS DIVERSAS</t>
  </si>
  <si>
    <t>Z000185047</t>
  </si>
  <si>
    <t>ACO CA-50 20.0 MM</t>
  </si>
  <si>
    <t>Z000185048</t>
  </si>
  <si>
    <t>Z030204001</t>
  </si>
  <si>
    <t>Z000185049</t>
  </si>
  <si>
    <t>MATERIAL PARA GUARDA CORPO DE VIDRO CURVO</t>
  </si>
  <si>
    <t>16.02.02.01</t>
  </si>
  <si>
    <t>ESTRUTURA LAREIRA</t>
  </si>
  <si>
    <t>Z000174001</t>
  </si>
  <si>
    <t>16.02.02.02</t>
  </si>
  <si>
    <t>LABORATORIO DE SOLOS</t>
  </si>
  <si>
    <t>01.01.02.01</t>
  </si>
  <si>
    <t>16.02.02.03</t>
  </si>
  <si>
    <t>16.02.02.04</t>
  </si>
  <si>
    <t>Z000024001</t>
  </si>
  <si>
    <t>01.01.02.03</t>
  </si>
  <si>
    <t>PLATAFORMA ELEVATORIA DE ACESSIBILIDADE</t>
  </si>
  <si>
    <t>16.02.02.05</t>
  </si>
  <si>
    <t>01.01.02.04</t>
  </si>
  <si>
    <t>01.01.02.05</t>
  </si>
  <si>
    <t>01.01.02.06</t>
  </si>
  <si>
    <t>VEDAÇÃO DE ALVENARIA</t>
  </si>
  <si>
    <t>01.01.02.07</t>
  </si>
  <si>
    <t>01.01.02.08</t>
  </si>
  <si>
    <t>TERRAPLENAGEM</t>
  </si>
  <si>
    <t>CONSULTORIA LICENCA AMBIENTAL</t>
  </si>
  <si>
    <t>01.01.02.09</t>
  </si>
  <si>
    <t>Z000203001</t>
  </si>
  <si>
    <t>Z000139009</t>
  </si>
  <si>
    <t>24.06.01</t>
  </si>
  <si>
    <t>SERRALHERIA</t>
  </si>
  <si>
    <t>15.01.01.01</t>
  </si>
  <si>
    <t>Z040204001</t>
  </si>
  <si>
    <t>18.01.03.01</t>
  </si>
  <si>
    <t>EQUIPE APOIO - PEDREIRO</t>
  </si>
  <si>
    <t>PERFURAÇÃO POÇO ARTESIANO</t>
  </si>
  <si>
    <t>Z000165003</t>
  </si>
  <si>
    <t>Z000015001</t>
  </si>
  <si>
    <t>AQUISICAO/ASSINATURA GSTARCAD</t>
  </si>
  <si>
    <t>Z020401020</t>
  </si>
  <si>
    <t>MICTORIO SIFONADO A DEFINIR</t>
  </si>
  <si>
    <t>TELA DE ACO SOLDADA NERVURADA, CA-60, Q-138</t>
  </si>
  <si>
    <t>Z020401021</t>
  </si>
  <si>
    <t>Z010506006</t>
  </si>
  <si>
    <t>EXTENSAO DE REDE DE ENERGIA - INDICE VB</t>
  </si>
  <si>
    <t>PROJETOR COM TELA DE PROJECAO</t>
  </si>
  <si>
    <t>FUROS DE SONDAGEM</t>
  </si>
  <si>
    <t>ENSAIO DE ARRANCAMENTO EM REBOCO</t>
  </si>
  <si>
    <t>Z010203001</t>
  </si>
  <si>
    <t>ACO CA-50 10.0 MM</t>
  </si>
  <si>
    <t>Z020401028</t>
  </si>
  <si>
    <t>CONTENCAO - CUSTOS COM ARMACAO</t>
  </si>
  <si>
    <t>AUXILIAR ADMINISTRATIVO - MENSALISTA</t>
  </si>
  <si>
    <t>Z000167048</t>
  </si>
  <si>
    <t>Z020401029</t>
  </si>
  <si>
    <t>Z070103001</t>
  </si>
  <si>
    <t>Z000174010</t>
  </si>
  <si>
    <t>AUXILIAR DE SERVICOS GERAIS - MENSALISTA</t>
  </si>
  <si>
    <t>Z070103002</t>
  </si>
  <si>
    <t>01.01.02.10</t>
  </si>
  <si>
    <t>Z000174011</t>
  </si>
  <si>
    <t>Z000139010</t>
  </si>
  <si>
    <t>Z000041001</t>
  </si>
  <si>
    <t>01.01.02.11</t>
  </si>
  <si>
    <t>Z000041002</t>
  </si>
  <si>
    <t>01.01.02.12</t>
  </si>
  <si>
    <t>01.01.02.13</t>
  </si>
  <si>
    <t>PERFURACAO DE ESTACA ESCAVADA D = 80 CM</t>
  </si>
  <si>
    <t>01.01.02.14</t>
  </si>
  <si>
    <t>01.01.02.15</t>
  </si>
  <si>
    <t>ANCORAGEM PREDIAL</t>
  </si>
  <si>
    <t>MONTAGEM DE CUBA ESCULPIDA</t>
  </si>
  <si>
    <t>CAMINHAO MUCK</t>
  </si>
  <si>
    <t>MATERIAL PARA INSTALACOES SONORA - INDICE M2</t>
  </si>
  <si>
    <t>PPRA/PCMSO/EXAMES</t>
  </si>
  <si>
    <t>ENCARREGADO ADMINISTRATIVO - MENSALISTA</t>
  </si>
  <si>
    <t>Z000182003</t>
  </si>
  <si>
    <t>Z000032001</t>
  </si>
  <si>
    <t>Z000182004</t>
  </si>
  <si>
    <t>Z000147003</t>
  </si>
  <si>
    <t>Z000032002</t>
  </si>
  <si>
    <t>Z000147004</t>
  </si>
  <si>
    <t>BETONEIRA CAPACIDADE NOMINAL DE 600 L - CHI</t>
  </si>
  <si>
    <t>Z000032003</t>
  </si>
  <si>
    <t>Z000147005</t>
  </si>
  <si>
    <t>Z000032004</t>
  </si>
  <si>
    <t>ARGAMASSA COLANTE TIPO AC III PARA PEDRAS</t>
  </si>
  <si>
    <t>Z000147006</t>
  </si>
  <si>
    <t>Z000032005</t>
  </si>
  <si>
    <t>MEDICINA E SEGURANÇA DO TRABALHO</t>
  </si>
  <si>
    <t>Z000167050</t>
  </si>
  <si>
    <t>Z010702001</t>
  </si>
  <si>
    <t>Z000032006</t>
  </si>
  <si>
    <t>Z010702002</t>
  </si>
  <si>
    <t>FORRO DE GESSO ACARTONADO (DRYWALL)</t>
  </si>
  <si>
    <t>Z000032007</t>
  </si>
  <si>
    <t>Z000211001</t>
  </si>
  <si>
    <t>Z000032008</t>
  </si>
  <si>
    <t>Z000211002</t>
  </si>
  <si>
    <t>Z000165019</t>
  </si>
  <si>
    <t>Z000032009</t>
  </si>
  <si>
    <t>Z011202001</t>
  </si>
  <si>
    <t>BETONEIRA CAPACIDADE NOMINAL DE 600 L - CHP</t>
  </si>
  <si>
    <t>Z000167055</t>
  </si>
  <si>
    <t>Z011202002</t>
  </si>
  <si>
    <t>Z000167056</t>
  </si>
  <si>
    <t>Z030203002</t>
  </si>
  <si>
    <t>Z030203003</t>
  </si>
  <si>
    <t>16.02.01.01</t>
  </si>
  <si>
    <t>SERVICO DE PAISAGISMO EM GERAL</t>
  </si>
  <si>
    <t>16.02.01.02</t>
  </si>
  <si>
    <t>Z030203004</t>
  </si>
  <si>
    <t>01.01.01.01</t>
  </si>
  <si>
    <t>Z030203005</t>
  </si>
  <si>
    <t>16.02.01.03</t>
  </si>
  <si>
    <t>CONSUMOS</t>
  </si>
  <si>
    <t>Z000173003</t>
  </si>
  <si>
    <t>16.02.01.04</t>
  </si>
  <si>
    <t>Z000138002</t>
  </si>
  <si>
    <t>Z000023001</t>
  </si>
  <si>
    <t>Z000173004</t>
  </si>
  <si>
    <t>Z000023002</t>
  </si>
  <si>
    <t>Z030203008</t>
  </si>
  <si>
    <t>Z000023003</t>
  </si>
  <si>
    <t>Z030203009</t>
  </si>
  <si>
    <t>AZULEJISTA - HORISTA</t>
  </si>
  <si>
    <t>Z000173007</t>
  </si>
  <si>
    <t>Z000173008</t>
  </si>
  <si>
    <t>Z000023006</t>
  </si>
  <si>
    <t>Z000173009</t>
  </si>
  <si>
    <t>Z000157034</t>
  </si>
  <si>
    <t>ACABAMENTO DE PAREDE - APARTAMENTO</t>
  </si>
  <si>
    <t>SERVICO DE MOVIMENTACAO DE TERRA</t>
  </si>
  <si>
    <t>Z000202001</t>
  </si>
  <si>
    <t>Z000157035</t>
  </si>
  <si>
    <t>24.05.01</t>
  </si>
  <si>
    <t>Z000157036</t>
  </si>
  <si>
    <t>VEDAÇÃO DRYWALL</t>
  </si>
  <si>
    <t>24.05.02</t>
  </si>
  <si>
    <t>24.05.03</t>
  </si>
  <si>
    <t>24.05.04</t>
  </si>
  <si>
    <t>24.05.05</t>
  </si>
  <si>
    <t>Z040203001</t>
  </si>
  <si>
    <t>24.05.06</t>
  </si>
  <si>
    <t>Z040203002</t>
  </si>
  <si>
    <t>24.05.07</t>
  </si>
  <si>
    <t>Z000164001</t>
  </si>
  <si>
    <t>REMOCAO DE ENTULHO</t>
  </si>
  <si>
    <t>AQUISICAO E ASSINATURA DE SOFTWARES</t>
  </si>
  <si>
    <t>24.05.08</t>
  </si>
  <si>
    <t>18.01.02.01</t>
  </si>
  <si>
    <t>Z000164002</t>
  </si>
  <si>
    <t>ACO CA-60 5.0 MM</t>
  </si>
  <si>
    <t>24.05.09</t>
  </si>
  <si>
    <t>Z000032010</t>
  </si>
  <si>
    <t>Z000014001</t>
  </si>
  <si>
    <t>Z000164004</t>
  </si>
  <si>
    <t>PEDREIRO - HORISTA</t>
  </si>
  <si>
    <t>Z000165022</t>
  </si>
  <si>
    <t>MARTELO DEMOLIDOR ELETRICO - CHI</t>
  </si>
  <si>
    <t>PREGO DE ACO POLIDO COM CABECA 14 X 18</t>
  </si>
  <si>
    <t>Z000164009</t>
  </si>
  <si>
    <t>CARPINTEIRO - MENSALISTA</t>
  </si>
  <si>
    <t>MATERIAL PARA INSTALACOES INTFO. - INDICE M2</t>
  </si>
  <si>
    <t>ILUMINAÇÃO APARTAMENTOS</t>
  </si>
  <si>
    <t>Z000165029</t>
  </si>
  <si>
    <t>Z010202002</t>
  </si>
  <si>
    <t>MARTELO DEMOLIDOR ELETRICO - CHP</t>
  </si>
  <si>
    <t>Z010202003</t>
  </si>
  <si>
    <t>Z030203010</t>
  </si>
  <si>
    <t>LOUÇAS E METAIS</t>
  </si>
  <si>
    <t>Z010202004</t>
  </si>
  <si>
    <t>Z040309002</t>
  </si>
  <si>
    <t>Z010202005</t>
  </si>
  <si>
    <t>Z040309003</t>
  </si>
  <si>
    <t>ESQUADRIAS DE MADEIRA</t>
  </si>
  <si>
    <t>Z000173010</t>
  </si>
  <si>
    <t>Z040309004</t>
  </si>
  <si>
    <t>MANIPULADOR TELESCOPICO</t>
  </si>
  <si>
    <t>Z040309005</t>
  </si>
  <si>
    <t>Z000173012</t>
  </si>
  <si>
    <t>Z040309006</t>
  </si>
  <si>
    <t>ESTRUTURA - CUSTOS COM ARMACAO</t>
  </si>
  <si>
    <t>Z000173013</t>
  </si>
  <si>
    <t>MARMORISTA/GRANITEIRO - HORISTA</t>
  </si>
  <si>
    <t>FERRAMENTAS - INDICE</t>
  </si>
  <si>
    <t>Z020505004</t>
  </si>
  <si>
    <t>Z040309009</t>
  </si>
  <si>
    <t>Z020505005</t>
  </si>
  <si>
    <t>PISO EMBORRACHADO 100X100 - A DEFINIR</t>
  </si>
  <si>
    <t>PROJETO DE IRRIGACAO</t>
  </si>
  <si>
    <t>Z020202001</t>
  </si>
  <si>
    <t>ACO CA-50 8.0 MM</t>
  </si>
  <si>
    <t>Z020202002</t>
  </si>
  <si>
    <t>INSTALACOES INTERRADAS</t>
  </si>
  <si>
    <t>Z000031001</t>
  </si>
  <si>
    <t>INSTALACOES ELETRICAS - INDICE EP</t>
  </si>
  <si>
    <t>Z000031002</t>
  </si>
  <si>
    <t>Z000164013</t>
  </si>
  <si>
    <t>Z000031003</t>
  </si>
  <si>
    <t>Z000031004</t>
  </si>
  <si>
    <t>Z000164015</t>
  </si>
  <si>
    <t>Z000146006</t>
  </si>
  <si>
    <t>Z010701001</t>
  </si>
  <si>
    <t>Z000164016</t>
  </si>
  <si>
    <t>Z000146007</t>
  </si>
  <si>
    <t>ESTRUTURA - ESCORAMENTO</t>
  </si>
  <si>
    <t>Z010701002</t>
  </si>
  <si>
    <t>Z000164017</t>
  </si>
  <si>
    <t>Z000031007</t>
  </si>
  <si>
    <t>Z000164018</t>
  </si>
  <si>
    <t>LIXA D`AGUA EM FOLHA GRAO 100</t>
  </si>
  <si>
    <t>Z000031008</t>
  </si>
  <si>
    <t>ENGENHEIRO CIVIL I PJ</t>
  </si>
  <si>
    <t>16.03.01</t>
  </si>
  <si>
    <t>Z000031009</t>
  </si>
  <si>
    <t>16.03.02</t>
  </si>
  <si>
    <t>Z011201001</t>
  </si>
  <si>
    <t>16.03.03</t>
  </si>
  <si>
    <t>16.03.04</t>
  </si>
  <si>
    <t>Z020309020</t>
  </si>
  <si>
    <t>SERVENTE - MENSALISTA</t>
  </si>
  <si>
    <t>Z040309010</t>
  </si>
  <si>
    <t>16.03.05</t>
  </si>
  <si>
    <t>Z040309011</t>
  </si>
  <si>
    <t>APLICACAO DE TINTA DE PISO EM MEIO FIO</t>
  </si>
  <si>
    <t>16.03.06</t>
  </si>
  <si>
    <t>CHI</t>
  </si>
  <si>
    <t>Z000172001</t>
  </si>
  <si>
    <t>Z040309012</t>
  </si>
  <si>
    <t>16.03.07</t>
  </si>
  <si>
    <t>TAQUEADOR - HORISTA</t>
  </si>
  <si>
    <t>PERFURACAO DE ESTACA RAIZ D = 31 CM</t>
  </si>
  <si>
    <t>Z000172002</t>
  </si>
  <si>
    <t>16.03.08</t>
  </si>
  <si>
    <t>Z020309024</t>
  </si>
  <si>
    <t>MATERIAL E MAO DE OBRA PARA ANCORAGEM</t>
  </si>
  <si>
    <t>Z000172003</t>
  </si>
  <si>
    <t>16.03.09</t>
  </si>
  <si>
    <t>Z000137002</t>
  </si>
  <si>
    <t>Z000022001</t>
  </si>
  <si>
    <t>MATERIAL PARA FORRO DE GESSO MODULAR</t>
  </si>
  <si>
    <t>TREINAMENTOS</t>
  </si>
  <si>
    <t>Z000137005</t>
  </si>
  <si>
    <t>ACO CA-50 6.3 MM</t>
  </si>
  <si>
    <t>LAGO</t>
  </si>
  <si>
    <t>Z000155015</t>
  </si>
  <si>
    <t>13.01.03.01</t>
  </si>
  <si>
    <t>Z000137006</t>
  </si>
  <si>
    <t>CHP</t>
  </si>
  <si>
    <t>COMBUSTIVEIS E LUBRIFICANTES ADMINISTRATIVO</t>
  </si>
  <si>
    <t>13.01.03.02</t>
  </si>
  <si>
    <t>CONTENCAO - CUSTOS COM CONCRETO</t>
  </si>
  <si>
    <t>PLANIALMETRICO</t>
  </si>
  <si>
    <t>Z000155017</t>
  </si>
  <si>
    <t>13.01.03.03</t>
  </si>
  <si>
    <t>MATERIAIS DE CONSUMO DO ADMINISTRATIVO</t>
  </si>
  <si>
    <t>EQUIPE ADM - AUXILIAR ADMINISTRATIVO</t>
  </si>
  <si>
    <t>ENCARGOS SOCIAIS</t>
  </si>
  <si>
    <t>Z020701002</t>
  </si>
  <si>
    <t>Z000201001</t>
  </si>
  <si>
    <t>13.01.03.04</t>
  </si>
  <si>
    <t>CATRACA ELETRONICA - INDICE VB</t>
  </si>
  <si>
    <t>24.04.01</t>
  </si>
  <si>
    <t>Z020701003</t>
  </si>
  <si>
    <t>13.01.03.05</t>
  </si>
  <si>
    <t>24.04.02</t>
  </si>
  <si>
    <t>Z020701004</t>
  </si>
  <si>
    <t>16.01.05.01</t>
  </si>
  <si>
    <t>13.01.03.06</t>
  </si>
  <si>
    <t>24.04.03</t>
  </si>
  <si>
    <t>13.01.03.07</t>
  </si>
  <si>
    <t>24.04.04</t>
  </si>
  <si>
    <t>24.04.05</t>
  </si>
  <si>
    <t>REVESTIMENTO PAREDE - PORCELANATO</t>
  </si>
  <si>
    <t>MATERIAL PARA SANCA DE GESSO</t>
  </si>
  <si>
    <t>BLOCOS E CINTAS - CUSTOS COM EXECUCAO</t>
  </si>
  <si>
    <t>Z040202001</t>
  </si>
  <si>
    <t>24.04.06</t>
  </si>
  <si>
    <t>Z040202002</t>
  </si>
  <si>
    <t>Z040202003</t>
  </si>
  <si>
    <t>18.01.01.01</t>
  </si>
  <si>
    <t>PONTES ESPECIAIS</t>
  </si>
  <si>
    <t>Z000031010</t>
  </si>
  <si>
    <t>Z000013001</t>
  </si>
  <si>
    <t>Z000146012</t>
  </si>
  <si>
    <t>Z040202006</t>
  </si>
  <si>
    <t>Z000146013</t>
  </si>
  <si>
    <t>Z000146014</t>
  </si>
  <si>
    <t>Z000146015</t>
  </si>
  <si>
    <t>LOCAÇÃO DE MÁQUINAS E VEÍCULOS</t>
  </si>
  <si>
    <t>COMPOSICAO PARAMETRICA - OBRA DO LAGO</t>
  </si>
  <si>
    <t>MAO DE OBRA PARA REVESTIMENTO EM ACM</t>
  </si>
  <si>
    <t>15.03.01</t>
  </si>
  <si>
    <t>Z000146018</t>
  </si>
  <si>
    <t>MANUTENCAO DE MAQUINAS - CUSTO MENSAL</t>
  </si>
  <si>
    <t>16.03.10</t>
  </si>
  <si>
    <t>15.03.02</t>
  </si>
  <si>
    <t>Z000146019</t>
  </si>
  <si>
    <t>Z010201001</t>
  </si>
  <si>
    <t>LICENCAS AMBIENTAIS</t>
  </si>
  <si>
    <t>16.03.11</t>
  </si>
  <si>
    <t>15.03.03</t>
  </si>
  <si>
    <t>Z010201002</t>
  </si>
  <si>
    <t>16.03.12</t>
  </si>
  <si>
    <t>15.03.04</t>
  </si>
  <si>
    <t>ADESIVO ESTRUTURAL A BASE DE RESINA EPOXI</t>
  </si>
  <si>
    <t>16.03.13</t>
  </si>
  <si>
    <t>15.03.05</t>
  </si>
  <si>
    <t>Z040308001</t>
  </si>
  <si>
    <t>PROJETO DE INFRAESTRUTURA DE ACESSO</t>
  </si>
  <si>
    <t>Z040308002</t>
  </si>
  <si>
    <t>16.03.14</t>
  </si>
  <si>
    <t>PROTENSAO DE ESTRUTURA</t>
  </si>
  <si>
    <t>MATERIAL RESERVATORIO - INDICE M2</t>
  </si>
  <si>
    <t>16.03.15</t>
  </si>
  <si>
    <t>16.03.16</t>
  </si>
  <si>
    <t>Z000154001</t>
  </si>
  <si>
    <t>Z040308004</t>
  </si>
  <si>
    <t>16.03.17</t>
  </si>
  <si>
    <t>Z040308005</t>
  </si>
  <si>
    <t>Z020504001</t>
  </si>
  <si>
    <t>16.03.18</t>
  </si>
  <si>
    <t>Z040308006</t>
  </si>
  <si>
    <t>SUBESTACAO CANTEIRO DE OBRAS</t>
  </si>
  <si>
    <t>INSTALAÇÕES SPDA</t>
  </si>
  <si>
    <t>16.03.19</t>
  </si>
  <si>
    <t>Z040308007</t>
  </si>
  <si>
    <t>VIGILANCIA E MONITORAMENTO</t>
  </si>
  <si>
    <t>Z020504004</t>
  </si>
  <si>
    <t>FORROS ESPECIAIS</t>
  </si>
  <si>
    <t>CONCRETO USINADO BOMBEAVEL, FCK = 30MPA</t>
  </si>
  <si>
    <t>FESTAS E CONFRATERNIZACOES</t>
  </si>
  <si>
    <t>06.02.01</t>
  </si>
  <si>
    <t>Z020504009</t>
  </si>
  <si>
    <t>06.02.02</t>
  </si>
  <si>
    <t>06.02.03</t>
  </si>
  <si>
    <t>PINTURA DE TETO</t>
  </si>
  <si>
    <t>Z020201001</t>
  </si>
  <si>
    <t>06.02.04</t>
  </si>
  <si>
    <t>MAO DE OBRA PARA ESTRUTURA PARA LAREIRA</t>
  </si>
  <si>
    <t>MATERIAL PARA GUARDA CORPO DE VIDRO RETO</t>
  </si>
  <si>
    <t>Z020201002</t>
  </si>
  <si>
    <t>ELEVADOR</t>
  </si>
  <si>
    <t>BRITA GRADUADA SIMPLES (BGS)</t>
  </si>
  <si>
    <t>Z000145001</t>
  </si>
  <si>
    <t>ESCAVACAO DE ESTACA RAIZ, DIAMETRO 25CM</t>
  </si>
  <si>
    <t>Z000164030</t>
  </si>
  <si>
    <t>Z060101015</t>
  </si>
  <si>
    <t>SERVICO DE REJUNTAMENTO - TERCEIRIZADO</t>
  </si>
  <si>
    <t>REJUNTE EPOXI, QUALQUER COR</t>
  </si>
  <si>
    <t>MATERIAL DE LIMPEZA</t>
  </si>
  <si>
    <t>INSTALACOES SPDA - INDICE EP</t>
  </si>
  <si>
    <t>Z000163018</t>
  </si>
  <si>
    <t>16.02.01</t>
  </si>
  <si>
    <t>16.02.02</t>
  </si>
  <si>
    <t>Z020307001</t>
  </si>
  <si>
    <t>PINTURAS DE PAREDE</t>
  </si>
  <si>
    <t>16.03.20</t>
  </si>
  <si>
    <t>16.02.03</t>
  </si>
  <si>
    <t>16.03.21</t>
  </si>
  <si>
    <t>RALO LINEAR SEKAPLUS</t>
  </si>
  <si>
    <t>Z030201001</t>
  </si>
  <si>
    <t>16.03.22</t>
  </si>
  <si>
    <t>16.03.23</t>
  </si>
  <si>
    <t>Z030201003</t>
  </si>
  <si>
    <t>DESCARTE DE MATERIAL</t>
  </si>
  <si>
    <t>Z000171001</t>
  </si>
  <si>
    <t>16.03.24</t>
  </si>
  <si>
    <t>Z040308012</t>
  </si>
  <si>
    <t>Z030201004</t>
  </si>
  <si>
    <t>Z000171002</t>
  </si>
  <si>
    <t>Z040308013</t>
  </si>
  <si>
    <t>Z000136001</t>
  </si>
  <si>
    <t>Z000171003</t>
  </si>
  <si>
    <t>Z040308014</t>
  </si>
  <si>
    <t>Z030201006</t>
  </si>
  <si>
    <t>Z000021001</t>
  </si>
  <si>
    <t>Z020504011</t>
  </si>
  <si>
    <t>MINICARREGADEIRA</t>
  </si>
  <si>
    <t>CAJU - VA</t>
  </si>
  <si>
    <t>PEDRA DE MAO OU PEDRA RACHAO</t>
  </si>
  <si>
    <t>Z020504012</t>
  </si>
  <si>
    <t>Z040308016</t>
  </si>
  <si>
    <t>INSTALAÇÕES PREDIAIS</t>
  </si>
  <si>
    <t>Z040308017</t>
  </si>
  <si>
    <t>PERFURACAO DE ESTACA ESCAVADA D = 60 CM</t>
  </si>
  <si>
    <t>Z020504014</t>
  </si>
  <si>
    <t>Z040308018</t>
  </si>
  <si>
    <t>RALO SECO A DEFINIR</t>
  </si>
  <si>
    <t>13.01.02.01</t>
  </si>
  <si>
    <t>EXECUCAO DE ESCAVACAO DE SAPATAS</t>
  </si>
  <si>
    <t>Z020504015</t>
  </si>
  <si>
    <t>Z040308019</t>
  </si>
  <si>
    <t>13.01.02.02</t>
  </si>
  <si>
    <t>03.03.01</t>
  </si>
  <si>
    <t>PROJETO FUNDACOES</t>
  </si>
  <si>
    <t>Z020504016</t>
  </si>
  <si>
    <t>Z000136008</t>
  </si>
  <si>
    <t>13.01.02.03</t>
  </si>
  <si>
    <t>Z000098001</t>
  </si>
  <si>
    <t>05.02.01</t>
  </si>
  <si>
    <t>Z020504017</t>
  </si>
  <si>
    <t>Z000136009</t>
  </si>
  <si>
    <t>13.01.02.04</t>
  </si>
  <si>
    <t>05.02.02</t>
  </si>
  <si>
    <t>24.03.01</t>
  </si>
  <si>
    <t>PONTE</t>
  </si>
  <si>
    <t>13.01.02.05</t>
  </si>
  <si>
    <t>INSTALAÇÃO EXAUSTÃO E PRESSURIZAÇÃO</t>
  </si>
  <si>
    <t>GRANITO ACQUAMARINE ESCOVADO - BANCO</t>
  </si>
  <si>
    <t>16.01.04.01</t>
  </si>
  <si>
    <t>13.01.02.06</t>
  </si>
  <si>
    <t>16.01.04.02</t>
  </si>
  <si>
    <t>13.01.02.07</t>
  </si>
  <si>
    <t>MAO DE OBRA PARA REVESTIMENTO EM HPL</t>
  </si>
  <si>
    <t>16.01.04.03</t>
  </si>
  <si>
    <t>13.01.02.08</t>
  </si>
  <si>
    <t>Z040316001</t>
  </si>
  <si>
    <t>13.01.02.09</t>
  </si>
  <si>
    <t>Z040201001</t>
  </si>
  <si>
    <t>Z040316002</t>
  </si>
  <si>
    <t>Z040201002</t>
  </si>
  <si>
    <t>Z040316003</t>
  </si>
  <si>
    <t>Z040201003</t>
  </si>
  <si>
    <t>Z040201004</t>
  </si>
  <si>
    <t>Z060101021</t>
  </si>
  <si>
    <t>Z000145010</t>
  </si>
  <si>
    <t>Z000162003</t>
  </si>
  <si>
    <t>Z040201005</t>
  </si>
  <si>
    <t>Z040201006</t>
  </si>
  <si>
    <t>Z060101023</t>
  </si>
  <si>
    <t>Z000162005</t>
  </si>
  <si>
    <t>21.09.01</t>
  </si>
  <si>
    <t>Z000162006</t>
  </si>
  <si>
    <t>Z040201008</t>
  </si>
  <si>
    <t>FORROS ESPECIAIS - INDICE M2</t>
  </si>
  <si>
    <t>23.08.01</t>
  </si>
  <si>
    <t>Z000145015</t>
  </si>
  <si>
    <t>Z040201009</t>
  </si>
  <si>
    <t>CAJU - VT</t>
  </si>
  <si>
    <t>SERVICOS DE TOPOGRAFIA</t>
  </si>
  <si>
    <t>Z000089001</t>
  </si>
  <si>
    <t>15.02.01</t>
  </si>
  <si>
    <t>LOUÇAS E METAIS ÁREA COMUM</t>
  </si>
  <si>
    <t>PROJETO DE CLIMATIZACAO</t>
  </si>
  <si>
    <t>15.02.02</t>
  </si>
  <si>
    <t>CONSULTORIA TERRAPLANAGEM</t>
  </si>
  <si>
    <t>MAO DE OBRA PARA PAREDE DE DRYWALL</t>
  </si>
  <si>
    <t>15.02.04</t>
  </si>
  <si>
    <t>ENCARREGADO DE OBRAS - MENSALISTA</t>
  </si>
  <si>
    <t>Z040308020</t>
  </si>
  <si>
    <t>Z050201001</t>
  </si>
  <si>
    <t>Z040308021</t>
  </si>
  <si>
    <t>Z050201002</t>
  </si>
  <si>
    <t>Z000136010</t>
  </si>
  <si>
    <t>Z020618003</t>
  </si>
  <si>
    <t>Z040308023</t>
  </si>
  <si>
    <t>Z000136011</t>
  </si>
  <si>
    <t>INSTALAÇÃO AQUECIMENTO DE ÁGUA</t>
  </si>
  <si>
    <t>Z040308024</t>
  </si>
  <si>
    <t>Z040308025</t>
  </si>
  <si>
    <t>CARPETE BELGOTEX 704 ROUTE</t>
  </si>
  <si>
    <t>RALO LINEAR COM GRELHA INOX 100X15 CM</t>
  </si>
  <si>
    <t>Z020503005</t>
  </si>
  <si>
    <t>ARGAMASSA COLANTE TIPO AC III</t>
  </si>
  <si>
    <t>Z000136014</t>
  </si>
  <si>
    <t>Z020503006</t>
  </si>
  <si>
    <t>Z040308027</t>
  </si>
  <si>
    <t>13.01.02.10</t>
  </si>
  <si>
    <t>Z000136015</t>
  </si>
  <si>
    <t>Z020503007</t>
  </si>
  <si>
    <t>REVESTIMENTO DE PAREDE - PEDRAS</t>
  </si>
  <si>
    <t>13.01.02.11</t>
  </si>
  <si>
    <t>Z000136016</t>
  </si>
  <si>
    <t>04.02.01</t>
  </si>
  <si>
    <t>Z040308029</t>
  </si>
  <si>
    <t>13.01.02.12</t>
  </si>
  <si>
    <t>06.01.01</t>
  </si>
  <si>
    <t>LIMPEZA DO TERRENO</t>
  </si>
  <si>
    <t>04.02.02</t>
  </si>
  <si>
    <t>LIMPEZA FINAL DA OBRA</t>
  </si>
  <si>
    <t>13.01.02.13</t>
  </si>
  <si>
    <t>06.01.02</t>
  </si>
  <si>
    <t>06.01.03</t>
  </si>
  <si>
    <t>06.01.04</t>
  </si>
  <si>
    <t>REFORCO METALICO EM PAREDE DRYWALL</t>
  </si>
  <si>
    <t>PROJETO COMBATE A INCENDIO</t>
  </si>
  <si>
    <t>CALCETEIRO - HORISTA</t>
  </si>
  <si>
    <t>Z040201010</t>
  </si>
  <si>
    <t>Z070206001</t>
  </si>
  <si>
    <t>Z040201011</t>
  </si>
  <si>
    <t>Z070206002</t>
  </si>
  <si>
    <t>Z070206003</t>
  </si>
  <si>
    <t>Z040201013</t>
  </si>
  <si>
    <t>Z040201014</t>
  </si>
  <si>
    <t>Z000144003</t>
  </si>
  <si>
    <t>Z070206005</t>
  </si>
  <si>
    <t>Z000012010</t>
  </si>
  <si>
    <t>DESPESAS COM PESSOAL</t>
  </si>
  <si>
    <t>Z000163030</t>
  </si>
  <si>
    <t>Z040201015</t>
  </si>
  <si>
    <t>SERVICO DE CHAPISCO INTERNO - TERCEIRIZADO</t>
  </si>
  <si>
    <t>Z070206006</t>
  </si>
  <si>
    <t>Z070206007</t>
  </si>
  <si>
    <t>EQUIPE ADM - AUXILIAR DE ALMOXARIFE</t>
  </si>
  <si>
    <t>Z070206008</t>
  </si>
  <si>
    <t>CONCRETO USINADO BOMBEAVEL, FCK = 20MPA</t>
  </si>
  <si>
    <t>CONTEINER PARA DEPOSITO</t>
  </si>
  <si>
    <t>Z070206009</t>
  </si>
  <si>
    <t>16.01.01</t>
  </si>
  <si>
    <t>PREGO DE ACO POLIDO COM CABECA DUPLA 17 X 27</t>
  </si>
  <si>
    <t>Z000012017</t>
  </si>
  <si>
    <t>16.01.02</t>
  </si>
  <si>
    <t>16.01.03</t>
  </si>
  <si>
    <t>Z020306002</t>
  </si>
  <si>
    <t>16.01.04</t>
  </si>
  <si>
    <t>AQUISICAO/ASSINATURA MELIUS</t>
  </si>
  <si>
    <t>16.01.05</t>
  </si>
  <si>
    <t>RALO OCULTO 15X15CM - LINHA SEKINHO</t>
  </si>
  <si>
    <t>MAO DE OBRA PARA INSTALACAO DE TABICA</t>
  </si>
  <si>
    <t>ELEVADOR - EQUIPAMENTO E INSTALACAO</t>
  </si>
  <si>
    <t>EXECUCAO DE PERFURACAO DE ESTACAS</t>
  </si>
  <si>
    <t>Z040308030</t>
  </si>
  <si>
    <t>Z040308032</t>
  </si>
  <si>
    <t>LOCACAO DE ESCORAS METALICAS</t>
  </si>
  <si>
    <t>EQUIPE APOIO - CARPINTEIRO</t>
  </si>
  <si>
    <t>Z040308034</t>
  </si>
  <si>
    <t>Z010109003</t>
  </si>
  <si>
    <t>Z040308035</t>
  </si>
  <si>
    <t>13.01.01.01</t>
  </si>
  <si>
    <t>CARGA DE ENTULHOS</t>
  </si>
  <si>
    <t>Z010109004</t>
  </si>
  <si>
    <t>ILUMINAÇÃO ÁREA COMUM</t>
  </si>
  <si>
    <t>Z040308036</t>
  </si>
  <si>
    <t>13.01.01.02</t>
  </si>
  <si>
    <t>Z010109005</t>
  </si>
  <si>
    <t>KG</t>
  </si>
  <si>
    <t>03.02.01</t>
  </si>
  <si>
    <t>Z040308037</t>
  </si>
  <si>
    <t>Z000135008</t>
  </si>
  <si>
    <t>13.01.01.03</t>
  </si>
  <si>
    <t>05.01.01</t>
  </si>
  <si>
    <t>03.02.02</t>
  </si>
  <si>
    <t>13.01.01.04</t>
  </si>
  <si>
    <t>05.01.02</t>
  </si>
  <si>
    <t>Z010109007</t>
  </si>
  <si>
    <t>03.02.03</t>
  </si>
  <si>
    <t>24.02.01</t>
  </si>
  <si>
    <t>Z040308039</t>
  </si>
  <si>
    <t>Z010109008</t>
  </si>
  <si>
    <t>03.02.04</t>
  </si>
  <si>
    <t>Z010109009</t>
  </si>
  <si>
    <t>16.01.03.01</t>
  </si>
  <si>
    <t>03.02.05</t>
  </si>
  <si>
    <t>16.01.03.02</t>
  </si>
  <si>
    <t>03.02.06</t>
  </si>
  <si>
    <t>16.01.03.03</t>
  </si>
  <si>
    <t>03.02.07</t>
  </si>
  <si>
    <t>03.02.08</t>
  </si>
  <si>
    <t>Z000097008</t>
  </si>
  <si>
    <t>03.02.09</t>
  </si>
  <si>
    <t>MATERIAL PARA FORRO DE DRYWALL</t>
  </si>
  <si>
    <t>Z000097009</t>
  </si>
  <si>
    <t>PERFURACAO DE ESTACA RAIZ D = 20 CM</t>
  </si>
  <si>
    <t>Z000161002</t>
  </si>
  <si>
    <t>ANCORAGEM</t>
  </si>
  <si>
    <t>Z000161003</t>
  </si>
  <si>
    <t>CONTENCAO - CUSTOS COM EXECUCAO DE</t>
  </si>
  <si>
    <t>TRANSPORTE DE ENTULHOS</t>
  </si>
  <si>
    <t>PAVIMENTAÇÃO</t>
  </si>
  <si>
    <t>Z000011002</t>
  </si>
  <si>
    <t>Z010502005</t>
  </si>
  <si>
    <t>Z000012020</t>
  </si>
  <si>
    <t>Z000011003</t>
  </si>
  <si>
    <t>21.08.01</t>
  </si>
  <si>
    <t>Z010502006</t>
  </si>
  <si>
    <t>PERFURACAO DE ESTACA ESCAVADA D = 50 CM</t>
  </si>
  <si>
    <t>Z070402001</t>
  </si>
  <si>
    <t>Z000012021</t>
  </si>
  <si>
    <t>23.07.01</t>
  </si>
  <si>
    <t>PORCELANATO 90 X 90 MS BARCELONA</t>
  </si>
  <si>
    <t>Z000011005</t>
  </si>
  <si>
    <t>23.07.02</t>
  </si>
  <si>
    <t>Z010502008</t>
  </si>
  <si>
    <t>Z000011006</t>
  </si>
  <si>
    <t>Z000088001</t>
  </si>
  <si>
    <t>15.01.01</t>
  </si>
  <si>
    <t>Z000011008</t>
  </si>
  <si>
    <t>Z000163045</t>
  </si>
  <si>
    <t>15.01.02</t>
  </si>
  <si>
    <t>Z000011009</t>
  </si>
  <si>
    <t>15.01.03</t>
  </si>
  <si>
    <t>15.01.04</t>
  </si>
  <si>
    <t>Z000163048</t>
  </si>
  <si>
    <t>15.01.05</t>
  </si>
  <si>
    <t>Z040306002</t>
  </si>
  <si>
    <t>PO DE PEDRA</t>
  </si>
  <si>
    <t>GERADOR</t>
  </si>
  <si>
    <t>Z020502001</t>
  </si>
  <si>
    <t>Z020502002</t>
  </si>
  <si>
    <t>CUSTOS COM ARRASAMENTO</t>
  </si>
  <si>
    <t>Z000152004</t>
  </si>
  <si>
    <t>Z040308043</t>
  </si>
  <si>
    <t>Z000152006</t>
  </si>
  <si>
    <t>Z000153023</t>
  </si>
  <si>
    <t>Z000135014</t>
  </si>
  <si>
    <t>Z040306009</t>
  </si>
  <si>
    <t>MATERIAL ALAMBRADO PARA APP MALHA 5X20CM</t>
  </si>
  <si>
    <t>Z000153024</t>
  </si>
  <si>
    <t>Z000135015</t>
  </si>
  <si>
    <t>Z040307027</t>
  </si>
  <si>
    <t>PREGO DE ACO POLIDO COM CABECA 17 X 21</t>
  </si>
  <si>
    <t>Z040307029</t>
  </si>
  <si>
    <t>Z010305001</t>
  </si>
  <si>
    <t>PREGO DE ACO POLIDO COM CABECA 17 X 24</t>
  </si>
  <si>
    <t>EQUIPE DE LIMPEZA DO CANTEIRO DE OBRAS</t>
  </si>
  <si>
    <t>CORRIMÃO</t>
  </si>
  <si>
    <t>Z010305003</t>
  </si>
  <si>
    <t>Z010305004</t>
  </si>
  <si>
    <t>INFRA EXTERNA</t>
  </si>
  <si>
    <t>Z010305005</t>
  </si>
  <si>
    <t>Z070205001</t>
  </si>
  <si>
    <t>Z070205002</t>
  </si>
  <si>
    <t>Z020608001</t>
  </si>
  <si>
    <t>PINTOR - HORISTA</t>
  </si>
  <si>
    <t>Z000161010</t>
  </si>
  <si>
    <t>Z070205003</t>
  </si>
  <si>
    <t>Z020608002</t>
  </si>
  <si>
    <t>Z020608003</t>
  </si>
  <si>
    <t>FITA VEDA ROSCA 18 MM X 10 M</t>
  </si>
  <si>
    <t>Z070205005</t>
  </si>
  <si>
    <t>SERRA CIRCULAR DE BANCADA - CHI</t>
  </si>
  <si>
    <t>Z070205006</t>
  </si>
  <si>
    <t>Z000011011</t>
  </si>
  <si>
    <t>Z070205007</t>
  </si>
  <si>
    <t>PROJETO DE DRENAGEM</t>
  </si>
  <si>
    <t>M2</t>
  </si>
  <si>
    <t>M3</t>
  </si>
  <si>
    <t>Z070205008</t>
  </si>
  <si>
    <t>Z000163050</t>
  </si>
  <si>
    <t>Z070205009</t>
  </si>
  <si>
    <t>Z000011015</t>
  </si>
  <si>
    <t>Z000163052</t>
  </si>
  <si>
    <t>14.01.01</t>
  </si>
  <si>
    <t>Z000011016</t>
  </si>
  <si>
    <t>14.01.02</t>
  </si>
  <si>
    <t>AGUA E ESGOTO</t>
  </si>
  <si>
    <t>Z020305001</t>
  </si>
  <si>
    <t>Z000163054</t>
  </si>
  <si>
    <t>14.01.03</t>
  </si>
  <si>
    <t>SERRA CIRCULAR DE BANCADA - CHP</t>
  </si>
  <si>
    <t>Z000011018</t>
  </si>
  <si>
    <t>LOCACAO MENSAL - MINICARREGADEIRA</t>
  </si>
  <si>
    <t>DEMOLICOES GERAIS</t>
  </si>
  <si>
    <t>MÊS</t>
  </si>
  <si>
    <t>ESTAÇÃO DE TRATAMENTO DE ESGOTO E ÁGUA</t>
  </si>
  <si>
    <t>Z040307030</t>
  </si>
  <si>
    <t>IMPERMEABILIZAÇÃO</t>
  </si>
  <si>
    <t>Z010108001</t>
  </si>
  <si>
    <t>Z040307032</t>
  </si>
  <si>
    <t>Z000134004</t>
  </si>
  <si>
    <t>23.15.01</t>
  </si>
  <si>
    <t>Z040307035</t>
  </si>
  <si>
    <t>03.01.01</t>
  </si>
  <si>
    <t>Z040307037</t>
  </si>
  <si>
    <t>TABICA PARA FORRO DE GESSO</t>
  </si>
  <si>
    <t>03.01.02</t>
  </si>
  <si>
    <t>03.01.03</t>
  </si>
  <si>
    <t>24.01.01</t>
  </si>
  <si>
    <t>PASSARELA</t>
  </si>
  <si>
    <t>Z000096003</t>
  </si>
  <si>
    <t>03.01.04</t>
  </si>
  <si>
    <t>24.01.02</t>
  </si>
  <si>
    <t>16.01.02.01</t>
  </si>
  <si>
    <t>03.01.05</t>
  </si>
  <si>
    <t>24.01.03</t>
  </si>
  <si>
    <t>16.01.02.02</t>
  </si>
  <si>
    <t>Z000096005</t>
  </si>
  <si>
    <t>03.01.06</t>
  </si>
  <si>
    <t>AUXILIAR DE ALMOXARIFE - MENSALISTA</t>
  </si>
  <si>
    <t>Z040314001</t>
  </si>
  <si>
    <t>24.01.04</t>
  </si>
  <si>
    <t>MATERIAL PARA PERGOLADO DE ALUMINIO</t>
  </si>
  <si>
    <t>16.01.02.03</t>
  </si>
  <si>
    <t>MONTAGEM DE ARMADURA - ESTACAS</t>
  </si>
  <si>
    <t>03.01.07</t>
  </si>
  <si>
    <t>24.06.01.01</t>
  </si>
  <si>
    <t>Z040314002</t>
  </si>
  <si>
    <t>24.01.05</t>
  </si>
  <si>
    <t>16.01.02.04</t>
  </si>
  <si>
    <t>03.01.08</t>
  </si>
  <si>
    <t>24.06.01.02</t>
  </si>
  <si>
    <t>Z040314003</t>
  </si>
  <si>
    <t>24.01.06</t>
  </si>
  <si>
    <t>16.01.02.05</t>
  </si>
  <si>
    <t>BLOCOS E CINTAS - EXECUCAO DE ESCAVACAO/</t>
  </si>
  <si>
    <t>03.01.09</t>
  </si>
  <si>
    <t>Z070205010</t>
  </si>
  <si>
    <t>24.06.01.03</t>
  </si>
  <si>
    <t>16.01.02.06</t>
  </si>
  <si>
    <t>PEDRA NATURAL A DEFINIR - PISO OU PAREDE</t>
  </si>
  <si>
    <t>Z010501001</t>
  </si>
  <si>
    <t>Z070205011</t>
  </si>
  <si>
    <t>OPERADOR DE MAQUINAS - MENSALISTA</t>
  </si>
  <si>
    <t>24.06.01.04</t>
  </si>
  <si>
    <t>16.01.02.07</t>
  </si>
  <si>
    <t>24.06.01.05</t>
  </si>
  <si>
    <t>16.01.02.08</t>
  </si>
  <si>
    <t>16.01.02.09</t>
  </si>
  <si>
    <t>02.06.01</t>
  </si>
  <si>
    <t>GUARDA CORPO BALAÚSTRE</t>
  </si>
  <si>
    <t>21.07.01</t>
  </si>
  <si>
    <t>Z070401001</t>
  </si>
  <si>
    <t>Z000011021</t>
  </si>
  <si>
    <t>Z070401002</t>
  </si>
  <si>
    <t>Z000161025</t>
  </si>
  <si>
    <t>Z070401003</t>
  </si>
  <si>
    <t>Z020108005</t>
  </si>
  <si>
    <t>Z000161027</t>
  </si>
  <si>
    <t>REGULARIZACAO E INCORPORACAO DE OBRA</t>
  </si>
  <si>
    <t>Z060101065</t>
  </si>
  <si>
    <t>Z040305001</t>
  </si>
  <si>
    <t>PORTAS - ESQUADRIA DE PVC E VIDRO</t>
  </si>
  <si>
    <t>Z040305002</t>
  </si>
  <si>
    <t>Z040305003</t>
  </si>
  <si>
    <t>Z040305004</t>
  </si>
  <si>
    <t>ESTRUTURA METALICA - EXECUCAO DE</t>
  </si>
  <si>
    <t>Z000163069</t>
  </si>
  <si>
    <t>Z020501001</t>
  </si>
  <si>
    <t>Z000151002</t>
  </si>
  <si>
    <t>Z040305006</t>
  </si>
  <si>
    <t>AUTOMATIZACAO DE IRRIGACAO - INDICE</t>
  </si>
  <si>
    <t>Z040305007</t>
  </si>
  <si>
    <t>Z020501004</t>
  </si>
  <si>
    <t>Z020501005</t>
  </si>
  <si>
    <t>Z000151006</t>
  </si>
  <si>
    <t>Z020501006</t>
  </si>
  <si>
    <t>03.01.10</t>
  </si>
  <si>
    <t>Z000078001</t>
  </si>
  <si>
    <t>MATERIAL PARA REVESTIMENTO EM ACM</t>
  </si>
  <si>
    <t>MASSA PLASTICA P/ MARMORE/GRANITO</t>
  </si>
  <si>
    <t>Z000078002</t>
  </si>
  <si>
    <t>Z010304001</t>
  </si>
  <si>
    <t>Z020313001</t>
  </si>
  <si>
    <t>Z010304002</t>
  </si>
  <si>
    <t>Z000078003</t>
  </si>
  <si>
    <t>Z020313002</t>
  </si>
  <si>
    <t>16.01.02.10</t>
  </si>
  <si>
    <t>16.01.02.11</t>
  </si>
  <si>
    <t>16.01.02.12</t>
  </si>
  <si>
    <t>Z000078006</t>
  </si>
  <si>
    <t>16.01.02.13</t>
  </si>
  <si>
    <t>Z040314012</t>
  </si>
  <si>
    <t>Z040314013</t>
  </si>
  <si>
    <t>Z000078009</t>
  </si>
  <si>
    <t>Z040314014</t>
  </si>
  <si>
    <t>NIVELADOR DE PISO CLIPS</t>
  </si>
  <si>
    <t>Z070204004</t>
  </si>
  <si>
    <t>Z040314015</t>
  </si>
  <si>
    <t>Z020607003</t>
  </si>
  <si>
    <t>CIMENTO BRANCO</t>
  </si>
  <si>
    <t>Z000143020</t>
  </si>
  <si>
    <t>Z040314016</t>
  </si>
  <si>
    <t>Z020607004</t>
  </si>
  <si>
    <t>Z000143021</t>
  </si>
  <si>
    <t>Z070204006</t>
  </si>
  <si>
    <t>Z040314017</t>
  </si>
  <si>
    <t>MATERIAL PARA ESTRUTURA PARA LAREIRA</t>
  </si>
  <si>
    <t>Z000161031</t>
  </si>
  <si>
    <t>08.09.01</t>
  </si>
  <si>
    <t>Z070204007</t>
  </si>
  <si>
    <t>Z040314018</t>
  </si>
  <si>
    <t>Z000161032</t>
  </si>
  <si>
    <t>CERAMICA INDUSTRIAL 30 X 30 GAIL</t>
  </si>
  <si>
    <t>Z070204008</t>
  </si>
  <si>
    <t>Z000142007</t>
  </si>
  <si>
    <t>CORREIOS E MALOTES</t>
  </si>
  <si>
    <t>EQUIPE ADM - ALMOXARIFE</t>
  </si>
  <si>
    <t>EQUIPE ADM</t>
  </si>
  <si>
    <t>FORRO DE MADEIRA NATURAL</t>
  </si>
  <si>
    <t>LONA PLASTICA EXTRA FORTE PRETA E = 200 MICRA</t>
  </si>
  <si>
    <t>PROTETOR DE PISO - AC</t>
  </si>
  <si>
    <t>OBRA</t>
  </si>
  <si>
    <t>23.14.01</t>
  </si>
  <si>
    <t>COLA PU PARA PISO DE MADEIRA</t>
  </si>
  <si>
    <t>MATERIAL PARA TABICA METALICA</t>
  </si>
  <si>
    <t>Z000151016</t>
  </si>
  <si>
    <t>ACO CA-50 16.0 MM</t>
  </si>
  <si>
    <t>MOVIMENTAÇÃO DE TERRA</t>
  </si>
  <si>
    <t>PROJETO CANTEIRO DE OBRAS</t>
  </si>
  <si>
    <t>SISTEMA DE IRRIGACAO - INDICE</t>
  </si>
  <si>
    <t>Z000095002</t>
  </si>
  <si>
    <t>INSTALAÇÕES DE SUBESTAÇÃO ABRIGADA</t>
  </si>
  <si>
    <t>16.01.01.01</t>
  </si>
  <si>
    <t>16.01.01.02</t>
  </si>
  <si>
    <t>Z000078013</t>
  </si>
  <si>
    <t>Z040313001</t>
  </si>
  <si>
    <t>16.01.01.03</t>
  </si>
  <si>
    <t>Z040313002</t>
  </si>
  <si>
    <t>16.01.01.04</t>
  </si>
  <si>
    <t>16.01.01.05</t>
  </si>
  <si>
    <t>Z070204010</t>
  </si>
  <si>
    <t>16.01.01.06</t>
  </si>
  <si>
    <t>PROTETOR DE PISO - AP</t>
  </si>
  <si>
    <t>Z070204011</t>
  </si>
  <si>
    <t>Z000142010</t>
  </si>
  <si>
    <t>Z070204012</t>
  </si>
  <si>
    <t>Z000142011</t>
  </si>
  <si>
    <t>Z070204013</t>
  </si>
  <si>
    <t>FECHADURA P/ PORTA DE MADEIRA</t>
  </si>
  <si>
    <t>Z000142012</t>
  </si>
  <si>
    <t>02.05.01</t>
  </si>
  <si>
    <t>Z070204014</t>
  </si>
  <si>
    <t>Z000239005</t>
  </si>
  <si>
    <t>PLOTAGENS</t>
  </si>
  <si>
    <t>Z070204015</t>
  </si>
  <si>
    <t>21.06.01</t>
  </si>
  <si>
    <t>Z000142014</t>
  </si>
  <si>
    <t>MATERIAL PARA FORRO DE MADEIRA NATURAL</t>
  </si>
  <si>
    <t>Z070204016</t>
  </si>
  <si>
    <t>23.05.01</t>
  </si>
  <si>
    <t>Z000124006</t>
  </si>
  <si>
    <t>Z070204017</t>
  </si>
  <si>
    <t>Z020803001</t>
  </si>
  <si>
    <t>Z020107004</t>
  </si>
  <si>
    <t>Z070204018</t>
  </si>
  <si>
    <t>Z000239009</t>
  </si>
  <si>
    <t>Z020607017</t>
  </si>
  <si>
    <t>Z000086001</t>
  </si>
  <si>
    <t>Z070204019</t>
  </si>
  <si>
    <t>Z020107006</t>
  </si>
  <si>
    <t>PROJETO SPDA</t>
  </si>
  <si>
    <t>MATERIAL PARA INSTALACOES DADOS - INDICE M2</t>
  </si>
  <si>
    <t>MATERIAL PARA PAREDE DE DRYWALL</t>
  </si>
  <si>
    <t>ENERGIA ELETRICA</t>
  </si>
  <si>
    <t>QUARTZITO PERLA SANTANA - BANCO</t>
  </si>
  <si>
    <t>ARMADOR - HORISTA</t>
  </si>
  <si>
    <t>MATERIAL PARA REVESTIMENTO EM HPL</t>
  </si>
  <si>
    <t>Z040304001</t>
  </si>
  <si>
    <t>CONSULTORIA PROJETO DE ARQUITETURA</t>
  </si>
  <si>
    <t>PISO EM MADEIRA - ÁREA COMUM</t>
  </si>
  <si>
    <t>Z040304002</t>
  </si>
  <si>
    <t>CARRO</t>
  </si>
  <si>
    <t>Z040304004</t>
  </si>
  <si>
    <t>ESTRUTURA - CUSTOS COM CONCRETO</t>
  </si>
  <si>
    <t>Z040304005</t>
  </si>
  <si>
    <t>BLOCOS E CINTAS - CUSTOS COM ARMACAO</t>
  </si>
  <si>
    <t>HABITE-SE</t>
  </si>
  <si>
    <t>Z040304006</t>
  </si>
  <si>
    <t>Z040304007</t>
  </si>
  <si>
    <t>Z000133013</t>
  </si>
  <si>
    <t>Z040304008</t>
  </si>
  <si>
    <t>BOMBAS, FILTROS E ACESSORIOS DE PISCINAS</t>
  </si>
  <si>
    <t>FRETE - REVESTIMENTO DE CONCRETO</t>
  </si>
  <si>
    <t>Z000133014</t>
  </si>
  <si>
    <t>Z030107001</t>
  </si>
  <si>
    <t>GUARDA CORPO</t>
  </si>
  <si>
    <t>GRANITO ACQUAMARINE POLIDO - BALCAO</t>
  </si>
  <si>
    <t>Z010303001</t>
  </si>
  <si>
    <t>Z020312001</t>
  </si>
  <si>
    <t>Z010303002</t>
  </si>
  <si>
    <t>LIMPEZA DE OBRA - LIMPEZA BRUTA</t>
  </si>
  <si>
    <t>Z020312002</t>
  </si>
  <si>
    <t>Z010303003</t>
  </si>
  <si>
    <t>FORROS DE GESSO</t>
  </si>
  <si>
    <t>ROLO COMPACTADOR DE PNEUS, ESTATICO - CHI</t>
  </si>
  <si>
    <t>Z040313010</t>
  </si>
  <si>
    <t>Z040313011</t>
  </si>
  <si>
    <t>Z010303007</t>
  </si>
  <si>
    <t>Z040313012</t>
  </si>
  <si>
    <t>Z070204020</t>
  </si>
  <si>
    <t>Z070203003</t>
  </si>
  <si>
    <t>Z000239011</t>
  </si>
  <si>
    <t>Z040313014</t>
  </si>
  <si>
    <t>CORIAN BRANCO COM MOLDURA RIPADO - BALCAO</t>
  </si>
  <si>
    <t>ENCANADOR - HORISTA</t>
  </si>
  <si>
    <t>Z070204022</t>
  </si>
  <si>
    <t>Z070203005</t>
  </si>
  <si>
    <t>MESTRE DE OBRA - MENSALISTA</t>
  </si>
  <si>
    <t>EQUIPAMENTOS - INDICE</t>
  </si>
  <si>
    <t>Z070204023</t>
  </si>
  <si>
    <t>Z070203006</t>
  </si>
  <si>
    <t>ROLO COMPACTADOR DE PNEUS, ESTATICO - CHP</t>
  </si>
  <si>
    <t>Z040313017</t>
  </si>
  <si>
    <t>Z000141005</t>
  </si>
  <si>
    <t>08.08.01</t>
  </si>
  <si>
    <t>Z070204024</t>
  </si>
  <si>
    <t>Z070203007</t>
  </si>
  <si>
    <t>Z040313018</t>
  </si>
  <si>
    <t>Z000141006</t>
  </si>
  <si>
    <t>08.08.02</t>
  </si>
  <si>
    <t>Z040313019</t>
  </si>
  <si>
    <t>SERVICO DE REBOCO INTERNO - TERCEIRIZADO</t>
  </si>
  <si>
    <t>08.08.03</t>
  </si>
  <si>
    <t>Z070204026</t>
  </si>
  <si>
    <t>LIMPEZA DE OBRA - LIMPEZA FINAL</t>
  </si>
  <si>
    <t>Z000141008</t>
  </si>
  <si>
    <t>08.08.04</t>
  </si>
  <si>
    <t>Z070204027</t>
  </si>
  <si>
    <t>SERVIÇOS COMPLEMENTARES</t>
  </si>
  <si>
    <t>Z020107014</t>
  </si>
  <si>
    <t>08.08.05</t>
  </si>
  <si>
    <t>Z070204028</t>
  </si>
  <si>
    <t>Z020107015</t>
  </si>
  <si>
    <t>Z020303001</t>
  </si>
  <si>
    <t>INSTALACOES HIDROSSANITARIAS - INDICE EP</t>
  </si>
  <si>
    <t>Z020303002</t>
  </si>
  <si>
    <t>Z000247001</t>
  </si>
  <si>
    <t>Z040304012</t>
  </si>
  <si>
    <t>Z040304013</t>
  </si>
  <si>
    <t>Z020303008</t>
  </si>
  <si>
    <t>VERBA PARA NOTEBOOKS E DESKTOPS</t>
  </si>
  <si>
    <t>Z020303009</t>
  </si>
  <si>
    <t>Z010106001</t>
  </si>
  <si>
    <t>Z010106002</t>
  </si>
  <si>
    <t>Z000247006</t>
  </si>
  <si>
    <t>21.14.01</t>
  </si>
  <si>
    <t>Z010106003</t>
  </si>
  <si>
    <t>Z010106004</t>
  </si>
  <si>
    <t>23.13.01</t>
  </si>
  <si>
    <t>Z010802001</t>
  </si>
  <si>
    <t>Z010106005</t>
  </si>
  <si>
    <t>VIDROS</t>
  </si>
  <si>
    <t>Z000132007</t>
  </si>
  <si>
    <t>VIAGENS E HOSPEDAGEM</t>
  </si>
  <si>
    <t>ESPUMA EXPANSIVA DE POLIURETANO - 500 ML</t>
  </si>
  <si>
    <t>Z000094001</t>
  </si>
  <si>
    <t>PORTAS</t>
  </si>
  <si>
    <t>Z000094002</t>
  </si>
  <si>
    <t>APROVACAO E VISTORIA DO CORPO DE BOMBEIROS</t>
  </si>
  <si>
    <t>Z040312001</t>
  </si>
  <si>
    <t>PISO EM PEDRAS - APARTAMENTO</t>
  </si>
  <si>
    <t>Z040312002</t>
  </si>
  <si>
    <t>Z040313020</t>
  </si>
  <si>
    <t>Z040312003</t>
  </si>
  <si>
    <t>Z070203010</t>
  </si>
  <si>
    <t>Z040312004</t>
  </si>
  <si>
    <t>Z040313022</t>
  </si>
  <si>
    <t>Z040312005</t>
  </si>
  <si>
    <t>AREIA GROSSA</t>
  </si>
  <si>
    <t>Z070203012</t>
  </si>
  <si>
    <t>Z040313023</t>
  </si>
  <si>
    <t>Z040312006</t>
  </si>
  <si>
    <t>Z070204030</t>
  </si>
  <si>
    <t>Z070203013</t>
  </si>
  <si>
    <t>Z040313024</t>
  </si>
  <si>
    <t>Z040312007</t>
  </si>
  <si>
    <t>Z070204031</t>
  </si>
  <si>
    <t>02.04.01</t>
  </si>
  <si>
    <t>Z040313025</t>
  </si>
  <si>
    <t>Z040312008</t>
  </si>
  <si>
    <t>Z020106001</t>
  </si>
  <si>
    <t>Z000123004</t>
  </si>
  <si>
    <t>REMOCAO DE ENTULHO DE DEMOLICAO</t>
  </si>
  <si>
    <t>Z070203015</t>
  </si>
  <si>
    <t>Z040312009</t>
  </si>
  <si>
    <t>21.05.01</t>
  </si>
  <si>
    <t>PASTILHA CERAMICA A DEFINIR</t>
  </si>
  <si>
    <t>Z020106002</t>
  </si>
  <si>
    <t>Z000123005</t>
  </si>
  <si>
    <t>Z000123007</t>
  </si>
  <si>
    <t>Z070204035</t>
  </si>
  <si>
    <t>Z020106005</t>
  </si>
  <si>
    <t>Z000085001</t>
  </si>
  <si>
    <t>Z070204036</t>
  </si>
  <si>
    <t>LOCACAO DE FORMA DE LAJE PLANA PLANEX</t>
  </si>
  <si>
    <t>Z020106007</t>
  </si>
  <si>
    <t>CORTE E DOBRA DE ACO - ESTRUTURA</t>
  </si>
  <si>
    <t>Z020303010</t>
  </si>
  <si>
    <t>FRETE - PORCELANATO</t>
  </si>
  <si>
    <t>Z020106008</t>
  </si>
  <si>
    <t>ARGAMASSA POLIMERICA COM FIBRAS (3,0KG/M2)</t>
  </si>
  <si>
    <t>MAO DE OBRA PARA PAISAGISMO - INDICE</t>
  </si>
  <si>
    <t>Z040303002</t>
  </si>
  <si>
    <t>DOACOES</t>
  </si>
  <si>
    <t>COMPENSACAO AMBIENTAL</t>
  </si>
  <si>
    <t>Z040303003</t>
  </si>
  <si>
    <t>REATERRO MECANIZADO PARA SAPATAS</t>
  </si>
  <si>
    <t>Z000247011</t>
  </si>
  <si>
    <t>Z040303005</t>
  </si>
  <si>
    <t>Z020614003</t>
  </si>
  <si>
    <t>PREGO DE ACO POLIDO COM CABECA 15 X 15</t>
  </si>
  <si>
    <t>Z000114003</t>
  </si>
  <si>
    <t>Z040303007</t>
  </si>
  <si>
    <t>08.16.01</t>
  </si>
  <si>
    <t>Z040303008</t>
  </si>
  <si>
    <t>QUARTZITO BIANCATTO - PISO OU PAREDE</t>
  </si>
  <si>
    <t>Z030106001</t>
  </si>
  <si>
    <t>08.16.02</t>
  </si>
  <si>
    <t>Z040303009</t>
  </si>
  <si>
    <t>IMPRESSORA</t>
  </si>
  <si>
    <t>Z030106002</t>
  </si>
  <si>
    <t>Z000076001</t>
  </si>
  <si>
    <t>RESERVATÓRIO</t>
  </si>
  <si>
    <t>Z000076002</t>
  </si>
  <si>
    <t>TAPUME COM TELHA METALICA</t>
  </si>
  <si>
    <t>LAUDO DE ATERRAMENTO (SPDA)</t>
  </si>
  <si>
    <t>Z020409010</t>
  </si>
  <si>
    <t>Z020311001</t>
  </si>
  <si>
    <t>Z000076003</t>
  </si>
  <si>
    <t>Z020311002</t>
  </si>
  <si>
    <t>EQUIPE ADM - ENCARREGADO DE OBRAS</t>
  </si>
  <si>
    <t>Z040312010</t>
  </si>
  <si>
    <t>CLARABOIA</t>
  </si>
  <si>
    <t>Z040312011</t>
  </si>
  <si>
    <t>ESQUADRIAS DE ALUMÍNIO E VIDRO</t>
  </si>
  <si>
    <t>Z070202001</t>
  </si>
  <si>
    <t>CONTEINER HABITAVEL</t>
  </si>
  <si>
    <t>Z020409016</t>
  </si>
  <si>
    <t>CERA LIQUIDA INCOLOR MULTIPISO</t>
  </si>
  <si>
    <t>AREIA MEDIA</t>
  </si>
  <si>
    <t>PROJETO ARQUITETURA</t>
  </si>
  <si>
    <t>Z070203022</t>
  </si>
  <si>
    <t>01.04.01</t>
  </si>
  <si>
    <t>Z020605004</t>
  </si>
  <si>
    <t>DESPESAS ADMINISTRATIVAS</t>
  </si>
  <si>
    <t>Z020605005</t>
  </si>
  <si>
    <t>08.07.01</t>
  </si>
  <si>
    <t>Z070203024</t>
  </si>
  <si>
    <t>08.07.02</t>
  </si>
  <si>
    <t>Z070203025</t>
  </si>
  <si>
    <t>08.07.03</t>
  </si>
  <si>
    <t>Z070203026</t>
  </si>
  <si>
    <t>Z020605008</t>
  </si>
  <si>
    <t>TRELICA NERVURADA (ESPACADOR)</t>
  </si>
  <si>
    <t>Z070203027</t>
  </si>
  <si>
    <t>Z070203028</t>
  </si>
  <si>
    <t>PISOS / REVESTIMENTOS APARTAMENTO</t>
  </si>
  <si>
    <t>ACO CA-50 12.5 MM</t>
  </si>
  <si>
    <t>Z020607048</t>
  </si>
  <si>
    <t>Z020302004</t>
  </si>
  <si>
    <t>Z040303010</t>
  </si>
  <si>
    <t>Z020607049</t>
  </si>
  <si>
    <t>Z020302005</t>
  </si>
  <si>
    <t>Z040303011</t>
  </si>
  <si>
    <t>CIMENTO PORTLAND COMPOSTO CP II-32</t>
  </si>
  <si>
    <t>Z000246001</t>
  </si>
  <si>
    <t>Z040303012</t>
  </si>
  <si>
    <t>Z000246002</t>
  </si>
  <si>
    <t>Z040303013</t>
  </si>
  <si>
    <t>Z000246003</t>
  </si>
  <si>
    <t>Z040303014</t>
  </si>
  <si>
    <t>PLANIALTIMETRICO</t>
  </si>
  <si>
    <t>Z000246004</t>
  </si>
  <si>
    <t>Z040303015</t>
  </si>
  <si>
    <t>Z010105001</t>
  </si>
  <si>
    <t>Z000247022</t>
  </si>
  <si>
    <t>Z000246005</t>
  </si>
  <si>
    <t>RIPAS VIA MURE 110X10CM</t>
  </si>
  <si>
    <t>METAIS</t>
  </si>
  <si>
    <t>Z000131004</t>
  </si>
  <si>
    <t>REBOCO / CHAPISCO</t>
  </si>
  <si>
    <t>Z040303016</t>
  </si>
  <si>
    <t>BLOCOS E CINTAS - CUSTOS COM CONCRETO</t>
  </si>
  <si>
    <t>05.01.02.01</t>
  </si>
  <si>
    <t>Z000246006</t>
  </si>
  <si>
    <t>21.13.01</t>
  </si>
  <si>
    <t>14.01.03.01</t>
  </si>
  <si>
    <t>Z000131005</t>
  </si>
  <si>
    <t>Z040303017</t>
  </si>
  <si>
    <t>05.01.02.02</t>
  </si>
  <si>
    <t>Z000246007</t>
  </si>
  <si>
    <t>14.01.03.02</t>
  </si>
  <si>
    <t>Z010801001</t>
  </si>
  <si>
    <t>Z040303018</t>
  </si>
  <si>
    <t>Z000246008</t>
  </si>
  <si>
    <t>GERADOR - MAO DE OBRA PARA INSTALACAO</t>
  </si>
  <si>
    <t>14.01.03.03</t>
  </si>
  <si>
    <t>Z040303019</t>
  </si>
  <si>
    <t>14.01.03.04</t>
  </si>
  <si>
    <t>Z000093001</t>
  </si>
  <si>
    <t>14.01.03.05</t>
  </si>
  <si>
    <t>Z000093002</t>
  </si>
  <si>
    <t>LOCAÇÃO DE MÁQUINAS E VEÍCULOS - MENSAL</t>
  </si>
  <si>
    <t>DESPESAS DE CARTORIO E REGISTRO</t>
  </si>
  <si>
    <t>Z011301001</t>
  </si>
  <si>
    <t>14.01.03.06</t>
  </si>
  <si>
    <t>Z000093003</t>
  </si>
  <si>
    <t>14.01.03.07</t>
  </si>
  <si>
    <t>MASSA CORRIDA BASE PVA</t>
  </si>
  <si>
    <t>14.01.03.08</t>
  </si>
  <si>
    <t>Z030302002</t>
  </si>
  <si>
    <t>Z020408004</t>
  </si>
  <si>
    <t>ARGAMASSA PARA REBOCO ENSACADO</t>
  </si>
  <si>
    <t>Z040311002</t>
  </si>
  <si>
    <t>CARPINTEIRO DE FORMA - HORISTA</t>
  </si>
  <si>
    <t>Z040311003</t>
  </si>
  <si>
    <t>Z040311004</t>
  </si>
  <si>
    <t>Z000237002</t>
  </si>
  <si>
    <t>Z040311005</t>
  </si>
  <si>
    <t>Z000237003</t>
  </si>
  <si>
    <t>Z040311006</t>
  </si>
  <si>
    <t>Z000237004</t>
  </si>
  <si>
    <t>Z040311007</t>
  </si>
  <si>
    <t>02.03.01</t>
  </si>
  <si>
    <t>Z040311008</t>
  </si>
  <si>
    <t>02.03.02</t>
  </si>
  <si>
    <t>Z040311009</t>
  </si>
  <si>
    <t>21.04.01</t>
  </si>
  <si>
    <t>Z020105002</t>
  </si>
  <si>
    <t>02.03.03</t>
  </si>
  <si>
    <t>MOBILIARIO PARA BARRACO</t>
  </si>
  <si>
    <t>02.03.04</t>
  </si>
  <si>
    <t>Z020801001</t>
  </si>
  <si>
    <t>Z020607050</t>
  </si>
  <si>
    <t>Z020607051</t>
  </si>
  <si>
    <t>PEDRA BRITADA N. 0</t>
  </si>
  <si>
    <t>Z000084001</t>
  </si>
  <si>
    <t>Z020607052</t>
  </si>
  <si>
    <t>Z020801003</t>
  </si>
  <si>
    <t>PEDRA BRITADA N. 1</t>
  </si>
  <si>
    <t>Z020607053</t>
  </si>
  <si>
    <t>PISO EM MATERIAL SINTÉTICO - ÁREA COMUM</t>
  </si>
  <si>
    <t>Z000084003</t>
  </si>
  <si>
    <t>Z020607054</t>
  </si>
  <si>
    <t>Z020105008</t>
  </si>
  <si>
    <t>OBRA DO LAGO - INDICE VB</t>
  </si>
  <si>
    <t>Z020607055</t>
  </si>
  <si>
    <t>POLIDORA DE PISO (POLITRIZ) - CHI</t>
  </si>
  <si>
    <t>SERVICO DE SOLO GRAMPEADO (MAT E MO)</t>
  </si>
  <si>
    <t>Z040303020</t>
  </si>
  <si>
    <t>Z020613001</t>
  </si>
  <si>
    <t>Z000246010</t>
  </si>
  <si>
    <t>Z040302004</t>
  </si>
  <si>
    <t>Z040303022</t>
  </si>
  <si>
    <t>AVTO AGUA E ENERGIA</t>
  </si>
  <si>
    <t>EQUIPE ADM - ESTAGIARIO</t>
  </si>
  <si>
    <t>10.04.01</t>
  </si>
  <si>
    <t>Z040303024</t>
  </si>
  <si>
    <t>TELEFONE</t>
  </si>
  <si>
    <t>ARGAMASSA USINADA PARA CONTRAPISO</t>
  </si>
  <si>
    <t>POLIDORA DE PISO (POLITRIZ) - CHP</t>
  </si>
  <si>
    <t>MATERIAL PARA INSTALACOES DE GLP - INDICE M2</t>
  </si>
  <si>
    <t>Z030105002</t>
  </si>
  <si>
    <t>Z030105003</t>
  </si>
  <si>
    <t>Z040303029</t>
  </si>
  <si>
    <t>Z000075001</t>
  </si>
  <si>
    <t>Z000075002</t>
  </si>
  <si>
    <t>Z010301001</t>
  </si>
  <si>
    <t>Z010301002</t>
  </si>
  <si>
    <t>Z000075003</t>
  </si>
  <si>
    <t>Z000075004</t>
  </si>
  <si>
    <t>Z040311010</t>
  </si>
  <si>
    <t>Z040311011</t>
  </si>
  <si>
    <t>BLOCOS E CINTAS - SISTEMA DE</t>
  </si>
  <si>
    <t>Z070201001</t>
  </si>
  <si>
    <t>EQUIPE ADM - MESTRE DE OBRA</t>
  </si>
  <si>
    <t>Z040311012</t>
  </si>
  <si>
    <t>Z000219001</t>
  </si>
  <si>
    <t>Z040311013</t>
  </si>
  <si>
    <t>Z020604001</t>
  </si>
  <si>
    <t>PÇ</t>
  </si>
  <si>
    <t>Z000219002</t>
  </si>
  <si>
    <t>Z040311014</t>
  </si>
  <si>
    <t>Z020604002</t>
  </si>
  <si>
    <t>Z040311015</t>
  </si>
  <si>
    <t>Z000104002</t>
  </si>
  <si>
    <t>01.03.01</t>
  </si>
  <si>
    <t>Z040311016</t>
  </si>
  <si>
    <t>Z020604004</t>
  </si>
  <si>
    <t>Z040311017</t>
  </si>
  <si>
    <t>GUARDA CORPO DE VIDRO CURVO</t>
  </si>
  <si>
    <t>Z020604005</t>
  </si>
  <si>
    <t>08.06.01</t>
  </si>
  <si>
    <t>22.03.01</t>
  </si>
  <si>
    <t>Z040311018</t>
  </si>
  <si>
    <t>Z000122014</t>
  </si>
  <si>
    <t>08.06.02</t>
  </si>
  <si>
    <t>TABLET</t>
  </si>
  <si>
    <t>Z040311019</t>
  </si>
  <si>
    <t>Z000122015</t>
  </si>
  <si>
    <t>08.06.03</t>
  </si>
  <si>
    <t>QUADRA</t>
  </si>
  <si>
    <t>08.06.04</t>
  </si>
  <si>
    <t>08.06.05</t>
  </si>
  <si>
    <t>AQUISICAO/ASSINATURA CONSTRUFLOW</t>
  </si>
  <si>
    <t>08.06.06</t>
  </si>
  <si>
    <t>Z000084011</t>
  </si>
  <si>
    <t>Z020301001</t>
  </si>
  <si>
    <t>FRETE - PEDRAS NATURAIS</t>
  </si>
  <si>
    <t>Z000084012</t>
  </si>
  <si>
    <t>08.06.07</t>
  </si>
  <si>
    <t>EQUIPE APOIO</t>
  </si>
  <si>
    <t>08.06.08</t>
  </si>
  <si>
    <t>Z020301003</t>
  </si>
  <si>
    <t>08.06.09</t>
  </si>
  <si>
    <t>Z020302021</t>
  </si>
  <si>
    <t>Z020302022</t>
  </si>
  <si>
    <t>OUTORGA DE USO DE RECURSOS HIDRICOS</t>
  </si>
  <si>
    <t>Z000084017</t>
  </si>
  <si>
    <t>Z020301007</t>
  </si>
  <si>
    <t>Z040303030</t>
  </si>
  <si>
    <t>Z000245003</t>
  </si>
  <si>
    <t>SERVICO DE CONTRAPISO - TERCEIRIZADO</t>
  </si>
  <si>
    <t>PROJETO PAISAGISMO</t>
  </si>
  <si>
    <t>ENGENHEIRO CIVIL GERENTE REGIONAL PJ</t>
  </si>
  <si>
    <t>Z000245004</t>
  </si>
  <si>
    <t>Z010104001</t>
  </si>
  <si>
    <t>Z040302015</t>
  </si>
  <si>
    <t>COMBUSTIVEIS E LUBRIFICANTES OBRA</t>
  </si>
  <si>
    <t>TAPUME DE OBRA</t>
  </si>
  <si>
    <t>EPC - INDICE</t>
  </si>
  <si>
    <t>Z000245005</t>
  </si>
  <si>
    <t>PINO DE ACO COM FURO HASTE = 27 MM</t>
  </si>
  <si>
    <t>Z040302016</t>
  </si>
  <si>
    <t>05.01.01.01</t>
  </si>
  <si>
    <t>21.12.01</t>
  </si>
  <si>
    <t>14.01.02.01</t>
  </si>
  <si>
    <t>Z040302017</t>
  </si>
  <si>
    <t>05.01.01.02</t>
  </si>
  <si>
    <t>PROJETO HIDROSANITARIO</t>
  </si>
  <si>
    <t>14.01.02.02</t>
  </si>
  <si>
    <t>Z040302018</t>
  </si>
  <si>
    <t>05.01.01.03</t>
  </si>
  <si>
    <t>PROJETO LUMINOTECNICO</t>
  </si>
  <si>
    <t>14.01.02.03</t>
  </si>
  <si>
    <t>Z040302019</t>
  </si>
  <si>
    <t>05.01.01.04</t>
  </si>
  <si>
    <t>14.01.02.04</t>
  </si>
  <si>
    <t>Z050105001</t>
  </si>
  <si>
    <t>05.01.01.05</t>
  </si>
  <si>
    <t>14.01.02.05</t>
  </si>
  <si>
    <t>Z050105002</t>
  </si>
  <si>
    <t>05.01.01.06</t>
  </si>
  <si>
    <t>DOBRADICAS COM MOLA 4X3X3MM</t>
  </si>
  <si>
    <t>14.01.02.06</t>
  </si>
  <si>
    <t>PEDREIRO - MENSALISTA</t>
  </si>
  <si>
    <t>GERADOR - EQUIPAMENTO</t>
  </si>
  <si>
    <t>14.01.02.07</t>
  </si>
  <si>
    <t>BANHEIRO QUIMICO / MOVEL</t>
  </si>
  <si>
    <t>14.01.02.08</t>
  </si>
  <si>
    <t>Z030301001</t>
  </si>
  <si>
    <t>14.01.02.09</t>
  </si>
  <si>
    <t>SERVICOS DE TOPOGRAFIA MENSAL</t>
  </si>
  <si>
    <t>ADESIVO PLASTICO PARA PVC, FRASCO COM 850 G</t>
  </si>
  <si>
    <t>PLUVIAL</t>
  </si>
  <si>
    <t>Z040311020</t>
  </si>
  <si>
    <t>Z000236001</t>
  </si>
  <si>
    <t>Z040311021</t>
  </si>
  <si>
    <t>Z040310004</t>
  </si>
  <si>
    <t>Z040311022</t>
  </si>
  <si>
    <t>Z040310005</t>
  </si>
  <si>
    <t>ARGAMASSA USINADA BOMBEAVEL, FCK = 20MPA</t>
  </si>
  <si>
    <t>LOCACAO MENSAL - CAMINHAO MUCK</t>
  </si>
  <si>
    <t>Z040311023</t>
  </si>
  <si>
    <t>Z040310006</t>
  </si>
  <si>
    <t>Z040311024</t>
  </si>
  <si>
    <t>Z040310007</t>
  </si>
  <si>
    <t>02.02.01</t>
  </si>
  <si>
    <t>Z040311025</t>
  </si>
  <si>
    <t>21.03.01</t>
  </si>
  <si>
    <t>Z040310009</t>
  </si>
  <si>
    <t>08.06.10</t>
  </si>
  <si>
    <t>IMPORTACAO DE MATERIAL GRANULAR</t>
  </si>
  <si>
    <t>23.02.01</t>
  </si>
  <si>
    <t>Z000083001</t>
  </si>
  <si>
    <t>LOUÇAS E METAIS APARTAMENTO</t>
  </si>
  <si>
    <t>Z020104008</t>
  </si>
  <si>
    <t>Z020104009</t>
  </si>
  <si>
    <t>Z000084022</t>
  </si>
  <si>
    <t>Z000083005</t>
  </si>
  <si>
    <t>Z020105027</t>
  </si>
  <si>
    <t>Z000084023</t>
  </si>
  <si>
    <t>Z000083006</t>
  </si>
  <si>
    <t>Z040301001</t>
  </si>
  <si>
    <t>UN</t>
  </si>
  <si>
    <t>MOTOR PARA PORTAO A DEFINIR</t>
  </si>
  <si>
    <t>Z040301002</t>
  </si>
  <si>
    <t>Z010603001</t>
  </si>
  <si>
    <t>GRANITO VIA LACTEA POLIDO - RODAPE</t>
  </si>
  <si>
    <t>Z040302020</t>
  </si>
  <si>
    <t>Z040301003</t>
  </si>
  <si>
    <t>Z020612001</t>
  </si>
  <si>
    <t>Z040302021</t>
  </si>
  <si>
    <t>Z040301007</t>
  </si>
  <si>
    <t>12.02.01</t>
  </si>
  <si>
    <t>Z040301008</t>
  </si>
  <si>
    <t>SERVICO DE PINTURA EM MEIO FIO - TERCEIRIZADO</t>
  </si>
  <si>
    <t>PISO EM PEDRAS - ÁREA COMUM</t>
  </si>
  <si>
    <t>Z030104001</t>
  </si>
  <si>
    <t>14.01.02.10</t>
  </si>
  <si>
    <t>12.02.02</t>
  </si>
  <si>
    <t>Z040301009</t>
  </si>
  <si>
    <t>14.01.02.11</t>
  </si>
  <si>
    <t>12.02.03</t>
  </si>
  <si>
    <t>Z000189001</t>
  </si>
  <si>
    <t>GRANILHA A DEFINIR - PISO OU PAREDE</t>
  </si>
  <si>
    <t>14.01.02.12</t>
  </si>
  <si>
    <t>12.02.04</t>
  </si>
  <si>
    <t>Z000189002</t>
  </si>
  <si>
    <t>14.01.02.13</t>
  </si>
  <si>
    <t>12.02.05</t>
  </si>
  <si>
    <t>14.01.02.14</t>
  </si>
  <si>
    <t>12.02.06</t>
  </si>
  <si>
    <t>ACABAMENTO DE PISO - APARTAMENTO</t>
  </si>
  <si>
    <t>IMPORTACAO DE SOLOS</t>
  </si>
  <si>
    <t>ENSAIOS, LAUDOS E ESTUDOS</t>
  </si>
  <si>
    <t>Z000218001</t>
  </si>
  <si>
    <t>Z040310013</t>
  </si>
  <si>
    <t>Z020603001</t>
  </si>
  <si>
    <t>PROTETOR DE PISO (SALVA PISO)</t>
  </si>
  <si>
    <t>Z040310014</t>
  </si>
  <si>
    <t>Z020603002</t>
  </si>
  <si>
    <t>VB</t>
  </si>
  <si>
    <t>01.02.01</t>
  </si>
  <si>
    <t>08.05.01</t>
  </si>
  <si>
    <t>22.02.01</t>
  </si>
  <si>
    <t>Z000083011</t>
  </si>
  <si>
    <t>Z000083012</t>
  </si>
  <si>
    <t>PROJETO DE PISCINAS EM BIM</t>
  </si>
  <si>
    <t>Z000083014</t>
  </si>
  <si>
    <t>Z020105036</t>
  </si>
  <si>
    <t>Z040301010</t>
  </si>
  <si>
    <t>Z020301022</t>
  </si>
  <si>
    <t>Z020105037</t>
  </si>
  <si>
    <t>Z040301011</t>
  </si>
  <si>
    <t>Z020105038</t>
  </si>
  <si>
    <t>Z040301012</t>
  </si>
  <si>
    <t>Z020105039</t>
  </si>
  <si>
    <t>Z040301013</t>
  </si>
  <si>
    <t>INSTALAÇÃO DE LUMINOTECNICO</t>
  </si>
  <si>
    <t>Z020301025</t>
  </si>
  <si>
    <t>Z040301014</t>
  </si>
  <si>
    <t>Z000244004</t>
  </si>
  <si>
    <t>Z020301026</t>
  </si>
  <si>
    <t>Z010103001</t>
  </si>
  <si>
    <t>AJUDANTE ESPECIALIZADO - HORISTA</t>
  </si>
  <si>
    <t>Z020301027</t>
  </si>
  <si>
    <t>Z040301016</t>
  </si>
  <si>
    <t>21.11.01</t>
  </si>
  <si>
    <t>Z020301028</t>
  </si>
  <si>
    <t>14.01.01.01</t>
  </si>
  <si>
    <t>13.01.01</t>
  </si>
  <si>
    <t>PROJETO DE IMPERMEABILIZACAO</t>
  </si>
  <si>
    <t>23.10.01</t>
  </si>
  <si>
    <t>14.01.01.02</t>
  </si>
  <si>
    <t>13.01.02</t>
  </si>
  <si>
    <t>23.10.02</t>
  </si>
  <si>
    <t>14.01.01.03</t>
  </si>
  <si>
    <t>13.01.03</t>
  </si>
  <si>
    <t>MAO DE OBRA PARA FORRO DE GESSO MODULAR</t>
  </si>
  <si>
    <t>Z000244009</t>
  </si>
  <si>
    <t>23.10.03</t>
  </si>
  <si>
    <t>BRISE</t>
  </si>
  <si>
    <t>14.01.01.04</t>
  </si>
  <si>
    <t>14.01.01.05</t>
  </si>
  <si>
    <t>MARQUISE</t>
  </si>
  <si>
    <t>14.01.01.06</t>
  </si>
  <si>
    <t>14.01.01.07</t>
  </si>
  <si>
    <t>14.01.01.08</t>
  </si>
  <si>
    <t>Z000235001</t>
  </si>
  <si>
    <t>Z000235002</t>
  </si>
  <si>
    <t>ESTACAO ELEVATORIA DE ESGOTO</t>
  </si>
  <si>
    <t>Z040310024</t>
  </si>
  <si>
    <t>02.01.01</t>
  </si>
  <si>
    <t>Z040310025</t>
  </si>
  <si>
    <t>07.05.01</t>
  </si>
  <si>
    <t>21.02.01</t>
  </si>
  <si>
    <t>09.04.01</t>
  </si>
  <si>
    <t>07.05.02</t>
  </si>
  <si>
    <t>Z040310027</t>
  </si>
  <si>
    <t>23.01.01</t>
  </si>
  <si>
    <t>09.04.02</t>
  </si>
  <si>
    <t>07.05.03</t>
  </si>
  <si>
    <t>09.04.03</t>
  </si>
  <si>
    <t>07.05.04</t>
  </si>
  <si>
    <t>09.04.04</t>
  </si>
  <si>
    <t>Z020105040</t>
  </si>
  <si>
    <t>09.04.05</t>
  </si>
  <si>
    <t>MAO DE OBRA PARA INSTALACOES CFTV - INDICE M2</t>
  </si>
  <si>
    <t>Z020105041</t>
  </si>
  <si>
    <t>09.04.06</t>
  </si>
  <si>
    <t>Z020105042</t>
  </si>
  <si>
    <t>Z000082004</t>
  </si>
  <si>
    <t>LOCAÇÃO DE MÁQUINAS E VEÍCULOS -</t>
  </si>
  <si>
    <t>Z000082005</t>
  </si>
  <si>
    <t>CONTRAPISO</t>
  </si>
  <si>
    <t>ESTRUTURA - CUSTOS COM EXECUCAO DE</t>
  </si>
  <si>
    <t>Z020105045</t>
  </si>
  <si>
    <t>PISO PORCELANATO - APARTAMENTO</t>
  </si>
  <si>
    <t>Z000244010</t>
  </si>
  <si>
    <t>Z020611001</t>
  </si>
  <si>
    <t>Z020105047</t>
  </si>
  <si>
    <t>Z020611002</t>
  </si>
  <si>
    <t>Z020105048</t>
  </si>
  <si>
    <t>Z010602003</t>
  </si>
  <si>
    <t>LOCACAO CONVENCIONAL DE OBRA</t>
  </si>
  <si>
    <t>ALMOXARIFE - MENSALISTA</t>
  </si>
  <si>
    <t>SERVICOS DE VIGILANCIA E MONITORAMENTO</t>
  </si>
  <si>
    <t>10.02.01</t>
  </si>
  <si>
    <t>12.01.01</t>
  </si>
  <si>
    <t>COBERTURA - ESTRUTURA E TELHADO</t>
  </si>
  <si>
    <t>Z020301037</t>
  </si>
  <si>
    <t>Z030103001</t>
  </si>
  <si>
    <t>12.01.02</t>
  </si>
  <si>
    <t>Z030103002</t>
  </si>
  <si>
    <t>MOTONIVELADORA - CHI</t>
  </si>
  <si>
    <t>Z000244018</t>
  </si>
  <si>
    <t>PERGOLADO</t>
  </si>
  <si>
    <t>Z000073001</t>
  </si>
  <si>
    <t>Z000188003</t>
  </si>
  <si>
    <t>Z000091011</t>
  </si>
  <si>
    <t>Z000073002</t>
  </si>
  <si>
    <t>Z000073003</t>
  </si>
  <si>
    <t>Z000073004</t>
  </si>
  <si>
    <t>MATERIAL PARA PAISAGISMO - INDICE</t>
  </si>
  <si>
    <t>DESPESAS CARTORIAIS</t>
  </si>
  <si>
    <t>GRANITO VIA LACTEA POLIDO - PISO OU PAREDE</t>
  </si>
  <si>
    <t>CONSULTORIA TECNICA</t>
  </si>
  <si>
    <t>Z010708001</t>
  </si>
  <si>
    <t>LOCACAO MENSAL - RETRO ESCAVADEIRA</t>
  </si>
  <si>
    <t>Z010708002</t>
  </si>
  <si>
    <t>MOTONIVELADORA - CHP</t>
  </si>
  <si>
    <t>Z000217001</t>
  </si>
  <si>
    <t>VALVULA DE ESCOAMENTO P/ COZINHA 3.1/2`` DECA</t>
  </si>
  <si>
    <t>Z000102001</t>
  </si>
  <si>
    <t>ANALISE DE AGUA (FISICA, QUIMICA, BIOLOGICA)</t>
  </si>
  <si>
    <t>FORROS DE MADEIRA</t>
  </si>
  <si>
    <t>01.01.01</t>
  </si>
  <si>
    <t>INSTALAÇÕES ELÉTRICAS</t>
  </si>
  <si>
    <t>01.01.02</t>
  </si>
  <si>
    <t>Z040310034</t>
  </si>
  <si>
    <t>08.04.01</t>
  </si>
  <si>
    <t>ARAME RECOZIDO 16 BWG OU 18 BWG</t>
  </si>
  <si>
    <t>MINIESCAVADEIRA SOBRE ESTEIRAS - CHI</t>
  </si>
  <si>
    <t>01.01.03</t>
  </si>
  <si>
    <t>22.01.01</t>
  </si>
  <si>
    <t>Z040310035</t>
  </si>
  <si>
    <t>08.04.02</t>
  </si>
  <si>
    <t>22.01.02</t>
  </si>
  <si>
    <t>Z000064001</t>
  </si>
  <si>
    <t>Z010405001</t>
  </si>
  <si>
    <t>CONSULTORIA VIABILIDADE ENERGIA / SUBESTACAO</t>
  </si>
  <si>
    <t>MINIESCAVADEIRA SOBRE ESTEIRAS - CHP</t>
  </si>
  <si>
    <t>PREGO DE ACO POLIDO COM CABECA 18 X 27</t>
  </si>
  <si>
    <t>DEMOLIÇÕES E ADAPTAÇÕES</t>
  </si>
  <si>
    <t>Z070305001</t>
  </si>
  <si>
    <t>Z000243001</t>
  </si>
  <si>
    <t>SERVIÇOS PRELIMINARES</t>
  </si>
  <si>
    <t>Z010102001</t>
  </si>
  <si>
    <t>CORDOALHA 12.7 MM</t>
  </si>
  <si>
    <t>21.10.01</t>
  </si>
  <si>
    <t>18.04.01</t>
  </si>
  <si>
    <t>ALUGUEL DE BOMBA DE CONCRETO REBOCAVEL</t>
  </si>
  <si>
    <t>CIRCULAÇÃO EXTERNA</t>
  </si>
  <si>
    <t>18.04.02</t>
  </si>
  <si>
    <t>PINTURA</t>
  </si>
  <si>
    <t>JARDINEIRO - HORISTA</t>
  </si>
  <si>
    <t>PAPELARIA E INSUMOS DE ESCRITORIO</t>
  </si>
  <si>
    <t>POCO ARTESIANO</t>
  </si>
  <si>
    <t>LOCAÇÃO CONVENCIAL DE OBRA</t>
  </si>
  <si>
    <t>FORRO DE GESSO MODULAR (REMOVIVEL)</t>
  </si>
  <si>
    <t>Z050103005</t>
  </si>
  <si>
    <t>Z050103006</t>
  </si>
  <si>
    <t>Z050103007</t>
  </si>
  <si>
    <t>Z050103008</t>
  </si>
  <si>
    <t>PERFURACAO DE ESTACA HELICE D = 25 CM</t>
  </si>
  <si>
    <t>QUARTZITO VERDE ESMERALDA - PISO OU PAREDE</t>
  </si>
  <si>
    <t>Z050103009</t>
  </si>
  <si>
    <t>Z000234002</t>
  </si>
  <si>
    <t>CORTE E DOBRA DE ACO - BLOCOS</t>
  </si>
  <si>
    <t>Z040310040</t>
  </si>
  <si>
    <t>Z040310041</t>
  </si>
  <si>
    <t>ARGAMASSA PARA ALVENARIA ENSACADA</t>
  </si>
  <si>
    <t>COD</t>
  </si>
  <si>
    <t>DESCRICAO</t>
  </si>
  <si>
    <t>UNT</t>
  </si>
  <si>
    <t>QNT</t>
  </si>
  <si>
    <t>R$
UNT</t>
  </si>
  <si>
    <t>R$
TOTAL</t>
  </si>
  <si>
    <t>Peso
%</t>
  </si>
  <si>
    <t>CUSTO TOTAL DA OBRA</t>
  </si>
  <si>
    <t>01.02</t>
  </si>
  <si>
    <t>01.01</t>
  </si>
  <si>
    <t>01.03</t>
  </si>
  <si>
    <t>01.04</t>
  </si>
  <si>
    <t>02.01</t>
  </si>
  <si>
    <t>02.02</t>
  </si>
  <si>
    <t>02.03</t>
  </si>
  <si>
    <t>02.04</t>
  </si>
  <si>
    <t>02.05</t>
  </si>
  <si>
    <t>02.06</t>
  </si>
  <si>
    <t>03.01</t>
  </si>
  <si>
    <t>03.02</t>
  </si>
  <si>
    <t>03.03</t>
  </si>
  <si>
    <t>04.01</t>
  </si>
  <si>
    <t>04.02</t>
  </si>
  <si>
    <t>05.01</t>
  </si>
  <si>
    <t>05.02</t>
  </si>
  <si>
    <t>06.01</t>
  </si>
  <si>
    <t>06.02</t>
  </si>
  <si>
    <t>07.01</t>
  </si>
  <si>
    <t>07.02</t>
  </si>
  <si>
    <t>07.03</t>
  </si>
  <si>
    <t>07.04</t>
  </si>
  <si>
    <t>07.05</t>
  </si>
  <si>
    <t>08.01</t>
  </si>
  <si>
    <t>08.02</t>
  </si>
  <si>
    <t>08.03</t>
  </si>
  <si>
    <t>08.04</t>
  </si>
  <si>
    <t>08.05</t>
  </si>
  <si>
    <t>08.06</t>
  </si>
  <si>
    <t>08.07</t>
  </si>
  <si>
    <t>08.08</t>
  </si>
  <si>
    <t>08.09</t>
  </si>
  <si>
    <t>08.10</t>
  </si>
  <si>
    <t>08.11</t>
  </si>
  <si>
    <t>08.12</t>
  </si>
  <si>
    <t>08.13</t>
  </si>
  <si>
    <t>08.14</t>
  </si>
  <si>
    <t>08.15</t>
  </si>
  <si>
    <t>08.16</t>
  </si>
  <si>
    <t>09.01</t>
  </si>
  <si>
    <t>09.02</t>
  </si>
  <si>
    <t>09.03</t>
  </si>
  <si>
    <t>09.04</t>
  </si>
  <si>
    <t>10.01</t>
  </si>
  <si>
    <t>10.02</t>
  </si>
  <si>
    <t>10.03</t>
  </si>
  <si>
    <t>10.04</t>
  </si>
  <si>
    <t>11.01</t>
  </si>
  <si>
    <t>12.01</t>
  </si>
  <si>
    <t>12.02</t>
  </si>
  <si>
    <t>13.01</t>
  </si>
  <si>
    <t>14.01</t>
  </si>
  <si>
    <t>15.01</t>
  </si>
  <si>
    <t>15.02</t>
  </si>
  <si>
    <t>15.03</t>
  </si>
  <si>
    <t>16.01</t>
  </si>
  <si>
    <t>16.02</t>
  </si>
  <si>
    <t>16.03</t>
  </si>
  <si>
    <t>17.01</t>
  </si>
  <si>
    <t>17.02</t>
  </si>
  <si>
    <t>17.03</t>
  </si>
  <si>
    <t>18.01</t>
  </si>
  <si>
    <t>18.02</t>
  </si>
  <si>
    <t>18.03</t>
  </si>
  <si>
    <t>18.04</t>
  </si>
  <si>
    <t>19.01</t>
  </si>
  <si>
    <t>20.01</t>
  </si>
  <si>
    <t>21.01</t>
  </si>
  <si>
    <t>21.02</t>
  </si>
  <si>
    <t>21.03</t>
  </si>
  <si>
    <t>21.04</t>
  </si>
  <si>
    <t>21.05</t>
  </si>
  <si>
    <t>21.06</t>
  </si>
  <si>
    <t>21.07</t>
  </si>
  <si>
    <t>21.08</t>
  </si>
  <si>
    <t>21.09</t>
  </si>
  <si>
    <t>21.10</t>
  </si>
  <si>
    <t>21.11</t>
  </si>
  <si>
    <t>21.12</t>
  </si>
  <si>
    <t>21.13</t>
  </si>
  <si>
    <t>21.14</t>
  </si>
  <si>
    <t>22.01</t>
  </si>
  <si>
    <t>22.02</t>
  </si>
  <si>
    <t>22.03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</si>
  <si>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</si>
  <si>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</si>
  <si>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</si>
  <si>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</si>
  <si>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</si>
  <si>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</si>
  <si>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</si>
  <si>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</si>
  <si>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</si>
  <si>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</si>
  <si>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23.11</t>
  </si>
  <si>
    <t>23.12</t>
  </si>
  <si>
    <t>23.13</t>
  </si>
  <si>
    <t>23.14</t>
  </si>
  <si>
    <t>23.15</t>
  </si>
  <si>
    <t>24.01</t>
  </si>
  <si>
    <t>24.02</t>
  </si>
  <si>
    <t>24.03</t>
  </si>
  <si>
    <t>24.04</t>
  </si>
  <si>
    <t>24.05</t>
  </si>
  <si>
    <t>24.06</t>
  </si>
  <si>
    <t>25.01</t>
  </si>
  <si>
    <t>Obra: O4210 - GRAN GARDEN RESORT</t>
  </si>
  <si>
    <t>SERVIÇOS TÉCNICOS / PROJETOS / REGULARIZAÇÃO DE OBRA</t>
  </si>
  <si>
    <t>CUSTOS ADMINISTRATIVOS DE CONSUMOS / CANTEIRO DE OBRAS</t>
  </si>
  <si>
    <t>LOCAÇÃO DE MÁQUINAS / EQUIPAMENTOS E FERRAMENTAS</t>
  </si>
  <si>
    <t>PAREDES DE VEDAÇÃO / CONTRAPISO / REBOCO</t>
  </si>
  <si>
    <t>ESQUADRIAS / FERRAGENS / VIDROS / SERRALHERIA</t>
  </si>
  <si>
    <t>SISTEMA DE ABASTECIMENTO DE ÁGUA, ESGOTO E ENERGIA</t>
  </si>
  <si>
    <t>CUSTO DE ALTERAÇÕES FEITAS DURANTE A EXECUÇÃO</t>
  </si>
  <si>
    <t>EMPRESA</t>
  </si>
  <si>
    <t>SERVIÇO</t>
  </si>
  <si>
    <t>INSUMO</t>
  </si>
  <si>
    <t>DESCRICAO DO INSUMO</t>
  </si>
  <si>
    <t>QTDE.</t>
  </si>
  <si>
    <t>PREÇO UNIT.</t>
  </si>
  <si>
    <t>UNID. INSUMO</t>
  </si>
  <si>
    <t>UNID. SERVIÇO</t>
  </si>
  <si>
    <t>SUBTOTAL</t>
  </si>
  <si>
    <t>TOTAL</t>
  </si>
  <si>
    <t>Item_pla</t>
  </si>
  <si>
    <t>QTDE. COMPOSIÇÃO</t>
  </si>
  <si>
    <t>CÓD.CONCATENADO</t>
  </si>
  <si>
    <t>DESCRICAO DO SERVIÇO</t>
  </si>
  <si>
    <t>O4210</t>
  </si>
  <si>
    <t>Z000011002Z040101001</t>
  </si>
  <si>
    <t>Z000011002Z040401001</t>
  </si>
  <si>
    <t>Z000011003Z040101002</t>
  </si>
  <si>
    <t>Z000011003Z040401001</t>
  </si>
  <si>
    <t>AUXILIAR TECNICO EM SEGURANCA NO TRABALHO - MENSALISTA</t>
  </si>
  <si>
    <t>Z000011005Z040101004</t>
  </si>
  <si>
    <t>EQUIPE ADM - AUXILIAR TECNICO EM SEGURANCA NO TRABALHO</t>
  </si>
  <si>
    <t>Z000011005Z040401001</t>
  </si>
  <si>
    <t>Z000011006Z040101005</t>
  </si>
  <si>
    <t>Z000011006Z040401001</t>
  </si>
  <si>
    <t>Z000011008Z040101007</t>
  </si>
  <si>
    <t>Z000011008Z040401001</t>
  </si>
  <si>
    <t>Z000011009Z040101008</t>
  </si>
  <si>
    <t>Z000011009Z040401001</t>
  </si>
  <si>
    <t>Z000011011Z040101010</t>
  </si>
  <si>
    <t>Z000011011Z040401001</t>
  </si>
  <si>
    <t>TECNICO EM SEGURANCA NO TRABALHO - MENSALISTA</t>
  </si>
  <si>
    <t>Z000011015Z040101014</t>
  </si>
  <si>
    <t>EQUIPE ADM - TECNICO EM SEGURANCA NO TRABALHO</t>
  </si>
  <si>
    <t>Z000011015Z040401001</t>
  </si>
  <si>
    <t>Z000011016Z040102001</t>
  </si>
  <si>
    <t>Z000011018Z040102003</t>
  </si>
  <si>
    <t>EQUIPE ADM - ENGENHEIRO CIVIL GERENTE REGIONAL PJ</t>
  </si>
  <si>
    <t>Z000011021Z040102006</t>
  </si>
  <si>
    <t>Z000012010Z040205009</t>
  </si>
  <si>
    <t>Z000012010Z040401001</t>
  </si>
  <si>
    <t>Z000012017Z040206001</t>
  </si>
  <si>
    <t>Z000012017Z040401001</t>
  </si>
  <si>
    <t>Z000012020Z040206004</t>
  </si>
  <si>
    <t>Z000012020Z040401001</t>
  </si>
  <si>
    <t>Z000012021Z040203001</t>
  </si>
  <si>
    <t>Z000012021Z040401001</t>
  </si>
  <si>
    <t>Z000013001Z040401002</t>
  </si>
  <si>
    <t>Z000013001Z040401003</t>
  </si>
  <si>
    <t>Z000014001Z070103001</t>
  </si>
  <si>
    <t>Z000014001Z070103002</t>
  </si>
  <si>
    <t>Z000015001Z070104001</t>
  </si>
  <si>
    <t>Z000016001Z070105001</t>
  </si>
  <si>
    <t>Z000021001Z070201001</t>
  </si>
  <si>
    <t>Z000022001Z070202001</t>
  </si>
  <si>
    <t>Z000023001Z070203015</t>
  </si>
  <si>
    <t>CONSULTORIA ORCAMENTO DE OBRA TERCEIRIZADO</t>
  </si>
  <si>
    <t>Z000023001Z070203022</t>
  </si>
  <si>
    <t>Z000023001Z070203024</t>
  </si>
  <si>
    <t>Z000023001Z070203025</t>
  </si>
  <si>
    <t>CONSULTORIA VAGAS DE GARAGEM E ESTACIONAMENTO</t>
  </si>
  <si>
    <t>Z000023001Z070203026</t>
  </si>
  <si>
    <t>Z000023001Z070203027</t>
  </si>
  <si>
    <t>Z000023001Z070203028</t>
  </si>
  <si>
    <t>Z000023002Z070203003</t>
  </si>
  <si>
    <t>Z000023002Z070203005</t>
  </si>
  <si>
    <t>Z000023002Z070203006</t>
  </si>
  <si>
    <t>ENSAIO DE ARRANCAMENTO ESTATICO EM PONTOS DE ANCORAGEM</t>
  </si>
  <si>
    <t>Z000023002Z070203007</t>
  </si>
  <si>
    <t>Z000023002Z070203010</t>
  </si>
  <si>
    <t>Z000023002Z070203012</t>
  </si>
  <si>
    <t>LAUDO DE VISTORIA E NORMALIZAÇÃO CENTRAL ABASTECIMENTO</t>
  </si>
  <si>
    <t>Z000023002Z070203013</t>
  </si>
  <si>
    <t>ENSAIO DE RESISTENCIA DE CONCRETO (ROMPIMENTO DE CORPO DE PROVA)</t>
  </si>
  <si>
    <t>Z000023006Z070301003</t>
  </si>
  <si>
    <t>Z000023006Z070301004</t>
  </si>
  <si>
    <t>Z000023006Z070301015</t>
  </si>
  <si>
    <t>Z000024001Z070204004</t>
  </si>
  <si>
    <t>Z000024001Z070204006</t>
  </si>
  <si>
    <t>Z000024001Z070204007</t>
  </si>
  <si>
    <t>Z000024001Z070204008</t>
  </si>
  <si>
    <t>Z000024001Z070204035</t>
  </si>
  <si>
    <t>Z000024001Z070204036</t>
  </si>
  <si>
    <t>Z000024001Z070204023</t>
  </si>
  <si>
    <t>Z000024001Z070204024</t>
  </si>
  <si>
    <t>Z000024001Z070204026</t>
  </si>
  <si>
    <t>PROJETO CFTV, ALARME DE INCENDIO, VOZ E DADOS</t>
  </si>
  <si>
    <t>Z000024001Z070204027</t>
  </si>
  <si>
    <t>Z000024001Z070204028</t>
  </si>
  <si>
    <t>PROJETO AMBIENTAL  - LINCENCA AMBIENTAL LP, LI E LO (PGRS, RCA, EAP, ETC)</t>
  </si>
  <si>
    <t>Z000024001Z070204030</t>
  </si>
  <si>
    <t>Z000024001Z070204016</t>
  </si>
  <si>
    <t>Z000024001Z070204017</t>
  </si>
  <si>
    <t>Z000024001Z070204018</t>
  </si>
  <si>
    <t>Z000024001Z070204019</t>
  </si>
  <si>
    <t>Z000024001Z070204020</t>
  </si>
  <si>
    <t>Z000024001Z070204022</t>
  </si>
  <si>
    <t>Z000024001Z070204010</t>
  </si>
  <si>
    <t>Z000024001Z070204011</t>
  </si>
  <si>
    <t>Z000024001Z070204012</t>
  </si>
  <si>
    <t>Z000024001Z070204013</t>
  </si>
  <si>
    <t>Z000024001Z070204014</t>
  </si>
  <si>
    <t>Z000024001Z070204015</t>
  </si>
  <si>
    <t>Z000025001Z070205001</t>
  </si>
  <si>
    <t>Z000025001Z070205002</t>
  </si>
  <si>
    <t>Z000025001Z070205003</t>
  </si>
  <si>
    <t>Z000025001Z070205005</t>
  </si>
  <si>
    <t>Z000025001Z070205006</t>
  </si>
  <si>
    <t>Z000025001Z070205007</t>
  </si>
  <si>
    <t>Z000025001Z070205008</t>
  </si>
  <si>
    <t>Z000025001Z070205009</t>
  </si>
  <si>
    <t>Z000025001Z070205010</t>
  </si>
  <si>
    <t>APROVACAO DE PROJETOS E ALVARA DE CONSTRUCAO</t>
  </si>
  <si>
    <t>Z000025001Z070205011</t>
  </si>
  <si>
    <t>Z000026001Z060101065</t>
  </si>
  <si>
    <t>Z000026001Z070206001</t>
  </si>
  <si>
    <t>TAXA DE ANOTACAO DE RESPONSABILIDADE TECNICA</t>
  </si>
  <si>
    <t>Z000026001Z070206002</t>
  </si>
  <si>
    <t>Z000026001Z070206003</t>
  </si>
  <si>
    <t>Z000026001Z070206005</t>
  </si>
  <si>
    <t>Z000026001Z070206006</t>
  </si>
  <si>
    <t>Z000026001Z070206007</t>
  </si>
  <si>
    <t>Z000026001Z070206008</t>
  </si>
  <si>
    <t>Z000026001Z070206009</t>
  </si>
  <si>
    <t>Z000031001Z070301005</t>
  </si>
  <si>
    <t>AQUISICOES DE EQUIPAMENTOS E PERIFERICOS DE INFORMATICA</t>
  </si>
  <si>
    <t>Z000031001Z070301006</t>
  </si>
  <si>
    <t>Z000031001Z070301007</t>
  </si>
  <si>
    <t>Z000031001Z070301008</t>
  </si>
  <si>
    <t>Z000031001Z070301009</t>
  </si>
  <si>
    <t>Z000031001Z070301010</t>
  </si>
  <si>
    <t>Z000031001Z070301014</t>
  </si>
  <si>
    <t>Z000031002Z070302001</t>
  </si>
  <si>
    <t>Z000031002Z070302003</t>
  </si>
  <si>
    <t>Z000031002Z070302004</t>
  </si>
  <si>
    <t>Z000031002Z070302005</t>
  </si>
  <si>
    <t>Z000031002Z070302006</t>
  </si>
  <si>
    <t>KW/H</t>
  </si>
  <si>
    <t>Z000031002Z070302009</t>
  </si>
  <si>
    <t>Z000031002Z070302012</t>
  </si>
  <si>
    <t>Z000031002Z070302016</t>
  </si>
  <si>
    <t>Z000031003Z070302002</t>
  </si>
  <si>
    <t>Z000031003Z070302008</t>
  </si>
  <si>
    <t>Z000031003Z070401001</t>
  </si>
  <si>
    <t>Z000031004Z070304002</t>
  </si>
  <si>
    <t>Z000031007Z050201002</t>
  </si>
  <si>
    <t>COMBUSTIVEIS E LUBRIFICANTES ADM - MENSAL</t>
  </si>
  <si>
    <t>DEDETIZACAO E DESINSETIZACAO DO CANTEIRO DE OBRAS</t>
  </si>
  <si>
    <t>Z000031008Z070302013</t>
  </si>
  <si>
    <t>LIMPEZA DOS RESERVATORIOS DO CANTEIRO DE OBRAS</t>
  </si>
  <si>
    <t>Z000031009Z070302014</t>
  </si>
  <si>
    <t>MANUTENCAO DOS APARELHOS DE AR CONDICIONADO DO CANTEIRO DE OBRAS</t>
  </si>
  <si>
    <t>Z000031010Z070302015</t>
  </si>
  <si>
    <t>Z000032001Z070204031</t>
  </si>
  <si>
    <t>FORNECIMENTO E INSTALACAO DE SUBESTACAO PARA CANTEIRO DE OBRAS - INDICE</t>
  </si>
  <si>
    <t>Z000032002Z070303003</t>
  </si>
  <si>
    <t>Z000032003Z070301012</t>
  </si>
  <si>
    <t>SANITARIO E VESTIARIO EM CHAPA DE MADEIRA COMPENSADA - INDICE M2</t>
  </si>
  <si>
    <t>Z000032003Z070303006</t>
  </si>
  <si>
    <t>CENTRAL DE FORMAS, PRODUCAO DE ARGAMASSA OU CONCRETO - INDICE M2</t>
  </si>
  <si>
    <t>Z000032003Z070303007</t>
  </si>
  <si>
    <t>RESERVATORIO ELEVADO DE AGUA, APOIADO EM ESTRUTURA DE MADEIRA - INDICE M2</t>
  </si>
  <si>
    <t>Z000032003Z070303008</t>
  </si>
  <si>
    <t>ALMOXARIFADO EM CHAPA DE MADEIRA COMPENSADA - INDICE M2</t>
  </si>
  <si>
    <t>Z000032003Z070303009</t>
  </si>
  <si>
    <t>DEPOSITO EM CHAPA DE MADEIRA COMPENSADA - INDICE M2</t>
  </si>
  <si>
    <t>Z000032003Z070303010</t>
  </si>
  <si>
    <t>SUMIDOURO RETANGULAR, EM ALVENARIA COM BLOCOS DE CONCRETO - INDICE VB</t>
  </si>
  <si>
    <t>Z000032003Z070303017</t>
  </si>
  <si>
    <t>PLACA DE OBRA COM CHAPA GALVANIZADA E ESTRUTURA DE MADEIRA - INDICE VB</t>
  </si>
  <si>
    <t>Z000032003Z070303018</t>
  </si>
  <si>
    <t>LASTRO COM MATERIAL GRANULAR (PEDRA BRITADA N.2) - INDICE M3</t>
  </si>
  <si>
    <t>Z000032003Z070303019</t>
  </si>
  <si>
    <t>GUARITA EM CHAPA DE MADEIRA COMPENSADA - INDICE M2</t>
  </si>
  <si>
    <t>Z000032003Z070303011</t>
  </si>
  <si>
    <t>REFEITORIO EM CHAPA DE MADEIRA COMPENSADA - INDICE M2</t>
  </si>
  <si>
    <t>Z000032003Z070303012</t>
  </si>
  <si>
    <t>ESCRITORIO EM CHAPA DE MADEIRA COMPENSADA - INDICE M2</t>
  </si>
  <si>
    <t>Z000032003Z070303013</t>
  </si>
  <si>
    <t>Z000032003Z070303014</t>
  </si>
  <si>
    <t>TANQUE SEPTICO RETANGULAR, EM ALVENARIA COM BLOCOS DE CONCRETO - INDICE VB</t>
  </si>
  <si>
    <t>Z000032003Z070303015</t>
  </si>
  <si>
    <t>FILTRO ANAEROBIO RETANGULAR, EM ALVENARIA COM BLOCOS DE CONCRETO - INDICE VB</t>
  </si>
  <si>
    <t>Z000032003Z070303016</t>
  </si>
  <si>
    <t>Z000032004Z040203002</t>
  </si>
  <si>
    <t>Z000032004Z040401001</t>
  </si>
  <si>
    <t>DEMOLICAO E DESMOBILIZACAO DO CANTEIRO DE OBRAS - INDICE</t>
  </si>
  <si>
    <t>Z000032005Z070303004</t>
  </si>
  <si>
    <t>DEMOLICAO E DESMOBILIZACAO DO CANTEIRO DE OBRAS</t>
  </si>
  <si>
    <t>Z000032006Z050102006</t>
  </si>
  <si>
    <t>LOCACAO MENSAL - CARRO PARA ADM DE OBRA</t>
  </si>
  <si>
    <t>Z000032007Z070303020</t>
  </si>
  <si>
    <t>LOCACAO MENSAL - CONTEINER HABITAVEL PARA CANTEIRO DE OBRAS</t>
  </si>
  <si>
    <t>Z000032008Z070303021</t>
  </si>
  <si>
    <t>LOCACAO MENSAL - CONTEINER PARA DEPOSITO PARA CANTEIRO DE OBRAS</t>
  </si>
  <si>
    <t>Z000032009Z070303022</t>
  </si>
  <si>
    <t>LOCACAO MENSAL - GERADOR PARA CANTEIRO DE OBRAS</t>
  </si>
  <si>
    <t>Z000032010Z070303024</t>
  </si>
  <si>
    <t>LOCACAO MENSAL - BANHEIRO QUIMICO / MOVEL</t>
  </si>
  <si>
    <t>Z000033001Z010109007</t>
  </si>
  <si>
    <t>Z000033001Z010301001</t>
  </si>
  <si>
    <t>Z000033001Z010303003</t>
  </si>
  <si>
    <t>Z000033001Z010304001</t>
  </si>
  <si>
    <t>TABUA DE MADEIRA APARELHADA 2,5 X 30 CM, EM MACARANDUBA/MASSARANDUBA, ANGELIM OU EQUIVALENTE</t>
  </si>
  <si>
    <t>Z000033001Z010402004</t>
  </si>
  <si>
    <t>CAIBRO NAO APARELHADO 6 X 6 CM, EM MACARANDUBA/MASSARANDUBA, ANGELIM OU EQUIVALENTE</t>
  </si>
  <si>
    <t>Z000033001Z010405001</t>
  </si>
  <si>
    <t>Z000033001Z040401001</t>
  </si>
  <si>
    <t>Z000033001Z050103007</t>
  </si>
  <si>
    <t>Z000033001Z050103008</t>
  </si>
  <si>
    <t>Z000033001Z050103019</t>
  </si>
  <si>
    <t>Z000033001Z050103020</t>
  </si>
  <si>
    <t>TELHA TRAPEZOIDAL EM ACO ZINCADO, SEM PINTURA</t>
  </si>
  <si>
    <t>Z000033001Z070305001</t>
  </si>
  <si>
    <t>Z000033001Z040201005</t>
  </si>
  <si>
    <t>Z000033001Z040202002</t>
  </si>
  <si>
    <t>Z000033001Z040202006</t>
  </si>
  <si>
    <t>OPERADOR DE BETONEIRA ESTACIONARIA - HORISTA</t>
  </si>
  <si>
    <t>Z000033001Z040204001</t>
  </si>
  <si>
    <t>SERVICO DE EXECUCAO DE TAPUME PARA FECHAMENTO DE CANTEIRO DE OBRA - TERCEIRIZADO</t>
  </si>
  <si>
    <t>Z000033001Z040316001</t>
  </si>
  <si>
    <t>SERVICO DE EXECUCAO DE ALAMBRADO PARA FECHAMENTO DE CANTEIRO DE OBRA - TERCEIRIZADO</t>
  </si>
  <si>
    <t>Z000033001Z040316002</t>
  </si>
  <si>
    <t>SERVICO DE ASSENTAMENTO DE CONCERTINA - TERCEIRIZADO</t>
  </si>
  <si>
    <t>Z000033002Z040316003</t>
  </si>
  <si>
    <t>CONCERTINA DUPLA CLIPADA, ESPIRAL DE 300 MM</t>
  </si>
  <si>
    <t>Z000033002Z040401001</t>
  </si>
  <si>
    <t>CONCERTINA CLIPADA (DUPLA) EM ACO GALVANIZADO DE ALTA RESISTENCIA, COM ESPIRAL DE 300 MM</t>
  </si>
  <si>
    <t>Z000033002Z070303023</t>
  </si>
  <si>
    <t>BUCHA DE NYLON SEM ABA S10 COM PARAFUSO DE 6.10 X 65 MM EM ACO ZINCADO COM ROSCA SOBERBA CABECA CHATA E FENDA PHILLIPS</t>
  </si>
  <si>
    <t>Z000033002Z030201001</t>
  </si>
  <si>
    <t>Z000033002Z040201013</t>
  </si>
  <si>
    <t>Z000033002Z040202006</t>
  </si>
  <si>
    <t>Z000041001Z070401003</t>
  </si>
  <si>
    <t>Z000041002Z070401002</t>
  </si>
  <si>
    <t>Z000042001Z010109004</t>
  </si>
  <si>
    <t>Z000042001Z010301001</t>
  </si>
  <si>
    <t>Z000042001Z010303003</t>
  </si>
  <si>
    <t>Z000042001Z010304001</t>
  </si>
  <si>
    <t>Z000042001Z010402005</t>
  </si>
  <si>
    <t>SARRAFO NAO APARELHADO 2,5 X 7 CM, EM MACARANDUBA/MASSARANDUBA, ANGELIM OU EQUIVALENTE</t>
  </si>
  <si>
    <t>Z000042001Z010404001</t>
  </si>
  <si>
    <t>Z000042001Z040401001</t>
  </si>
  <si>
    <t>Z000042001Z050103007</t>
  </si>
  <si>
    <t>Z000042001Z050103008</t>
  </si>
  <si>
    <t>Z000042001Z050103019</t>
  </si>
  <si>
    <t>Z000042001Z050103020</t>
  </si>
  <si>
    <t>Z000042001Z010405001</t>
  </si>
  <si>
    <t>Z000042001Z020504001</t>
  </si>
  <si>
    <t>Z000042001Z040201005</t>
  </si>
  <si>
    <t>Z000042001Z040202002</t>
  </si>
  <si>
    <t>Z000042001Z040202006</t>
  </si>
  <si>
    <t>Z000042001Z040204001</t>
  </si>
  <si>
    <t>Z000042002Z070402001</t>
  </si>
  <si>
    <t>Z000051002Z050102001</t>
  </si>
  <si>
    <t>Z000051004Z050102003</t>
  </si>
  <si>
    <t>Z000051006Z050102005</t>
  </si>
  <si>
    <t>LOCACAO MENSAL - MANIPULADOR TELESCOPICO</t>
  </si>
  <si>
    <t>Z000051008Z050102007</t>
  </si>
  <si>
    <t>Z000051010Z050201001</t>
  </si>
  <si>
    <t>COMBUSTIVEIS E LUBRIFICANTES OBRA - MENSAL</t>
  </si>
  <si>
    <t>Z000051011Z050102004</t>
  </si>
  <si>
    <t>Z000052001Z050103024</t>
  </si>
  <si>
    <t>Z000052001Z050105001</t>
  </si>
  <si>
    <t>MATERIAIS DE CONSUMO PARA EQUIPAMENTOS E FERRAMENTAS</t>
  </si>
  <si>
    <t>Z000052002Z050105002</t>
  </si>
  <si>
    <t>MATERIAIS DE CONSUMO EQUIPAMENTOS E FERRAMENTAS - INDICE EP</t>
  </si>
  <si>
    <t>Z000061001Z040201010</t>
  </si>
  <si>
    <t>LIMPEZA MECANIZADA DE CAMADA VEGETAL, VEGETACAO E PEQUENAS ARVORES (TRONCO Ø &lt;  20 CM)</t>
  </si>
  <si>
    <t>Z000061001Z040202006</t>
  </si>
  <si>
    <t>LIMPEZA MECANIZADA DE CAMADA VEGETAL - TERCEIRIZADO</t>
  </si>
  <si>
    <t>Z000061001Z040301016</t>
  </si>
  <si>
    <t>Z000061001Z040401001</t>
  </si>
  <si>
    <t>RETROESCAVADEIRA SOBRE RODAS COM CARREGADEIRA - CHP</t>
  </si>
  <si>
    <t>Z000061001Z050101005</t>
  </si>
  <si>
    <t>RETROESCAVADEIRA SOBRE RODAS COM CARREGADEIRA - CHI</t>
  </si>
  <si>
    <t>Z000061001Z050101006</t>
  </si>
  <si>
    <t>Z000061004Z040301007</t>
  </si>
  <si>
    <t>Z000061004Z040301008</t>
  </si>
  <si>
    <t>DESCARGA E ESPALHAMENTO DE ENTULHO NO BOTA-FORA</t>
  </si>
  <si>
    <t>Z000061004Z040301009</t>
  </si>
  <si>
    <t>ESCAVACAO, CARGA E TRANSPORTE DE MATERIAL DE 1ª CATEGORIA</t>
  </si>
  <si>
    <t>Z000062001Z040301010</t>
  </si>
  <si>
    <t>ESCAVACAO, CARGA E TRANSPORTE DE MATERIAL DE 2ª CATEGORIA</t>
  </si>
  <si>
    <t>Z000062001Z040301011</t>
  </si>
  <si>
    <t>ESCAVACAO, CARGA E TRANSPORTE DE MATERIAL DE 3ª CATEGORIA</t>
  </si>
  <si>
    <t>Z000062001Z040301012</t>
  </si>
  <si>
    <t>ESCAVACAO, CARGA E TRANSPORTE DE MATERIAL DE SOLOS MOLES</t>
  </si>
  <si>
    <t>Z000062001Z040301013</t>
  </si>
  <si>
    <t>COMPACTACAO A 100% DO PROCTOR NORMAL COM ROLO PE DE CARNEIRO</t>
  </si>
  <si>
    <t>Z000062001Z040301014</t>
  </si>
  <si>
    <t>IMPORTACAO DE MATERIAL (CASCALHO) - INCLUSO FRETE</t>
  </si>
  <si>
    <t>Z000063001Z011201001</t>
  </si>
  <si>
    <t>IMPORTACAO DE MATERIAL (BGS, BRITA, RACHAO) - INCLUSO FRETE</t>
  </si>
  <si>
    <t>Z000063002Z011202002</t>
  </si>
  <si>
    <t>MOBILIZACAO E DESMOBILIZACAO DE MAQUINAS PARA TERRAPLANAGEM</t>
  </si>
  <si>
    <t>Z000064001Z040301001</t>
  </si>
  <si>
    <t>MOBILIZACAO / DESMOBILIZACAO / CONTROLE TECNOLOGICO - TERRAPLANAGEM</t>
  </si>
  <si>
    <t>Z000064001Z040301002</t>
  </si>
  <si>
    <t>Z000064001Z040301003</t>
  </si>
  <si>
    <t>Z000071003Z010101002</t>
  </si>
  <si>
    <t>ARMACAO DE ESTACAS UTILIZANDO ACO CA-50 DE 6.3 MM CORTADO, DOBRADO E MONTADO</t>
  </si>
  <si>
    <t>Z000071003Z010105001</t>
  </si>
  <si>
    <t>ESPACADOR / DISTANCIADOR CIRCULAR COM ENTRADA LATERAL</t>
  </si>
  <si>
    <t>Z000071003Z030107001</t>
  </si>
  <si>
    <t>Z000071003Z040201001</t>
  </si>
  <si>
    <t>Z000071003Z040202001</t>
  </si>
  <si>
    <t>Z000071003Z040303008</t>
  </si>
  <si>
    <t>Z000071003Z040303011</t>
  </si>
  <si>
    <t>Z000071003Z040401001</t>
  </si>
  <si>
    <t>Z000071006Z010101006</t>
  </si>
  <si>
    <t>ARMACAO DE ESTACAS UTILIZANDO ACO CA-50 DE 16.0 MM CORTADO, DOBRADO E MONTADO</t>
  </si>
  <si>
    <t>Z000071006Z010105001</t>
  </si>
  <si>
    <t>Z000071006Z030107001</t>
  </si>
  <si>
    <t>Z000071006Z040201001</t>
  </si>
  <si>
    <t>Z000071006Z040202001</t>
  </si>
  <si>
    <t>Z000071006Z040303008</t>
  </si>
  <si>
    <t>Z000071006Z040303011</t>
  </si>
  <si>
    <t>Z000071006Z040401001</t>
  </si>
  <si>
    <t>Z000072001Z010201001</t>
  </si>
  <si>
    <t>CONCRETAGEM DE ESTACA HELICE OU ESCAVADA - FCK = 25MPA USINADO</t>
  </si>
  <si>
    <t>ALUGUEL DE BOMBA DE CONCRETO REBOCAVEL - TAXA MINIMA</t>
  </si>
  <si>
    <t>Z000072001Z010201002</t>
  </si>
  <si>
    <t>Z000072001Z010202003</t>
  </si>
  <si>
    <t>Z000072001Z040202006</t>
  </si>
  <si>
    <t>SERVICO DE CONCRETAGEM DE ESTRUTURA - TERCEIRIZADO</t>
  </si>
  <si>
    <t>Z000072001Z040303017</t>
  </si>
  <si>
    <t>Z000072001Z040401001</t>
  </si>
  <si>
    <t>Z000072003Z010201001</t>
  </si>
  <si>
    <t>CONCRETAGEM DE ESTACA RAIZ - ARGAMASSA USINADA 20 MPA</t>
  </si>
  <si>
    <t>Z000072003Z010201002</t>
  </si>
  <si>
    <t>Z000072003Z010203001</t>
  </si>
  <si>
    <t>Z000072003Z040202006</t>
  </si>
  <si>
    <t>Z000072003Z040303017</t>
  </si>
  <si>
    <t>Z000072003Z040401001</t>
  </si>
  <si>
    <t>Z000073001Z040202006</t>
  </si>
  <si>
    <t>ARRASAMENTO MECANICO DE ESTACA DE CONCRETO ARMADO, DIAMETROS DE ATE 40CM</t>
  </si>
  <si>
    <t>SERVICO DE ARRASAMENTO DE ESTACAS - TERCEIRIZADO</t>
  </si>
  <si>
    <t>Z000073001Z040303015</t>
  </si>
  <si>
    <t>Z000073001Z040401001</t>
  </si>
  <si>
    <t>Z000073001Z050103013</t>
  </si>
  <si>
    <t>Z000073001Z050103014</t>
  </si>
  <si>
    <t>Z000073002Z040202006</t>
  </si>
  <si>
    <t>ARRASAMENTO MECANICO DE ESTACA DE CONCRETO ARMADO, DIAMETROS DE 41CM A 60CM</t>
  </si>
  <si>
    <t>Z000073002Z040303015</t>
  </si>
  <si>
    <t>Z000073002Z040401001</t>
  </si>
  <si>
    <t>Z000073002Z050103013</t>
  </si>
  <si>
    <t>Z000073002Z050103014</t>
  </si>
  <si>
    <t>Z000073003Z040202006</t>
  </si>
  <si>
    <t>ARRASAMENTO MECANICO DE ESTACA DE CONCRETO ARMADO, DIAMETROS DE 61CM A 80CM</t>
  </si>
  <si>
    <t>Z000073003Z040303015</t>
  </si>
  <si>
    <t>Z000073003Z040401001</t>
  </si>
  <si>
    <t>Z000073003Z050103013</t>
  </si>
  <si>
    <t>Z000073003Z050103014</t>
  </si>
  <si>
    <t>Z000073004Z040202006</t>
  </si>
  <si>
    <t>ARRASAMENTO MECANICO DE ESTACA DE CONCRETO ARMADO, DIAMETROS DE 81CM A 100CM</t>
  </si>
  <si>
    <t>Z000073004Z040303015</t>
  </si>
  <si>
    <t>Z000073004Z040401001</t>
  </si>
  <si>
    <t>Z000073004Z050103013</t>
  </si>
  <si>
    <t>Z000073004Z050103014</t>
  </si>
  <si>
    <t>Z000075001Z040302015</t>
  </si>
  <si>
    <t>ESCAVACAO DE ESTACA ESCAVADA, DIAMETRO 50CM</t>
  </si>
  <si>
    <t>Z000075002Z040302016</t>
  </si>
  <si>
    <t>ESCAVACAO DE ESTACA ESCAVADA, DIAMETRO 60CM</t>
  </si>
  <si>
    <t>Z000075003Z040302017</t>
  </si>
  <si>
    <t>ESCAVACAO DE ESTACA ESCAVADA, DIAMETRO 80CM</t>
  </si>
  <si>
    <t>Z000075004Z040302018</t>
  </si>
  <si>
    <t>ESCAVACAO DE ESTACA ESCAVADA, DIAMETRO 90CM</t>
  </si>
  <si>
    <t>Z000076001Z040302019</t>
  </si>
  <si>
    <t>Z000076002Z040302020</t>
  </si>
  <si>
    <t>Z000076003Z040302021</t>
  </si>
  <si>
    <t>Z000078001Z040201013</t>
  </si>
  <si>
    <t>ESCAVACAO MECANIZADA PARA SAPATAS PARA COLOCACAO DE FORMAS</t>
  </si>
  <si>
    <t>Z000078001Z040202006</t>
  </si>
  <si>
    <t>SERVICO DE ESCAVACAO MANUAL DE VALA - TERCEIRIZADO</t>
  </si>
  <si>
    <t>Z000078001Z040303018</t>
  </si>
  <si>
    <t>Z000078001Z040401001</t>
  </si>
  <si>
    <t>Z000078001Z050101007</t>
  </si>
  <si>
    <t>Z000078001Z050101008</t>
  </si>
  <si>
    <t>Z000078002Z040202006</t>
  </si>
  <si>
    <t>SERVICO DE REATERRO MANUAL DE VALA - TERCEIRIZADO</t>
  </si>
  <si>
    <t>Z000078002Z040303019</t>
  </si>
  <si>
    <t>Z000078002Z040401001</t>
  </si>
  <si>
    <t>Z000078002Z050101001</t>
  </si>
  <si>
    <t>Z000078002Z050101002</t>
  </si>
  <si>
    <t>Z000078002Z050101005</t>
  </si>
  <si>
    <t>Z000078002Z050101006</t>
  </si>
  <si>
    <t>COMPACTADOR DE SOLOS DE PERCUSSAO (SOQUETE) - CHP</t>
  </si>
  <si>
    <t>Z000078002Z050103017</t>
  </si>
  <si>
    <t>Z000078003Z010201001</t>
  </si>
  <si>
    <t>CONCRETAGEM DE SAPATAS - FCK = 25MPA USINADO COM USO DE BOMBA - LANCAMENTO, ADENSAMENTO E ACABAMENTO</t>
  </si>
  <si>
    <t>Z000078003Z010201002</t>
  </si>
  <si>
    <t>Z000078003Z010202003</t>
  </si>
  <si>
    <t>Z000078003Z040201013</t>
  </si>
  <si>
    <t>Z000078003Z040202006</t>
  </si>
  <si>
    <t>Z000078003Z040303017</t>
  </si>
  <si>
    <t>Z000078003Z040401001</t>
  </si>
  <si>
    <t>VIBRADOR DE IMERSAO, DIAMETRO DE PONTEIRA 45MM - CHP</t>
  </si>
  <si>
    <t>Z000078003Z050103005</t>
  </si>
  <si>
    <t>VIBRADOR DE IMERSAO, DIAMETRO DE PONTEIRA 45MM - CHI</t>
  </si>
  <si>
    <t>Z000078003Z050103006</t>
  </si>
  <si>
    <t>SERVICO DE MONTAGEM DE FORMA INCORPORADA - TERCEIRIZADO</t>
  </si>
  <si>
    <t>Z000078006Z010101002</t>
  </si>
  <si>
    <t>ARMACAO DE SAPATA UTILIZANDO ACO CA-50 DE 6.3 MM CORTADO, DOBRADO E MONTADO</t>
  </si>
  <si>
    <t>Z000078006Z040401001</t>
  </si>
  <si>
    <t>Z000078006Z010105001</t>
  </si>
  <si>
    <t>Z000078006Z030107001</t>
  </si>
  <si>
    <t>Z000078006Z040201001</t>
  </si>
  <si>
    <t>Z000078006Z040202001</t>
  </si>
  <si>
    <t>Z000078006Z040303010</t>
  </si>
  <si>
    <t>Z000078006Z040303013</t>
  </si>
  <si>
    <t>Z000078009Z010101005</t>
  </si>
  <si>
    <t>ARMACAO DE SAPATA UTILIZANDO ACO CA-50 DE 12.5 MM CORTADO, DOBRADO E MONTADO</t>
  </si>
  <si>
    <t>Z000078009Z010105001</t>
  </si>
  <si>
    <t>Z000078009Z030107001</t>
  </si>
  <si>
    <t>Z000078009Z040201001</t>
  </si>
  <si>
    <t>Z000078009Z040202001</t>
  </si>
  <si>
    <t>Z000078009Z040303010</t>
  </si>
  <si>
    <t>Z000078009Z040303013</t>
  </si>
  <si>
    <t>Z000078009Z040401001</t>
  </si>
  <si>
    <t>Z000078013Z010301001</t>
  </si>
  <si>
    <t>LASTRO DE CONCRETO MAGRO APLICADO EM SAPATAS, ESPESSURA DE 3 CM - CONCRETO RODADO EM OBRA</t>
  </si>
  <si>
    <t>Z000078013Z010303003</t>
  </si>
  <si>
    <t>Z000078013Z010304001</t>
  </si>
  <si>
    <t>Z000078013Z040201013</t>
  </si>
  <si>
    <t>Z000078013Z040202006</t>
  </si>
  <si>
    <t>Z000078013Z040204001</t>
  </si>
  <si>
    <t>SERVICO DE CONCRETAGEM DE LASTRO - TERCEIRIZADO</t>
  </si>
  <si>
    <t>Z000078013Z040303020</t>
  </si>
  <si>
    <t>Z000078013Z040401001</t>
  </si>
  <si>
    <t>Z000078013Z050103019</t>
  </si>
  <si>
    <t>Z000078013Z050103020</t>
  </si>
  <si>
    <t>Z000081001Z040201013</t>
  </si>
  <si>
    <t>ESCAVACAO MECANIZADA PARA BLOCO DE COROAMENTO PARA COLOCACAO DE FORMAS</t>
  </si>
  <si>
    <t>Z000081001Z040202006</t>
  </si>
  <si>
    <t>Z000081001Z040303018</t>
  </si>
  <si>
    <t>Z000081001Z040401001</t>
  </si>
  <si>
    <t>Z000081001Z050101005</t>
  </si>
  <si>
    <t>Z000081001Z050101006</t>
  </si>
  <si>
    <t>Z000081002Z040201013</t>
  </si>
  <si>
    <t>ESCAVACAO MECANIZADA PARA VIGA BALDRAME PARA COLOCACAO DE FORMAS</t>
  </si>
  <si>
    <t>Z000081002Z040202006</t>
  </si>
  <si>
    <t>Z000081002Z040303018</t>
  </si>
  <si>
    <t>Z000081002Z040401001</t>
  </si>
  <si>
    <t>Z000081002Z050101007</t>
  </si>
  <si>
    <t>Z000081002Z050101008</t>
  </si>
  <si>
    <t>Z000081003Z050101002</t>
  </si>
  <si>
    <t>REATERRO MECANIZADO PARA BLOCOS E CINTAS</t>
  </si>
  <si>
    <t>Z000081003Z050101005</t>
  </si>
  <si>
    <t>Z000081003Z050101006</t>
  </si>
  <si>
    <t>Z000081003Z050103017</t>
  </si>
  <si>
    <t>Z000081003Z040202006</t>
  </si>
  <si>
    <t>Z000081003Z040303019</t>
  </si>
  <si>
    <t>Z000081003Z040401001</t>
  </si>
  <si>
    <t>Z000081003Z050101001</t>
  </si>
  <si>
    <t>Z000082004Z010101004</t>
  </si>
  <si>
    <t>ARMACAO DE BLOCO UTILIZANDO ACO CA-50 DE 10.0 MM CORTADO, DOBRADO E MONTADO</t>
  </si>
  <si>
    <t>Z000082004Z010105001</t>
  </si>
  <si>
    <t>Z000082004Z030107001</t>
  </si>
  <si>
    <t>Z000082004Z040201001</t>
  </si>
  <si>
    <t>Z000082004Z040202001</t>
  </si>
  <si>
    <t>Z000082004Z040303009</t>
  </si>
  <si>
    <t>Z000082004Z040303012</t>
  </si>
  <si>
    <t>Z000082004Z040401001</t>
  </si>
  <si>
    <t>Z000082005Z010101005</t>
  </si>
  <si>
    <t>ARMACAO DE BLOCO UTILIZANDO ACO CA-50 DE 12.5 MM CORTADO, DOBRADO E MONTADO</t>
  </si>
  <si>
    <t>Z000082005Z010105001</t>
  </si>
  <si>
    <t>Z000082005Z030107001</t>
  </si>
  <si>
    <t>Z000082005Z040201001</t>
  </si>
  <si>
    <t>Z000082005Z040202001</t>
  </si>
  <si>
    <t>Z000082005Z040303009</t>
  </si>
  <si>
    <t>Z000082005Z040303012</t>
  </si>
  <si>
    <t>Z000082005Z040401001</t>
  </si>
  <si>
    <t>Z000082025Z010103001</t>
  </si>
  <si>
    <t>PROTENSAO EM ESTRUTURA COM CORDOALHA DE 12,7 MM</t>
  </si>
  <si>
    <t>Z000082025Z040303003</t>
  </si>
  <si>
    <t>Z000082026Z010102001</t>
  </si>
  <si>
    <t>ARMACAO DE PISO DE CONCRETO OU LAJE SOBRE SOLO, COM TELA Q-138</t>
  </si>
  <si>
    <t>Z000082026Z010104001</t>
  </si>
  <si>
    <t>Z000082026Z010105001</t>
  </si>
  <si>
    <t>Z000082026Z040201001</t>
  </si>
  <si>
    <t>Z000082026Z040202001</t>
  </si>
  <si>
    <t>Z000082026Z040303013</t>
  </si>
  <si>
    <t>Z000082026Z040401001</t>
  </si>
  <si>
    <t>Z000082032Z010101001</t>
  </si>
  <si>
    <t>ARMACAO DE CINTA OU VIGA BALDRAME UTILIZANDO ACO CA-60 DE 5.0 MM CORTADO E DOBRADO</t>
  </si>
  <si>
    <t>Z000082032Z010105001</t>
  </si>
  <si>
    <t>Z000082032Z030107001</t>
  </si>
  <si>
    <t>Z000082032Z040201001</t>
  </si>
  <si>
    <t>Z000082032Z040202001</t>
  </si>
  <si>
    <t>Z000082032Z040303010</t>
  </si>
  <si>
    <t>Z000082032Z040303013</t>
  </si>
  <si>
    <t>Z000082032Z040401001</t>
  </si>
  <si>
    <t>Z000082035Z010101004</t>
  </si>
  <si>
    <t>ARMACAO DE CINTA OU VIGA BALDRAME UTILIZANDO ACO CA-50 DE 10.0 MM CORTADO E DOBRADO</t>
  </si>
  <si>
    <t>Z000082035Z010105001</t>
  </si>
  <si>
    <t>Z000082035Z030107001</t>
  </si>
  <si>
    <t>Z000082035Z040201001</t>
  </si>
  <si>
    <t>Z000082035Z040202001</t>
  </si>
  <si>
    <t>Z000082035Z040303010</t>
  </si>
  <si>
    <t>Z000082035Z040303013</t>
  </si>
  <si>
    <t>Z000082035Z040401001</t>
  </si>
  <si>
    <t>Z000082048Z010101001</t>
  </si>
  <si>
    <t>ARMACAO DE ESTRUTURAS DIVERSAS UTILIZANDO ACO CA-60 DE 5.0 MM CORTADO E DOBRADO</t>
  </si>
  <si>
    <t>Z000082048Z010105001</t>
  </si>
  <si>
    <t>Z000082048Z030107001</t>
  </si>
  <si>
    <t>Z000082048Z040201001</t>
  </si>
  <si>
    <t>Z000082048Z040202001</t>
  </si>
  <si>
    <t>Z000082048Z040303010</t>
  </si>
  <si>
    <t>Z000082048Z040303013</t>
  </si>
  <si>
    <t>Z000082048Z040401001</t>
  </si>
  <si>
    <t>Z000082049Z010101002</t>
  </si>
  <si>
    <t>ARMACAO DE ESTRUTURAS DIVERSAS UTILIZANDO ACO CA-50 DE 6.3 MM CORTADO E DOBRADO</t>
  </si>
  <si>
    <t>Z000082049Z010105001</t>
  </si>
  <si>
    <t>Z000082049Z030107001</t>
  </si>
  <si>
    <t>Z000082049Z040201001</t>
  </si>
  <si>
    <t>Z000082049Z040202001</t>
  </si>
  <si>
    <t>Z000082049Z040303010</t>
  </si>
  <si>
    <t>Z000082049Z040303013</t>
  </si>
  <si>
    <t>Z000082049Z040401001</t>
  </si>
  <si>
    <t>Z000082050Z040303010</t>
  </si>
  <si>
    <t>ARMACAO DE ESTRUTURAS DIVERSAS  UTILIZANDO ACO CA-50 DE 8.0 MM CORTADO E DOBRADO</t>
  </si>
  <si>
    <t>Z000082050Z040303013</t>
  </si>
  <si>
    <t>Z000082050Z040401001</t>
  </si>
  <si>
    <t>Z000082050Z010101003</t>
  </si>
  <si>
    <t>Z000082050Z010105001</t>
  </si>
  <si>
    <t>Z000082050Z030107001</t>
  </si>
  <si>
    <t>Z000082050Z040201001</t>
  </si>
  <si>
    <t>Z000082050Z040202001</t>
  </si>
  <si>
    <t>Z000082051Z010101004</t>
  </si>
  <si>
    <t>ARMACAO DE ESTRUTURAS DIVERSAS UTILIZANDO ACO CA-50 DE 10.0 MM CORTADO E DOBRADO</t>
  </si>
  <si>
    <t>Z000082051Z010105001</t>
  </si>
  <si>
    <t>Z000082051Z030107001</t>
  </si>
  <si>
    <t>Z000082051Z040201001</t>
  </si>
  <si>
    <t>Z000082051Z040202001</t>
  </si>
  <si>
    <t>Z000082051Z040303010</t>
  </si>
  <si>
    <t>Z000082051Z040303013</t>
  </si>
  <si>
    <t>Z000082051Z040401001</t>
  </si>
  <si>
    <t>Z000082052Z040303013</t>
  </si>
  <si>
    <t>ARMACAO DE ESTRUTURAS DIVERSAS UTILIZANDO ACO CA-50 DE 12.5 MM CORTADO E DOBRADO</t>
  </si>
  <si>
    <t>Z000082052Z040401001</t>
  </si>
  <si>
    <t>Z000082052Z010101005</t>
  </si>
  <si>
    <t>Z000082052Z010105001</t>
  </si>
  <si>
    <t>Z000082052Z030107001</t>
  </si>
  <si>
    <t>Z000082052Z040201001</t>
  </si>
  <si>
    <t>Z000082052Z040202001</t>
  </si>
  <si>
    <t>Z000082052Z040303010</t>
  </si>
  <si>
    <t>Z000082053Z010101006</t>
  </si>
  <si>
    <t>ARMACAO DE ESTRUTURAS DIVERSAS  UTILIZANDO ACO CA-50 DE 16.0 MM CORTADO E DOBRADO</t>
  </si>
  <si>
    <t>Z000082053Z010105001</t>
  </si>
  <si>
    <t>Z000082053Z030107001</t>
  </si>
  <si>
    <t>Z000082053Z040201001</t>
  </si>
  <si>
    <t>Z000082053Z040202001</t>
  </si>
  <si>
    <t>Z000082053Z040303010</t>
  </si>
  <si>
    <t>Z000082053Z040303013</t>
  </si>
  <si>
    <t>Z000082053Z040401001</t>
  </si>
  <si>
    <t>Z000082054Z010101007</t>
  </si>
  <si>
    <t>ARMACAO DE ESTRUTURAS DIVERSAS  UTILIZANDO ACO CA-50 DE 20.0 MM CORTADO E DOBRADO</t>
  </si>
  <si>
    <t>Z000082054Z010105001</t>
  </si>
  <si>
    <t>Z000082054Z030107001</t>
  </si>
  <si>
    <t>Z000082054Z040201001</t>
  </si>
  <si>
    <t>Z000082054Z040202001</t>
  </si>
  <si>
    <t>Z000082054Z040303010</t>
  </si>
  <si>
    <t>Z000082054Z040303013</t>
  </si>
  <si>
    <t>Z000082054Z040401001</t>
  </si>
  <si>
    <t>Z000082055Z010101008</t>
  </si>
  <si>
    <t>ARMACAO DE ESTRUTURAS DIVERSAS  UTILIZANDO ACO CA-50 DE 25.0 MM CORTADO E DOBRADO</t>
  </si>
  <si>
    <t>Z000082055Z010105001</t>
  </si>
  <si>
    <t>Z000082055Z030107001</t>
  </si>
  <si>
    <t>Z000082055Z040201001</t>
  </si>
  <si>
    <t>Z000082055Z040202001</t>
  </si>
  <si>
    <t>Z000082055Z040303010</t>
  </si>
  <si>
    <t>Z000082055Z040303013</t>
  </si>
  <si>
    <t>Z000082055Z040401001</t>
  </si>
  <si>
    <t>Z000083001Z010109003</t>
  </si>
  <si>
    <t>FABRICACAO, MONTAGEM E DESMONTAGEM DE FORMA PARA VIGA BALDRAME, EM CHAPA DE MADEIRA COMPENSADA RESINADA, E = 17MM, 4 UTILIZACOES</t>
  </si>
  <si>
    <t>Z000083001Z010109005</t>
  </si>
  <si>
    <t>Z000083001Z010109008</t>
  </si>
  <si>
    <t>DESMOLDANTE PROTETOR PARA FORMAS DE MADEIRA</t>
  </si>
  <si>
    <t>Z000083001Z010305001</t>
  </si>
  <si>
    <t>CHAPA/PAINEL DE MADEIRA COMPENSADA RESINADA (MADEIRITE RESINADO ROSA) PARA FORMA DE CONCRETO DE 2200 x 1100 MM, E = 17 MM</t>
  </si>
  <si>
    <t>Z000083001Z010401001</t>
  </si>
  <si>
    <t>PONTALETE 7,5 X 7,5 CM EM PINUS, MISTA OU EQUIVALENTE</t>
  </si>
  <si>
    <t>Z000083001Z010403001</t>
  </si>
  <si>
    <t>Z000083001Z050103008</t>
  </si>
  <si>
    <t>SARRAFO 2,5 X 7,5 CM EM PINUS, MISTA OU EQUIVALENTE</t>
  </si>
  <si>
    <t>Z000083001Z010404002</t>
  </si>
  <si>
    <t>Z000083001Z040201005</t>
  </si>
  <si>
    <t>Z000083001Z040202002</t>
  </si>
  <si>
    <t>SERVICO DE MONTAGEM E DESMONTAGEM DE FORMA E CIMBRAMENTO - TERCEIRIZADO</t>
  </si>
  <si>
    <t>Z000083001Z040303016</t>
  </si>
  <si>
    <t>Z000083001Z040401001</t>
  </si>
  <si>
    <t>Z000083001Z050103007</t>
  </si>
  <si>
    <t>Z000083005Z010109004</t>
  </si>
  <si>
    <t>FABRICACAO DE FORMA PARA PILARES, EM CHAPA DE MADEIRA COMPENSADA RESINADA, E = 17MM</t>
  </si>
  <si>
    <t>Z000083005Z010401001</t>
  </si>
  <si>
    <t>Z000083005Z010403001</t>
  </si>
  <si>
    <t>Z000083005Z010404002</t>
  </si>
  <si>
    <t>Z000083005Z040201005</t>
  </si>
  <si>
    <t>Z000083005Z040202002</t>
  </si>
  <si>
    <t>Z000083005Z040401001</t>
  </si>
  <si>
    <t>Z000083005Z050103007</t>
  </si>
  <si>
    <t>Z000083005Z050103008</t>
  </si>
  <si>
    <t>Z000083006Z010109004</t>
  </si>
  <si>
    <t>FABRICACAO DE FORMA PARA VIGAS, EM CHAPA DE MADEIRA COMPENSADA RESINADA, E = 17MM</t>
  </si>
  <si>
    <t>Z000083006Z010401001</t>
  </si>
  <si>
    <t>Z000083006Z010403001</t>
  </si>
  <si>
    <t>Z000083006Z010404002</t>
  </si>
  <si>
    <t>Z000083006Z040201005</t>
  </si>
  <si>
    <t>Z000083006Z040202002</t>
  </si>
  <si>
    <t>Z000083006Z040401001</t>
  </si>
  <si>
    <t>Z000083006Z050103007</t>
  </si>
  <si>
    <t>Z000083006Z050103008</t>
  </si>
  <si>
    <t>Z000083011Z010109004</t>
  </si>
  <si>
    <t>MONTAGEM E DESMONTAGEM DE FORMA DE PILARES, EM CHAPA DE MADEIRA COMPENSADA RESINADA, 4 UTILIZACOES</t>
  </si>
  <si>
    <t>Z000083011Z010109008</t>
  </si>
  <si>
    <t>Z000083011Z010305001</t>
  </si>
  <si>
    <t>Z000083011Z010401001</t>
  </si>
  <si>
    <t>Z000083011Z010403001</t>
  </si>
  <si>
    <t>Z000083011Z010404002</t>
  </si>
  <si>
    <t>Z000083011Z040201005</t>
  </si>
  <si>
    <t>Z000083011Z040202002</t>
  </si>
  <si>
    <t>Z000083011Z040303016</t>
  </si>
  <si>
    <t>Z000083011Z040401001</t>
  </si>
  <si>
    <t>Z000083011Z050103007</t>
  </si>
  <si>
    <t>Z000083011Z050103008</t>
  </si>
  <si>
    <t>Z000083012Z040401001</t>
  </si>
  <si>
    <t>MONTAGEM E DESMONTAGEM DE FORMA DE VIGAS, EM CHAPA DE MADEIRA COMPENSADA RESINADA, 4 UTILIZACOES</t>
  </si>
  <si>
    <t>Z000083012Z050103007</t>
  </si>
  <si>
    <t>Z000083012Z050103008</t>
  </si>
  <si>
    <t>Z000083012Z010401001</t>
  </si>
  <si>
    <t>Z000083012Z010403001</t>
  </si>
  <si>
    <t>Z000083012Z010404002</t>
  </si>
  <si>
    <t>Z000083012Z040201005</t>
  </si>
  <si>
    <t>Z000083012Z040202002</t>
  </si>
  <si>
    <t>Z000083012Z040303016</t>
  </si>
  <si>
    <t>Z000083012Z010109004</t>
  </si>
  <si>
    <t>Z000083012Z010109008</t>
  </si>
  <si>
    <t>Z000083012Z010305001</t>
  </si>
  <si>
    <t>Z000083014Z040201005</t>
  </si>
  <si>
    <t>MONTAGEM E DESMONTAGEM DE FORMA DE LAJE PLANA PLANEX (ATEX), FORMA LOCADA</t>
  </si>
  <si>
    <t>Z000083014Z040202002</t>
  </si>
  <si>
    <t>Z000083014Z040303014</t>
  </si>
  <si>
    <t>Z000083014Z040303016</t>
  </si>
  <si>
    <t>Z000083014Z040401001</t>
  </si>
  <si>
    <t>Z000084001Z010201001</t>
  </si>
  <si>
    <t>CONCRETAGEM DE BLOCOS E CINTAS - FCK = 30MPA USINADO COM USO DE BOMBA - LANCAMENTO, ADENSAMENTO E ACABAMENTO</t>
  </si>
  <si>
    <t>Z000084001Z010201002</t>
  </si>
  <si>
    <t>Z000084001Z010202004</t>
  </si>
  <si>
    <t>Z000084001Z040201013</t>
  </si>
  <si>
    <t>Z000084001Z040202006</t>
  </si>
  <si>
    <t>Z000084001Z040303017</t>
  </si>
  <si>
    <t>Z000084001Z040401001</t>
  </si>
  <si>
    <t>Z000084001Z050103005</t>
  </si>
  <si>
    <t>Z000084001Z050103006</t>
  </si>
  <si>
    <t>Z000084003Z010201001</t>
  </si>
  <si>
    <t>CONCRETAGEM DE ESTRUTURA - FCK = 20MPA USINADO COM USO DE BOMBA - LANCAMENTO, ADENSAMENTO E ACABAMENTO</t>
  </si>
  <si>
    <t>Z000084003Z010201002</t>
  </si>
  <si>
    <t>Z000084003Z010202002</t>
  </si>
  <si>
    <t>Z000084003Z050103006</t>
  </si>
  <si>
    <t>Z000084003Z040201005</t>
  </si>
  <si>
    <t>Z000084003Z040201013</t>
  </si>
  <si>
    <t>Z000084003Z040202006</t>
  </si>
  <si>
    <t>Z000084003Z040303017</t>
  </si>
  <si>
    <t>Z000084003Z040401001</t>
  </si>
  <si>
    <t>Z000084003Z050103005</t>
  </si>
  <si>
    <t>Z000084011Z040303017</t>
  </si>
  <si>
    <t>CONCRETAGEM DE BLOCOS E CINTAS - FCK = 35MPA USINADO COM USO DE BOMBA - LANCAMENTO, ADENSAMENTO E ACABAMENTO</t>
  </si>
  <si>
    <t>Z000084011Z040401001</t>
  </si>
  <si>
    <t>Z000084011Z050103005</t>
  </si>
  <si>
    <t>Z000084011Z050103006</t>
  </si>
  <si>
    <t>Z000084011Z010201001</t>
  </si>
  <si>
    <t>Z000084011Z010201002</t>
  </si>
  <si>
    <t>Z000084011Z010202005</t>
  </si>
  <si>
    <t>Z000084011Z040201013</t>
  </si>
  <si>
    <t>Z000084011Z040202006</t>
  </si>
  <si>
    <t>Z000084012Z010201001</t>
  </si>
  <si>
    <t>CONCRETAGEM DE ESTRUTURA - FCK = 35MPA USINADO COM USO DE BOMBA - LANCAMENTO, ADENSAMENTO E ACABAMENTO</t>
  </si>
  <si>
    <t>Z000084012Z010201002</t>
  </si>
  <si>
    <t>Z000084012Z010202005</t>
  </si>
  <si>
    <t>Z000084012Z040201005</t>
  </si>
  <si>
    <t>Z000084012Z040201013</t>
  </si>
  <si>
    <t>Z000084012Z040202006</t>
  </si>
  <si>
    <t>Z000084012Z040303017</t>
  </si>
  <si>
    <t>Z000084012Z040401001</t>
  </si>
  <si>
    <t>Z000084012Z050103005</t>
  </si>
  <si>
    <t>Z000084012Z050103006</t>
  </si>
  <si>
    <t>SERVICO DE ESTUCAMENTO DE FACHADA (CONCRETO APARENTE)</t>
  </si>
  <si>
    <t>Z000084017Z040304008</t>
  </si>
  <si>
    <t>ESTUCAMENTO DE DENSIDADE BAIXA DE CONCRETO APARENTE, ACESSO COM PLATAFORMA OU CADEIRINHA, UTILIZAÇÃO DE ARGAMASSA COLANTE</t>
  </si>
  <si>
    <t>Z000084022Z040303029</t>
  </si>
  <si>
    <t>COMPOSICAO PARAMETRICA - CONTENCAO SOLO GRAMPEADO</t>
  </si>
  <si>
    <t>Z000084023Z040303030</t>
  </si>
  <si>
    <t>COMPOSICAO PARAMETRICA - ESTRUTURA DE CONCRETO ARMADO</t>
  </si>
  <si>
    <t>Z000085001Z040303005</t>
  </si>
  <si>
    <t>LOCACAO DE ESCORAS METALICAS, INCLUSO PROJETO E FRETE</t>
  </si>
  <si>
    <t>MANTA LIQUIDA DE BASE ASFALTICA (MEMBRANA IMPERMEABILIZANTE ASFASTICA)</t>
  </si>
  <si>
    <t>Z000086001Z010501001</t>
  </si>
  <si>
    <t>IMPERMEABILIZACAO DE BLOCOS E VIGAS COM EMULSAO ASFALTICA, 2 DEMAOS</t>
  </si>
  <si>
    <t>Z000086001Z040201009</t>
  </si>
  <si>
    <t>Z000086001Z040202003</t>
  </si>
  <si>
    <t>SERVICO DE IMPERMEABILIZACAO COM EMULSAO ASFALTICA PARA ESTRUTURA - TERCEIRIZADO</t>
  </si>
  <si>
    <t>Z000086001Z040303024</t>
  </si>
  <si>
    <t>Z000086001Z040401001</t>
  </si>
  <si>
    <t>Z000088001Z010301001</t>
  </si>
  <si>
    <t>LASTRO DE CONCRETO MAGRO APLICADO EM BLOCOS DE COROAMENTO OU SAPATAS, ESPESSURA DE 3 CM - CONCRETO RODADO EM OBRA</t>
  </si>
  <si>
    <t>Z000088001Z010303003</t>
  </si>
  <si>
    <t>Z000088001Z010304001</t>
  </si>
  <si>
    <t>Z000088001Z040201013</t>
  </si>
  <si>
    <t>Z000088001Z040202006</t>
  </si>
  <si>
    <t>Z000088001Z040204001</t>
  </si>
  <si>
    <t>Z000088001Z040303020</t>
  </si>
  <si>
    <t>Z000088001Z040401001</t>
  </si>
  <si>
    <t>Z000088001Z050103019</t>
  </si>
  <si>
    <t>Z000088001Z050103020</t>
  </si>
  <si>
    <t>ESTRUTURA METALICA PARA ESCADA HELICOIDAL - INDICE VB</t>
  </si>
  <si>
    <t>Z000089001Z040303007</t>
  </si>
  <si>
    <t>ESTRUTURA METALICA PARA ESCADA HELICOIDAL</t>
  </si>
  <si>
    <t>TELA DE ACO SOLDADA GALVANIZADA/ZINCADA PARA ALVENARIA, FIO D = 1.20 A 1.70 MM, MALHA 15X15 MM, (C X L) 50X7.5 CM</t>
  </si>
  <si>
    <t>Z000091011Z010106001</t>
  </si>
  <si>
    <t>ALVENARIA DE VEDACAO DE BLOCOS CERAMICOS 14X19X39CM - ASSENTADO COM COLHER E ARGAMASSA ENSACADA</t>
  </si>
  <si>
    <t>Z000091011Z010204005</t>
  </si>
  <si>
    <t>TIJOLO CERAMICO VAZADO PARA ALVENARIA DE VEDACAO 14X19X29 CM</t>
  </si>
  <si>
    <t>Z000091011Z010602003</t>
  </si>
  <si>
    <t>CENTO</t>
  </si>
  <si>
    <t>Z000091011Z030201006</t>
  </si>
  <si>
    <t>Z000091011Z040201013</t>
  </si>
  <si>
    <t>Z000091011Z040202006</t>
  </si>
  <si>
    <t>Z000091011Z040204001</t>
  </si>
  <si>
    <t>SERVICO DE ALVENARIA DE VEDACAO - TERCEIRIZADO</t>
  </si>
  <si>
    <t>Z000091011Z040304004</t>
  </si>
  <si>
    <t>Z000091011Z040401001</t>
  </si>
  <si>
    <t>Z000091011Z050103019</t>
  </si>
  <si>
    <t>Z000091011Z050103020</t>
  </si>
  <si>
    <t>Z000093001Z010101003</t>
  </si>
  <si>
    <t>CONTRAVERGA MOLDADA IN LOCO COM UTILIZACAO DE BLOCOS CANALETA, ESPESSURA 10CM</t>
  </si>
  <si>
    <t>Z000093001Z010301001</t>
  </si>
  <si>
    <t>Z000093001Z010303002</t>
  </si>
  <si>
    <t>Z000093001Z010304001</t>
  </si>
  <si>
    <t>Z000093001Z010304002</t>
  </si>
  <si>
    <t>ADITIVO PLASTIFICANTE E ESTABILIZADOR PARA ARGAMASSAS DE ASSENTAMENTO E REBOCO</t>
  </si>
  <si>
    <t>Z000093001Z010305003</t>
  </si>
  <si>
    <t>Z000093001Z040204001</t>
  </si>
  <si>
    <t>Z000093001Z040401001</t>
  </si>
  <si>
    <t>Z000093001Z050103019</t>
  </si>
  <si>
    <t>Z000093001Z050103020</t>
  </si>
  <si>
    <t>ADITIVO PLASTIFICANTE E REDUTOR DE AGUA PARA CONCRETO</t>
  </si>
  <si>
    <t>Z000093001Z010305005</t>
  </si>
  <si>
    <t>CANALETA DE CONCRETO 9X19X19 CM (CLASSE C - NBR 6136)</t>
  </si>
  <si>
    <t>Z000093001Z010702001</t>
  </si>
  <si>
    <t>Z000093001Z040201001</t>
  </si>
  <si>
    <t>Z000093001Z040201013</t>
  </si>
  <si>
    <t>Z000093001Z040202001</t>
  </si>
  <si>
    <t>Z000093001Z040202006</t>
  </si>
  <si>
    <t>Z000093002Z010101003</t>
  </si>
  <si>
    <t>VERGA PARA JANELAS MOLDADA IN LOCO COM UTILIZACAO DE BLOCOS CANALETA, ESPESSURA 10CM</t>
  </si>
  <si>
    <t>Z000093002Z010301001</t>
  </si>
  <si>
    <t>Z000093002Z010303002</t>
  </si>
  <si>
    <t>Z000093002Z010304001</t>
  </si>
  <si>
    <t>Z000093002Z010304002</t>
  </si>
  <si>
    <t>Z000093002Z010305003</t>
  </si>
  <si>
    <t>Z000093002Z040202001</t>
  </si>
  <si>
    <t>Z000093002Z040202006</t>
  </si>
  <si>
    <t>Z000093002Z040204001</t>
  </si>
  <si>
    <t>Z000093002Z040401001</t>
  </si>
  <si>
    <t>Z000093002Z050103019</t>
  </si>
  <si>
    <t>Z000093002Z050103020</t>
  </si>
  <si>
    <t>Z000093002Z010305005</t>
  </si>
  <si>
    <t>TABUA DE MADEIRA NAO APARELHADA 2,5 X 30 CM, EM MACARANDUBA/MASSARANDUBA, ANGELIM OU EQUIVALENTE</t>
  </si>
  <si>
    <t>Z000093002Z010402003</t>
  </si>
  <si>
    <t>Z000093002Z010403001</t>
  </si>
  <si>
    <t>Z000093002Z010702001</t>
  </si>
  <si>
    <t>Z000093002Z040201001</t>
  </si>
  <si>
    <t>Z000093002Z040201013</t>
  </si>
  <si>
    <t>Z000093003Z010101003</t>
  </si>
  <si>
    <t>VERGA PARA PORTAS MOLDADA IN LOCO COM UTILIZACAO DE BLOCOS CANALETA, ESPESSURA 10CM</t>
  </si>
  <si>
    <t>Z000093003Z040202006</t>
  </si>
  <si>
    <t>Z000093003Z040204001</t>
  </si>
  <si>
    <t>Z000093003Z040401001</t>
  </si>
  <si>
    <t>Z000093003Z050103019</t>
  </si>
  <si>
    <t>Z000093003Z050103020</t>
  </si>
  <si>
    <t>Z000093003Z010402003</t>
  </si>
  <si>
    <t>Z000093003Z010403001</t>
  </si>
  <si>
    <t>Z000093003Z010702001</t>
  </si>
  <si>
    <t>Z000093003Z040201001</t>
  </si>
  <si>
    <t>Z000093003Z040201013</t>
  </si>
  <si>
    <t>Z000093003Z040202001</t>
  </si>
  <si>
    <t>Z000093003Z010301001</t>
  </si>
  <si>
    <t>Z000093003Z010303002</t>
  </si>
  <si>
    <t>Z000093003Z010304001</t>
  </si>
  <si>
    <t>Z000093003Z010304002</t>
  </si>
  <si>
    <t>Z000093003Z010305003</t>
  </si>
  <si>
    <t>Z000093003Z010305005</t>
  </si>
  <si>
    <t>Z000094001Z010801001</t>
  </si>
  <si>
    <t>PAREDE COM PLACAS DE GESSO ACARTONADO (DRYWALL)</t>
  </si>
  <si>
    <t>Z000094001Z040304001</t>
  </si>
  <si>
    <t>REFORCO METALICO EM PAREDE DE DRYWALL COM CHAPA DE ACO ZINCADO 70X3000X0.5 MM (L X C X E)</t>
  </si>
  <si>
    <t>Z000094002Z010802001</t>
  </si>
  <si>
    <t>MAO DE OBRA PARA INSTALACAO DE REFORCO EM PAREDE DE DRYWALL</t>
  </si>
  <si>
    <t>Z000094002Z040304002</t>
  </si>
  <si>
    <t>Z000095002Z010201001</t>
  </si>
  <si>
    <t>CONTRAPISO EM ARGAMASSA, ESPESSURA 6CM - ARGAMASSA USINADA</t>
  </si>
  <si>
    <t>Z000095002Z010201002</t>
  </si>
  <si>
    <t>Z000095002Z010204001</t>
  </si>
  <si>
    <t>Z000095002Z040201013</t>
  </si>
  <si>
    <t>Z000095002Z040202006</t>
  </si>
  <si>
    <t>Z000095002Z040304005</t>
  </si>
  <si>
    <t>Z000095002Z040401001</t>
  </si>
  <si>
    <t>Z000096003Z010204006</t>
  </si>
  <si>
    <t>CHAPISCO APLICADO EM ALVENARIAS E ESTRUTURAS DE CONCRETO INTERNAS COM COLHER DE PEDREIRO - ARGAMASSA ENSACADA</t>
  </si>
  <si>
    <t>Z000096003Z040201013</t>
  </si>
  <si>
    <t>Z000096003Z040202006</t>
  </si>
  <si>
    <t>Z000096003Z040204001</t>
  </si>
  <si>
    <t>Z000096003Z040304012</t>
  </si>
  <si>
    <t>Z000096003Z040401001</t>
  </si>
  <si>
    <t>Z000096003Z050103019</t>
  </si>
  <si>
    <t>Z000096003Z050103020</t>
  </si>
  <si>
    <t>Z000096005Z010204006</t>
  </si>
  <si>
    <t>CHAPISCO APLICADO EM FACHADAS COM COLHER DE PEDREIRO - ARGAMASSA ENSACADA</t>
  </si>
  <si>
    <t>Z000096005Z040201013</t>
  </si>
  <si>
    <t>Z000096005Z040202006</t>
  </si>
  <si>
    <t>Z000096005Z040204001</t>
  </si>
  <si>
    <t>Z000096005Z040304013</t>
  </si>
  <si>
    <t>Z000096005Z040401001</t>
  </si>
  <si>
    <t>Z000096005Z050103019</t>
  </si>
  <si>
    <t>Z000096005Z050103020</t>
  </si>
  <si>
    <t>TELA DE ACO SOLDADA GALVANIZADA/ZINCADA PARA REBOCO, FIO D = 1.24 MM, MALHA 25X25 MM</t>
  </si>
  <si>
    <t>Z000097008Z010106003</t>
  </si>
  <si>
    <t>REBOCO E/OU EMBOCO EXTERNO PARA FACHADA ESPESSURA 3,5CM APLICADO MANUALMENTE - ARGAMASSA ENSACADA</t>
  </si>
  <si>
    <t>Z000097008Z010204004</t>
  </si>
  <si>
    <t>Z000097008Z040201013</t>
  </si>
  <si>
    <t>Z000097008Z040202006</t>
  </si>
  <si>
    <t>Z000097008Z040204001</t>
  </si>
  <si>
    <t>Z000097008Z040304007</t>
  </si>
  <si>
    <t>Z000097008Z040401001</t>
  </si>
  <si>
    <t>Z000097008Z050103019</t>
  </si>
  <si>
    <t>Z000097008Z050103020</t>
  </si>
  <si>
    <t>Z000097009Z010204004</t>
  </si>
  <si>
    <t>REBOCO E/OU EMBOCO PARA FACES INTERNAS ESPESSURA 3,0CM APLICADO MANUALMENTE - ARGAMASSA ENSACADA</t>
  </si>
  <si>
    <t>Z000097009Z040201013</t>
  </si>
  <si>
    <t>Z000097009Z040202006</t>
  </si>
  <si>
    <t>Z000097009Z040204001</t>
  </si>
  <si>
    <t>Z000097009Z040304006</t>
  </si>
  <si>
    <t>Z000097009Z040401001</t>
  </si>
  <si>
    <t>Z000097009Z050103019</t>
  </si>
  <si>
    <t>Z000097009Z050103020</t>
  </si>
  <si>
    <t>Z000098001Z010301001</t>
  </si>
  <si>
    <t>PINGADEIRA PREMOLDADA - ASSENTADA COM ARGAMASSA RODADA EM OBRA</t>
  </si>
  <si>
    <t>Z000098001Z010304001</t>
  </si>
  <si>
    <t>Z000098001Z010305003</t>
  </si>
  <si>
    <t>Z000098001Z010704001</t>
  </si>
  <si>
    <t>Z000098001Z040201013</t>
  </si>
  <si>
    <t>Z000098001Z040202006</t>
  </si>
  <si>
    <t>Z000098001Z050103020</t>
  </si>
  <si>
    <t>Z000098001Z040204001</t>
  </si>
  <si>
    <t>SERVICO DE ASSENTAMENTO DE PINGADEIRA PREMOLDADA - TERCEIRIZADO</t>
  </si>
  <si>
    <t>Z000098001Z040306009</t>
  </si>
  <si>
    <t>Z000098001Z040401001</t>
  </si>
  <si>
    <t>Z000098001Z050103007</t>
  </si>
  <si>
    <t>Z000098001Z050103008</t>
  </si>
  <si>
    <t>Z000098001Z050103019</t>
  </si>
  <si>
    <t>Z000101001Z010901001</t>
  </si>
  <si>
    <t>Z000101001Z040305004</t>
  </si>
  <si>
    <t>Z000101002Z010903001</t>
  </si>
  <si>
    <t>ACABAMENTOS PARA FORRO - SANCA DE GESSO</t>
  </si>
  <si>
    <t>Z000101002Z040305002</t>
  </si>
  <si>
    <t>Z000101003Z010902001</t>
  </si>
  <si>
    <t>Z000101003Z040305001</t>
  </si>
  <si>
    <t>Z000101004Z010901002</t>
  </si>
  <si>
    <t>Z000101004Z040305007</t>
  </si>
  <si>
    <t>Z000102001Z010904001</t>
  </si>
  <si>
    <t>Z000102001Z040305003</t>
  </si>
  <si>
    <t>Z000104002Z040305006</t>
  </si>
  <si>
    <t>FORROS ESPECIAIS - COMPOSICAO PARAMETRICA</t>
  </si>
  <si>
    <t>MATERIAL PARA COBERTURA TETO VERDE (TELHADO ECOLOGICO)</t>
  </si>
  <si>
    <t>Z000114003Z020801003</t>
  </si>
  <si>
    <t>COBERTURA TETO VERDE (TELHADO ECOLOGICO)</t>
  </si>
  <si>
    <t>SERVICO PARA COBERTURA TETO VERDE (TELHADO ECOLOGICO)</t>
  </si>
  <si>
    <t>Z000114003Z040306002</t>
  </si>
  <si>
    <t>Z000122014Z010507014</t>
  </si>
  <si>
    <t>MAO DE OBRA PARA IMPERMEABILIZACAO COM ARGAMASSA POLIMERICA COM FIBRAS (3,0KG/M2)</t>
  </si>
  <si>
    <t>Z000122014Z040307027</t>
  </si>
  <si>
    <t>ARGAMASSA POLIMERICA (3,0 KG/M2) ESTRUTURADA COM TELA POLIESTER</t>
  </si>
  <si>
    <t>Z000122015Z010507015</t>
  </si>
  <si>
    <t>IMPERMEABILIZACAO COM ARGAMASSA POLIMERICA (3,0 KG/M2) ESTRUTURADA COM TELA POLIESTER</t>
  </si>
  <si>
    <t>MAO DE OBRA PARA IMPERMEABILIZACAO COM ARGAMASSA POLIMERICA (3,0 KG/M2) ESTRUTURADA COM TELA POLIESTER</t>
  </si>
  <si>
    <t>Z000122015Z040307032</t>
  </si>
  <si>
    <t>MEMBRANA DE POLIUREIA (3,0KG/M2), ADERIDA SOBRE PRIMER (0,5KG/M2) + PINTURA ASFALTICA</t>
  </si>
  <si>
    <t>Z000123004Z010502005</t>
  </si>
  <si>
    <t>IMPERMEABILIZACAO COM MEMBRANA DE POLIUREIA (3,0KG/M2), ADERIDA SOBRE PRIMER (0,5KG/M2) + PINTURA ASFALTICA</t>
  </si>
  <si>
    <t>MAO DE OBRA PARA IMPERMEABILIZACAO COM MEMBRANA DE POLIUREIA (3,0KG/M2), ADERIDA SOBRE PRIMER (0,5KG/M2) + PINTURA ASFALTICA</t>
  </si>
  <si>
    <t>Z000123004Z040307029</t>
  </si>
  <si>
    <t>MEMBRANA DE POLIUREIA (3,0KG/M2), ADERIDA SOBRE PRIMER (0,5KG/M2) + PINTURA ANTI RAIZ</t>
  </si>
  <si>
    <t>Z000123005Z010502006</t>
  </si>
  <si>
    <t>IMPERMEABILIZACAO COM MEMBRANA DE POLIUREIA (3,0KG/M2), ADERIDA SOBRE PRIMER (0,5KG/M2) + PINTURA ANTI RAIZ</t>
  </si>
  <si>
    <t>MAO DE OBRA PARA IMPERMEABILIZACAO COM MEMBRANA DE POLIUREIA (3,0KG/M2), ADERIDA SOBRE PRIMER (0,5KG/M2) + PINTURA ANTI RAIZ</t>
  </si>
  <si>
    <t>Z000123005Z040307030</t>
  </si>
  <si>
    <t>MEMBRANA DE POLIUREIA (3,0 KG/M²), ADERIDA SOBRE PRIMER (0,5KG/M2)</t>
  </si>
  <si>
    <t>Z000123007Z010502008</t>
  </si>
  <si>
    <t>IMPERMEABILIZACAO COM MEMBRANA DE POLIUREIA (3,0 KG/M²), ADERIDA SOBRE PRIMER (0,5KG/M2)</t>
  </si>
  <si>
    <t>MAO DE OBRA PARA IMPERMEABILIZACAO COM MEMBRANA DE POLIUREIA (3,0 KG/M²), ADERIDA SOBRE PRIMER (0,5KG/M2)</t>
  </si>
  <si>
    <t>Z000123007Z040307037</t>
  </si>
  <si>
    <t>MANTA ASFALTICA 4MM TIPO III B AA OU PP + BANHO DE ASFALTO OXIDADO (2,0KG/M2) + PROTECAO MECANICA COM EPS (20MM)</t>
  </si>
  <si>
    <t>Z000124006Z010506006</t>
  </si>
  <si>
    <t>IMPERMEABILIZACAO COM MANTA ASFALTICA 4MM TIPO III B AA OU PP + BANHO DE ASFALTO OXIDADO (2,0KG/M2) + PROTECAO MECANICA COM EPS (20MM)</t>
  </si>
  <si>
    <t>MAO DE OBRA PARA IMPERMEABILIZACAO COM MANTA ASFALTICA 4MM TIPO III B AA OU PP + BANHO DE ASFALTO OXIDADO (2,0KG/M2) + PROTECAO MECANICA COM EPS (20MM)</t>
  </si>
  <si>
    <t>Z000124006Z040307035</t>
  </si>
  <si>
    <t>BACIA SANITARIA COM VOGUE PLUS CONFORTO BRANCO (SANITARIO PCD) DECA (COD: P.515.17)</t>
  </si>
  <si>
    <t>Z000131004Z020101005</t>
  </si>
  <si>
    <t>BACIA SANITARIA COM CAIXA ACOPLADA - VOGUE PLUS CONFORTO BRANCO (SANITARIO PCD), DECA - FORNECIMENTO E INSTALACAO - AP</t>
  </si>
  <si>
    <t>ANEL DE VEDACAO PVC FLEXIVEL 100MM PARA SAIDA DE BACIA / VASO SANITARIO</t>
  </si>
  <si>
    <t>Z000131004Z020105038</t>
  </si>
  <si>
    <t>Z000131004Z020202002</t>
  </si>
  <si>
    <t>PARAFUSO NIQUELADO COM ACABAMENTO CROMADO PARA FIXAR PECA SANITARIA INCLUI PORCA CEGA ARRUELA E BUCHA DE NYLON TAMANHO S-10</t>
  </si>
  <si>
    <t>Z000131004Z030201003</t>
  </si>
  <si>
    <t>Z000131004Z040201008</t>
  </si>
  <si>
    <t>Z000131004Z040202006</t>
  </si>
  <si>
    <t>Z000131004Z040401001</t>
  </si>
  <si>
    <t>BACIA SANITARIA COM CAIXA ACOPLADA SPAN ROUND BOX COM ASSENTO KOHLER</t>
  </si>
  <si>
    <t>Z000131005Z020101010</t>
  </si>
  <si>
    <t>BACIA SANITARIA COM CAIXA ACOPLADA - SPAN ROUND BOX COM ASSENTO, KOHLER - FORNECIMENTO E INSTALACAO - AP</t>
  </si>
  <si>
    <t>Z000131005Z020105038</t>
  </si>
  <si>
    <t>Z000131005Z020202002</t>
  </si>
  <si>
    <t>Z000131005Z030201003</t>
  </si>
  <si>
    <t>Z000131005Z040201008</t>
  </si>
  <si>
    <t>Z000131005Z040202006</t>
  </si>
  <si>
    <t>Z000131005Z040401001</t>
  </si>
  <si>
    <t>CUBA DE EMBUTIR OVAL EM LOUCA BRANCA 21` ARTIFACTS KOHLER INTERNACIONAL</t>
  </si>
  <si>
    <t>Z000132007Z020102021</t>
  </si>
  <si>
    <t>CUBA DE EMBUTIR OVAL EM LOUCA - BRANCA 21` ARTIFACTS, KOHLER INTERNACIONAL - FORNECIMENTO E INSTALACAO - AP</t>
  </si>
  <si>
    <t>Z000132007Z030203008</t>
  </si>
  <si>
    <t>Z000132007Z040201011</t>
  </si>
  <si>
    <t>Z000132007Z040202006</t>
  </si>
  <si>
    <t>Z000132007Z040401001</t>
  </si>
  <si>
    <t>Z000133013Z040401001</t>
  </si>
  <si>
    <t>MISTURADOR PARA LAVATORIO - PURIST CROMADO, KOHLER - FORNECIMENTO E INSTALACAO - AP</t>
  </si>
  <si>
    <t>MISTURADOR PARA LAVATORIO PURIST CROMADO KOHLER (COD: K-14406BR-4-CP)</t>
  </si>
  <si>
    <t>Z000133013Z020103028</t>
  </si>
  <si>
    <t>Z000133013Z030105002</t>
  </si>
  <si>
    <t>Z000133013Z040201008</t>
  </si>
  <si>
    <t>Z000133013Z040202006</t>
  </si>
  <si>
    <t>TORNEIRA PARA COZINHA EXTRAIVEL PURIST CROMADO KOHLER (COD: K-7505BR-B4-CP)</t>
  </si>
  <si>
    <t>Z000133014Z020103029</t>
  </si>
  <si>
    <t>TORNEIRA PARA COZINHA EXTRAIVEL - PURIST CROMADO, KOHLER - FORNECIMENTO E INSTALACAO - AP</t>
  </si>
  <si>
    <t>Z000133014Z030105002</t>
  </si>
  <si>
    <t>Z000133014Z040201008</t>
  </si>
  <si>
    <t>Z000133014Z040202006</t>
  </si>
  <si>
    <t>Z000133014Z040401001</t>
  </si>
  <si>
    <t>CUBA DE EMBUTIR DE ACO INOXIDAVEL RETANGULAR 47 BL LAVINIA ACO INOX ESCOVADO 47X30CM TRAMONTINA</t>
  </si>
  <si>
    <t>Z000134004Z020104009</t>
  </si>
  <si>
    <t>CUBA DE EMBUTIR DE ACO INOXIDAVEL RETANGULAR - 47 BL LAVINIA ACO INOX ESCOVADO 47X30CM, TRAMONTINA - AP</t>
  </si>
  <si>
    <t>Z000134004Z030203008</t>
  </si>
  <si>
    <t>Z000134004Z040201011</t>
  </si>
  <si>
    <t>Z000134004Z040202006</t>
  </si>
  <si>
    <t>Z000134004Z040401001</t>
  </si>
  <si>
    <t>ACABAMENTO DE REGISTRO DE GAVETA DECA (COD: 4900.C26.PQ)</t>
  </si>
  <si>
    <t>Z000135008Z020105045</t>
  </si>
  <si>
    <t>ACABAMENTO DE REGISTRO DE GAVETA - DECA - FORNECIMENTO E INSTALACAO - AP</t>
  </si>
  <si>
    <t>Z000135008Z040201008</t>
  </si>
  <si>
    <t>Z000135008Z040202006</t>
  </si>
  <si>
    <t>Z000135008Z040401001</t>
  </si>
  <si>
    <t>ACABAMENTO MONOCOMANDO PARA CHUVEIRO PURIST CROMADO KOHLER (COD: K-T7362BR-4-CP)</t>
  </si>
  <si>
    <t>Z000135014Z020105061</t>
  </si>
  <si>
    <t>ACABAMENTO MONOCOMANDO PARA CHUVEIRO - PURIST CROMADO, KOHLER - FORNECIMENTO E INSTALACAO - AP</t>
  </si>
  <si>
    <t>Z000135014Z040201008</t>
  </si>
  <si>
    <t>Z000135014Z040202006</t>
  </si>
  <si>
    <t>Z000135014Z040401001</t>
  </si>
  <si>
    <t>ACABAMENTO MONO CHUVEIRO E DUCHA HIGIENICA PURIST CROMADO KOHLER (COD: K-T7362BR-4-CP)</t>
  </si>
  <si>
    <t>Z000135015Z020105062</t>
  </si>
  <si>
    <t>ACABAMENTO MONO CHUVEIRO E DUCHA HIGIENICA - PURIST CROMADO, KOHLER - FORNECIMENTO E INSTALACAO - AP</t>
  </si>
  <si>
    <t>Z000135015Z040201008</t>
  </si>
  <si>
    <t>Z000135015Z040202006</t>
  </si>
  <si>
    <t>Z000135015Z040401001</t>
  </si>
  <si>
    <t>LIGACAO FLEXIVEL EM ACO INOX 40CM (COD:00607200)</t>
  </si>
  <si>
    <t>Z000136001Z020105036</t>
  </si>
  <si>
    <t>ENGATE FLEXIVEL EM INOX - 1/2 X 40CM - FORNECIMENTO E INSTALACAO - AP</t>
  </si>
  <si>
    <t>Z000136001Z030105002</t>
  </si>
  <si>
    <t>Z000136001Z040201008</t>
  </si>
  <si>
    <t>Z000136001Z040202006</t>
  </si>
  <si>
    <t>Z000136001Z040401001</t>
  </si>
  <si>
    <t>BARRA DE APOIO RETA, EM ACO INOX POLIDO, COMPRIMENTO 40CM, DIAMETRO MINIMO 3CM</t>
  </si>
  <si>
    <t>Z000136008Z020105041</t>
  </si>
  <si>
    <t>BARRA DE APOIO RETA, EM ACO INOX POLIDO, COMPRIMENTO 40CM - FORNECIMENTO E INSTALACAO - AP</t>
  </si>
  <si>
    <t>PARAFUSO NIQUELADO 3 1/2`` COM ACABAMENTO CROMADO PARA FIXAR PECA SANITARIA INCLUI PORCA CEGA ARRUELA E BUCHA DE NYLON TAMANHO S-8</t>
  </si>
  <si>
    <t>Z000136008Z030201004</t>
  </si>
  <si>
    <t>Z000136008Z040201008</t>
  </si>
  <si>
    <t>Z000136008Z040202006</t>
  </si>
  <si>
    <t>Z000136008Z040401001</t>
  </si>
  <si>
    <t>BARRA DE APOIO RETA, EM ACO INOX POLIDO, COMPRIMENTO 70CM, DIAMETRO MINIMO 3CM</t>
  </si>
  <si>
    <t>Z000136009Z020105040</t>
  </si>
  <si>
    <t>BARRA DE APOIO RETA, EM ACO INOX POLIDO, COMPRIMENTO 70CM - FORNECIMENTO E INSTALACAO - AP</t>
  </si>
  <si>
    <t>Z000136009Z030201004</t>
  </si>
  <si>
    <t>Z000136009Z040201008</t>
  </si>
  <si>
    <t>Z000136009Z040202006</t>
  </si>
  <si>
    <t>Z000136009Z040401001</t>
  </si>
  <si>
    <t>BARRA DE APOIO RETA, EM ACO INOX POLIDO, COMPRIMENTO 80CM, DIAMETRO MINIMO 3CM</t>
  </si>
  <si>
    <t>Z000136010Z020105039</t>
  </si>
  <si>
    <t>BARRA DE APOIO RETA, EM ACO INOX POLIDO, COMPRIMENTO 80CM - FORNECIMENTO E INSTALACAO - AP</t>
  </si>
  <si>
    <t>Z000136010Z030201004</t>
  </si>
  <si>
    <t>Z000136010Z040201008</t>
  </si>
  <si>
    <t>Z000136010Z040202006</t>
  </si>
  <si>
    <t>Z000136010Z040401001</t>
  </si>
  <si>
    <t>BANQUETA ARTICULAVEL PARA BANHEIRO (NBR 9050) - BENEFIT, DOCOL</t>
  </si>
  <si>
    <t>Z000136011Z020105042</t>
  </si>
  <si>
    <t>BANQUETA ARTICULAVEL PARA BANHEIRO (NBR 9050) - BENEFIT, DOCOL - FORNECIMENTO E INSTALACAO - AP</t>
  </si>
  <si>
    <t>Z000136011Z030201004</t>
  </si>
  <si>
    <t>Z000136011Z040201008</t>
  </si>
  <si>
    <t>Z000136011Z040202006</t>
  </si>
  <si>
    <t>Z000136011Z040401001</t>
  </si>
  <si>
    <t>SIFAO EXTENSIVEL UNIVERSAL 72CM BLUKIT (COD: 030113)</t>
  </si>
  <si>
    <t>Z000136014Z020105047</t>
  </si>
  <si>
    <t>SIFAO EXTENSIVEL UNIVERSAL - 72CM, BLUKIT - FORNECIMENTO E INTALACAO - AP</t>
  </si>
  <si>
    <t>Z000136014Z030105002</t>
  </si>
  <si>
    <t>Z000136014Z040201008</t>
  </si>
  <si>
    <t>Z000136014Z040202006</t>
  </si>
  <si>
    <t>Z000136014Z040401001</t>
  </si>
  <si>
    <t>Z000136015Z020105048</t>
  </si>
  <si>
    <t>VALVULA EM METAL PARA TANQUE OU LAVATORIO - ESCOAMENTO P/ COZINHA 3.1/2``, DECA - FORNECIMENTO E INSTALACAO - AP</t>
  </si>
  <si>
    <t>Z000136015Z030105002</t>
  </si>
  <si>
    <t>Z000136015Z040201008</t>
  </si>
  <si>
    <t>Z000136015Z040202006</t>
  </si>
  <si>
    <t>Z000136015Z040401001</t>
  </si>
  <si>
    <t>VALVULA DE SAIDA D`AGUA CLICK CLACK GRAFITE ESCOVADO (COD: 00922470)</t>
  </si>
  <si>
    <t>Z000136016Z020105008</t>
  </si>
  <si>
    <t>VALVULA EM METAL PARA TANQUE OU LAVATORIO - SAIDA D`AGUA CLICK CLACK GRAFITE ESCOVADO, DOCOL - FORNECIMENTO E INSTALACAO - AP</t>
  </si>
  <si>
    <t>Z000136016Z030105002</t>
  </si>
  <si>
    <t>Z000136016Z040201008</t>
  </si>
  <si>
    <t>Z000136016Z040202006</t>
  </si>
  <si>
    <t>Z000136016Z040401001</t>
  </si>
  <si>
    <t>Z000137002Z040401001</t>
  </si>
  <si>
    <t>RALO LINEAR - SEKAPLUS, SEKAPISO - FORNECIMENTO E INSTALACAO - AP</t>
  </si>
  <si>
    <t>Z000137002Z020106002</t>
  </si>
  <si>
    <t>Z000137002Z030101002</t>
  </si>
  <si>
    <t>SOLUCAO PREPARADORA / LIMPADORA PARA PVC, FRASCO COM 1000 CM3</t>
  </si>
  <si>
    <t>Z000137002Z030103001</t>
  </si>
  <si>
    <t>Z000137002Z030203004</t>
  </si>
  <si>
    <t>Z000137002Z040201008</t>
  </si>
  <si>
    <t>Z000137002Z040202006</t>
  </si>
  <si>
    <t>Z000137005Z020106005</t>
  </si>
  <si>
    <t>RALO LINEAR COM GRELHA INOX - 100X15CM - FORNECIMENTO E INSTALACAO - AP</t>
  </si>
  <si>
    <t>Z000137005Z030101002</t>
  </si>
  <si>
    <t>Z000137005Z030103001</t>
  </si>
  <si>
    <t>Z000137005Z030203004</t>
  </si>
  <si>
    <t>Z000137005Z040201008</t>
  </si>
  <si>
    <t>Z000137005Z040202006</t>
  </si>
  <si>
    <t>Z000137005Z040401001</t>
  </si>
  <si>
    <t>Z000137006Z020106007</t>
  </si>
  <si>
    <t>RALO OCULTO - 10X10CM, LINHA SEKINHO, SEKAPISO - FORNECIMENTO E INSTALACAO - AP</t>
  </si>
  <si>
    <t>Z000137006Z030101002</t>
  </si>
  <si>
    <t>Z000137006Z030103001</t>
  </si>
  <si>
    <t>Z000137006Z030203004</t>
  </si>
  <si>
    <t>Z000137006Z040201008</t>
  </si>
  <si>
    <t>Z000137006Z040202006</t>
  </si>
  <si>
    <t>Z000137006Z040401001</t>
  </si>
  <si>
    <t>OFURO TINA MASTER HIDROFIBER 1600X1600X670MM</t>
  </si>
  <si>
    <t>Z000138002Z020108005</t>
  </si>
  <si>
    <t>BANHEIRA - OFURO TINA MASTER 1600X1600X670MM, HIDROFIBER - FORNECIMENTO E INSTALACAO - AP</t>
  </si>
  <si>
    <t>Z000138002Z030105002</t>
  </si>
  <si>
    <t>Z000138002Z040201008</t>
  </si>
  <si>
    <t>Z000138002Z040202006</t>
  </si>
  <si>
    <t>Z000138002Z040401001</t>
  </si>
  <si>
    <t>CHUVEIRO TIPO DUCHA METALICO PURIST CROMADO KOHLER (COD: K-14486BR-AK-CP)</t>
  </si>
  <si>
    <t>Z000139009Z020107014</t>
  </si>
  <si>
    <t>CHUVEIRO TIPO DUCHA METALICO - PURIST CROMADO, KOHLER - FORNECIMENTO E INSTALACAO - AP</t>
  </si>
  <si>
    <t>Z000139009Z030105002</t>
  </si>
  <si>
    <t>Z000139009Z040201008</t>
  </si>
  <si>
    <t>Z000139009Z040202006</t>
  </si>
  <si>
    <t>Z000139009Z040401001</t>
  </si>
  <si>
    <t>DUCHA HIGIENICA COM REGISTRO E DERIVACAO PURIST CROMADO KOHLER</t>
  </si>
  <si>
    <t>Z000139010Z020107015</t>
  </si>
  <si>
    <t>DUCHA HIGIENICA COM REGISTRO E DERIVACAO - PURIST CROMADO, KOHLER - FORNECIMENTO E INSTALACAO - AP</t>
  </si>
  <si>
    <t>Z000139010Z030105002</t>
  </si>
  <si>
    <t>Z000139010Z040201008</t>
  </si>
  <si>
    <t>Z000139010Z040202006</t>
  </si>
  <si>
    <t>Z000139010Z040401001</t>
  </si>
  <si>
    <t>Z000141005Z020101005</t>
  </si>
  <si>
    <t>BACIA SANITARIA COM CAIXA ACOPLADA - VOGUE PLUS CONFORTO BRANCO (SANITARIO PCD), DECA - FORNECIMENTO E INSTALACAO - AC</t>
  </si>
  <si>
    <t>Z000141005Z020105038</t>
  </si>
  <si>
    <t>Z000141005Z020202002</t>
  </si>
  <si>
    <t>Z000141005Z030201003</t>
  </si>
  <si>
    <t>Z000141005Z040201008</t>
  </si>
  <si>
    <t>Z000141005Z040202006</t>
  </si>
  <si>
    <t>Z000141005Z040401001</t>
  </si>
  <si>
    <t>Z000141006Z020101007</t>
  </si>
  <si>
    <t>MICTORIO SIFONADO - A DEFINIR - FORNECIMENTO E INSTALACAO - AC</t>
  </si>
  <si>
    <t>CONJUNTO DE LIGACAO PARA BACIA SANITARIA AJUSTAVEL COM TUBO CANOPLA E ESPUDE</t>
  </si>
  <si>
    <t>Z000141006Z020105037</t>
  </si>
  <si>
    <t>Z000141006Z030201004</t>
  </si>
  <si>
    <t>Z000141006Z040201008</t>
  </si>
  <si>
    <t>Z000141006Z040202006</t>
  </si>
  <si>
    <t>Z000141006Z040401001</t>
  </si>
  <si>
    <t>Z000141008Z020101010</t>
  </si>
  <si>
    <t>BACIA SANITARIA COM CAIXA ACOPLADA - SPAN ROUND BOX COM ASSENTO, KOHLER - FORNECIMENTO E INSTALACAO - AC</t>
  </si>
  <si>
    <t>Z000141008Z020105038</t>
  </si>
  <si>
    <t>Z000141008Z020202002</t>
  </si>
  <si>
    <t>Z000141008Z030201003</t>
  </si>
  <si>
    <t>Z000141008Z040201008</t>
  </si>
  <si>
    <t>Z000141008Z040202006</t>
  </si>
  <si>
    <t>Z000141008Z040401001</t>
  </si>
  <si>
    <t>LAVATORIO SUSPENSO DE CANTO COM MESA BRANCO DECA (COD: L.76.17)</t>
  </si>
  <si>
    <t>Z000142007Z020102004</t>
  </si>
  <si>
    <t>LAVATORIO SUSPENSO - DE CANTO COM MESA BRANCO, DECA - FORNECIMENTO E INSTALACAO - AC</t>
  </si>
  <si>
    <t>Z000142007Z020202002</t>
  </si>
  <si>
    <t>Z000142007Z030201004</t>
  </si>
  <si>
    <t>Z000142007Z040201008</t>
  </si>
  <si>
    <t>Z000142007Z040202006</t>
  </si>
  <si>
    <t>Z000142007Z040401001</t>
  </si>
  <si>
    <t>CUBA DE EMBUTIR RETANGULAR EM LOUCA BRANCA 48X35,5X17CM LINHA L DECA</t>
  </si>
  <si>
    <t>Z000142010Z020102019</t>
  </si>
  <si>
    <t>CUBA DE EMBUTIR RETANGULAR EM LOUCA - BRANCA 48X35,5X17CM, DECA - FORNECIMENTO E INSTALACAO - AC</t>
  </si>
  <si>
    <t>Z000142010Z030203008</t>
  </si>
  <si>
    <t>Z000142010Z040201011</t>
  </si>
  <si>
    <t>Z000142010Z040202006</t>
  </si>
  <si>
    <t>Z000142010Z040401001</t>
  </si>
  <si>
    <t>CUBA DE SOBREPOR RETANGULAR EM LOUCA A DEFINIR</t>
  </si>
  <si>
    <t>Z000142011Z020102020</t>
  </si>
  <si>
    <t>CUBA DE SOBREPOR RETANGULAR EM LOUCA - A DEFINIR - FORNECIMENTO E INSTALACAO - AC</t>
  </si>
  <si>
    <t>Z000142011Z030203008</t>
  </si>
  <si>
    <t>Z000142011Z040201011</t>
  </si>
  <si>
    <t>Z000142011Z040202006</t>
  </si>
  <si>
    <t>Z000142011Z040401001</t>
  </si>
  <si>
    <t>TANQUE EM LOUCA BRANCA COM COLUNA 40 LITROS A DEFINIR</t>
  </si>
  <si>
    <t>Z000142012Z020101009</t>
  </si>
  <si>
    <t>TANQUE EM LOUCA BRANCA COM COLUNA - 40 LITROS, A DEFINIR - FORNECIMENTO E INTALACAO - AC</t>
  </si>
  <si>
    <t>Z000142012Z020202002</t>
  </si>
  <si>
    <t>Z000142012Z030201004</t>
  </si>
  <si>
    <t>Z000142012Z040201008</t>
  </si>
  <si>
    <t>Z000142012Z040202006</t>
  </si>
  <si>
    <t>Z000142012Z040401001</t>
  </si>
  <si>
    <t>Z000142014Z020102021</t>
  </si>
  <si>
    <t>CUBA DE EMBUTIR OVAL EM LOUCA - BRANCA 21` ARTIFACTS, KOHLER INTERNACIONAL - FORNECIMENTO E INSTALACAO - AC</t>
  </si>
  <si>
    <t>Z000142014Z030203008</t>
  </si>
  <si>
    <t>Z000142014Z040201011</t>
  </si>
  <si>
    <t>Z000142014Z040202006</t>
  </si>
  <si>
    <t>Z000142014Z040401001</t>
  </si>
  <si>
    <t>TORNEIRA DE PAREDE PARA TANQUE CROMADA, TIPO MONOCOMANDO - A DEFINIR</t>
  </si>
  <si>
    <t>Z000143020Z020103027</t>
  </si>
  <si>
    <t>TORNEIRA CROMADA DE PAREDE PARA TANQUE - TIPO MONOCOMANDO, A DEFINIR - FORNECIMENTO E INSTALACAO - AC</t>
  </si>
  <si>
    <t>Z000143020Z030105002</t>
  </si>
  <si>
    <t>Z000143020Z040201008</t>
  </si>
  <si>
    <t>Z000143020Z040202006</t>
  </si>
  <si>
    <t>Z000143020Z040401001</t>
  </si>
  <si>
    <t>Z000143021Z020103028</t>
  </si>
  <si>
    <t>MISTURADOR PARA LAVATORIO - PURIST CROMADO, KOHLER - FORNECIMENTO E INSTALACAO - AC</t>
  </si>
  <si>
    <t>Z000143021Z030105002</t>
  </si>
  <si>
    <t>Z000143021Z040201008</t>
  </si>
  <si>
    <t>Z000143021Z040202006</t>
  </si>
  <si>
    <t>Z000143021Z040401001</t>
  </si>
  <si>
    <t>CUBA DE EMBUTIR DE ACO INOXIDAVEL RETANGULAR TANQUE CS-50 MEKAL</t>
  </si>
  <si>
    <t>Z000144003Z020104008</t>
  </si>
  <si>
    <t>CUBA DE EMBUTIR DE ACO INOXIDAVEL RETANGULAR - TANQUE CS-50, MEKAL - FORNECIMENTO E INSTALACAO - AC</t>
  </si>
  <si>
    <t>Z000144003Z030203008</t>
  </si>
  <si>
    <t>Z000144003Z040201011</t>
  </si>
  <si>
    <t>Z000144003Z040202006</t>
  </si>
  <si>
    <t>Z000144003Z040401001</t>
  </si>
  <si>
    <t>ACABAMENTO DE METAL CROMADO PARA REGISTRO A DEFINIR</t>
  </si>
  <si>
    <t>Z000145001Z020105027</t>
  </si>
  <si>
    <t>ACABAMENTO DE REGISTRO - A DEFINIR - FORNECIMENTO E INSTALACAO - AC</t>
  </si>
  <si>
    <t>Z000145001Z040201008</t>
  </si>
  <si>
    <t>Z000145001Z040202006</t>
  </si>
  <si>
    <t>Z000145001Z040401001</t>
  </si>
  <si>
    <t>Z000145010Z040201008</t>
  </si>
  <si>
    <t>VALVULA PARA MICTORIO ELETRONICA - SENTRONIC, ROCA - FORNECIMENTO E INSTALACAO - AC</t>
  </si>
  <si>
    <t>Z000145010Z040202006</t>
  </si>
  <si>
    <t>Z000145010Z040401001</t>
  </si>
  <si>
    <t>VALVULA PARA MICTORIO ELETRONICA SENTRONIC (COD: A5A9A79C00)</t>
  </si>
  <si>
    <t>Z000145010Z020105002</t>
  </si>
  <si>
    <t>Z000145010Z030105002</t>
  </si>
  <si>
    <t>Z000145015Z020105061</t>
  </si>
  <si>
    <t>ACABAMENTO MONOCOMANDO PARA CHUVEIRO - PURIST CROMADO, KOHLER - FORNECIMENTO E INSTALACAO - AC</t>
  </si>
  <si>
    <t>Z000145015Z040201008</t>
  </si>
  <si>
    <t>Z000145015Z040202006</t>
  </si>
  <si>
    <t>Z000145015Z040401001</t>
  </si>
  <si>
    <t>Z000146006Z020105036</t>
  </si>
  <si>
    <t>ENGATE FLEXIVEL EM INOX - 1/2 X 40CM - FORNECIMENTO E INSTALACAO - AC</t>
  </si>
  <si>
    <t>Z000146006Z030105002</t>
  </si>
  <si>
    <t>Z000146006Z040201008</t>
  </si>
  <si>
    <t>Z000146006Z040202006</t>
  </si>
  <si>
    <t>Z000146006Z040401001</t>
  </si>
  <si>
    <t>Z000146007Z020105008</t>
  </si>
  <si>
    <t>VALVULA EM METAL PARA TANQUE OU LAVATORIO - SAIDA D`AGUA CLICK CLACK GRAFITE ESCOVADO, DOCOL - FORNECIMENTO E INSTALACAO - AC</t>
  </si>
  <si>
    <t>Z000146007Z030105002</t>
  </si>
  <si>
    <t>Z000146007Z040201008</t>
  </si>
  <si>
    <t>Z000146007Z040202006</t>
  </si>
  <si>
    <t>Z000146007Z040401001</t>
  </si>
  <si>
    <t>Z000146012Z020105041</t>
  </si>
  <si>
    <t>BARRA DE APOIO RETA, EM ACO INOX POLIDO, COMPRIMENTO 40CM - FORNECIMENTO E INSTALACAO - AC</t>
  </si>
  <si>
    <t>Z000146012Z030201004</t>
  </si>
  <si>
    <t>Z000146012Z040201008</t>
  </si>
  <si>
    <t>Z000146012Z040202006</t>
  </si>
  <si>
    <t>Z000146012Z040401001</t>
  </si>
  <si>
    <t>Z000146013Z020105040</t>
  </si>
  <si>
    <t>BARRA DE APOIO RETA, EM ACO INOX POLIDO, COMPRIMENTO 70CM - FORNECIMENTO E INSTALACAO - AC</t>
  </si>
  <si>
    <t>Z000146013Z030201004</t>
  </si>
  <si>
    <t>Z000146013Z040201008</t>
  </si>
  <si>
    <t>Z000146013Z040202006</t>
  </si>
  <si>
    <t>Z000146013Z040401001</t>
  </si>
  <si>
    <t>Z000146014Z020105039</t>
  </si>
  <si>
    <t>BARRA DE APOIO RETA, EM ACO INOX POLIDO, COMPRIMENTO 80CM - FORNECIMENTO E INSTALACAO - AC</t>
  </si>
  <si>
    <t>Z000146014Z030201004</t>
  </si>
  <si>
    <t>Z000146014Z040201008</t>
  </si>
  <si>
    <t>Z000146014Z040202006</t>
  </si>
  <si>
    <t>Z000146014Z040401001</t>
  </si>
  <si>
    <t>Z000146015Z020105042</t>
  </si>
  <si>
    <t>BANQUETA ARTICULAVEL PARA BANHEIRO (NBR 9050) - BENEFIT, DOCOL - FORNECIMENTO E INSTALACAO - AC</t>
  </si>
  <si>
    <t>Z000146015Z030201004</t>
  </si>
  <si>
    <t>Z000146015Z040201008</t>
  </si>
  <si>
    <t>Z000146015Z040202006</t>
  </si>
  <si>
    <t>Z000146015Z040401001</t>
  </si>
  <si>
    <t>Z000146018Z020105047</t>
  </si>
  <si>
    <t>SIFAO EXTENSIVEL UNIVERSAL - 72CM, BLUKIT - FORNECIMENTO E INTALACAO - AC</t>
  </si>
  <si>
    <t>Z000146018Z030105002</t>
  </si>
  <si>
    <t>Z000146018Z040201008</t>
  </si>
  <si>
    <t>Z000146018Z040202006</t>
  </si>
  <si>
    <t>Z000146018Z040401001</t>
  </si>
  <si>
    <t>Z000146019Z020105048</t>
  </si>
  <si>
    <t>VALVULA EM METAL PARA TANQUE OU LAVATORIO - ESCOAMENTO P/ COZINHA 3.1/2``, DECA - FORNECIMENTO E INSTALACAO - AC</t>
  </si>
  <si>
    <t>Z000146019Z030105002</t>
  </si>
  <si>
    <t>Z000146019Z040201008</t>
  </si>
  <si>
    <t>Z000146019Z040202006</t>
  </si>
  <si>
    <t>Z000146019Z040401001</t>
  </si>
  <si>
    <t>Z000147003Z020106002</t>
  </si>
  <si>
    <t>RALO LINEAR - SEKAPLUS, SEKAPISO - FORNECIMENTO E INSTALACAO - AC</t>
  </si>
  <si>
    <t>Z000147003Z030101002</t>
  </si>
  <si>
    <t>Z000147003Z030103001</t>
  </si>
  <si>
    <t>Z000147003Z030203004</t>
  </si>
  <si>
    <t>Z000147003Z040201008</t>
  </si>
  <si>
    <t>Z000147003Z040202006</t>
  </si>
  <si>
    <t>Z000147003Z040401001</t>
  </si>
  <si>
    <t>Z000147004Z020106001</t>
  </si>
  <si>
    <t>RALO OCULTO - 15X15CM LINHA SEKINHO, SEKAPISO - FORNECIMENTO E INSTALACAO - AC</t>
  </si>
  <si>
    <t>Z000147004Z030101002</t>
  </si>
  <si>
    <t>Z000147004Z030103001</t>
  </si>
  <si>
    <t>Z000147004Z030203004</t>
  </si>
  <si>
    <t>Z000147004Z040201008</t>
  </si>
  <si>
    <t>Z000147004Z040202006</t>
  </si>
  <si>
    <t>Z000147004Z040401001</t>
  </si>
  <si>
    <t>Z000147005Z020106007</t>
  </si>
  <si>
    <t>RALO OCULTO - 10X10CM, LINHA SEKINHO, SEKAPISO - FORNECIMENTO E INSTALACAO - AC</t>
  </si>
  <si>
    <t>Z000147005Z030101002</t>
  </si>
  <si>
    <t>Z000147005Z030103001</t>
  </si>
  <si>
    <t>Z000147005Z030203004</t>
  </si>
  <si>
    <t>Z000147005Z040201008</t>
  </si>
  <si>
    <t>Z000147005Z040202006</t>
  </si>
  <si>
    <t>Z000147005Z040401001</t>
  </si>
  <si>
    <t>Z000147006Z020106008</t>
  </si>
  <si>
    <t>RALO SECO - A DEFINR - FORNECIMENTO E INSTALACAO - AC</t>
  </si>
  <si>
    <t>Z000147006Z030101002</t>
  </si>
  <si>
    <t>Z000147006Z030103001</t>
  </si>
  <si>
    <t>Z000147006Z030203004</t>
  </si>
  <si>
    <t>Z000147006Z040201008</t>
  </si>
  <si>
    <t>Z000147006Z040202006</t>
  </si>
  <si>
    <t>Z000147006Z040401001</t>
  </si>
  <si>
    <t>CHUVEIRO TIPO DUCHA METALICO COM BARRA VALENCIA CROMADO DOCOL</t>
  </si>
  <si>
    <t>Z000149004Z020107006</t>
  </si>
  <si>
    <t>CHUVEIRO TIPO DUCHA METALICO COM BARRA - VALENCIA CROMADO, DOCOL - FORNECIMENTO E INSTALACAO - AC</t>
  </si>
  <si>
    <t>Z000149004Z030105002</t>
  </si>
  <si>
    <t>Z000149004Z040201008</t>
  </si>
  <si>
    <t>Z000149004Z040202006</t>
  </si>
  <si>
    <t>Z000149004Z040401001</t>
  </si>
  <si>
    <t>CHUVEIRO DE TETO METALICO RESORT R254 CROMADO DOCOL</t>
  </si>
  <si>
    <t>Z000149007Z020107004</t>
  </si>
  <si>
    <t>CHUVEIRO DE TETO METALICO - RESORT R254 CROMADO, DOCOL - FORNECIMENTO E INSTALACAO - AC</t>
  </si>
  <si>
    <t>Z000149007Z030105002</t>
  </si>
  <si>
    <t>Z000149007Z040201008</t>
  </si>
  <si>
    <t>Z000149007Z040202006</t>
  </si>
  <si>
    <t>Z000149007Z040401001</t>
  </si>
  <si>
    <t>Z000149012Z020107014</t>
  </si>
  <si>
    <t>CHUVEIRO TIPO DUCHA METALICO - PURIST CROMADO, KOHLER - FORNECIMENTO E INSTALACAO - AC</t>
  </si>
  <si>
    <t>Z000149012Z030105002</t>
  </si>
  <si>
    <t>Z000149012Z040201008</t>
  </si>
  <si>
    <t>Z000149012Z040202006</t>
  </si>
  <si>
    <t>Z000149012Z040401001</t>
  </si>
  <si>
    <t>Z000151002Z020201001</t>
  </si>
  <si>
    <t>REVESTIMENTO DE PISO EM PORCELANATO 80 X 80 HIT OFF WHITE - AP</t>
  </si>
  <si>
    <t>Z000151002Z020202001</t>
  </si>
  <si>
    <t>Z000151002Z020302005</t>
  </si>
  <si>
    <t>Z000151002Z030106001</t>
  </si>
  <si>
    <t>Z000151002Z030106002</t>
  </si>
  <si>
    <t>Z000151002Z040201003</t>
  </si>
  <si>
    <t>Z000151002Z040202006</t>
  </si>
  <si>
    <t>SERVICO DE ASSENTAMENTO DE PORCELANATO - TERCEIRIZADO</t>
  </si>
  <si>
    <t>Z000151002Z040308004</t>
  </si>
  <si>
    <t>Z000151002Z040308018</t>
  </si>
  <si>
    <t>Z000151002Z040401001</t>
  </si>
  <si>
    <t>Z000151002Z060101021</t>
  </si>
  <si>
    <t>Z000151006Z040401001</t>
  </si>
  <si>
    <t>REVESTIMENTO DE PAREDE EM PORCELANATO 80 X 80 HIT OFF WHITE - AP</t>
  </si>
  <si>
    <t>Z000151006Z060101021</t>
  </si>
  <si>
    <t>Z000151006Z030106001</t>
  </si>
  <si>
    <t>Z000151006Z030106002</t>
  </si>
  <si>
    <t>Z000151006Z040201003</t>
  </si>
  <si>
    <t>Z000151006Z040202006</t>
  </si>
  <si>
    <t>Z000151006Z040308004</t>
  </si>
  <si>
    <t>Z000151006Z040308018</t>
  </si>
  <si>
    <t>Z000151006Z020201001</t>
  </si>
  <si>
    <t>Z000151006Z020202001</t>
  </si>
  <si>
    <t>Z000151006Z020302005</t>
  </si>
  <si>
    <t>Z000151016Z030104001</t>
  </si>
  <si>
    <t>Z000151016Z030105003</t>
  </si>
  <si>
    <t>Z000151016Z040202006</t>
  </si>
  <si>
    <t>Z000151016Z040401001</t>
  </si>
  <si>
    <t>MATERIAL PARA DECK DE MADEIRA NATURAL GRAPIA</t>
  </si>
  <si>
    <t>Z000152004Z020303002</t>
  </si>
  <si>
    <t>DECK EM MADEIRA NATURAL GRAPIA - FORNECIMENTO E INSTALACAO - AP</t>
  </si>
  <si>
    <t>FABRICACAO E INSTALACAO DE DECK DE MADEIRA NATURAL GRAPIA</t>
  </si>
  <si>
    <t>Z000152004Z040313012</t>
  </si>
  <si>
    <t>Z000152006Z020303010</t>
  </si>
  <si>
    <t>REVESTIMENTO DE PISO EM MADEIRA MULTIESTRUTURADO CUMARU ELEGANCE - AP</t>
  </si>
  <si>
    <t>Z000152006Z030203009</t>
  </si>
  <si>
    <t>Z000152006Z040201015</t>
  </si>
  <si>
    <t>Z000152006Z040202006</t>
  </si>
  <si>
    <t>SERVICO DE ASSENTAMENTO DE PISO DE MADEIRA - TERCEIRIZADO</t>
  </si>
  <si>
    <t>Z000152006Z040308020</t>
  </si>
  <si>
    <t>Z000152006Z040401001</t>
  </si>
  <si>
    <t>APLICACAO DE IMPERMEABILIZANTE EM PEDRAS NATURAIS</t>
  </si>
  <si>
    <t>SERVICO DE ASSENTAMENTO DE PEDRAS NATURAIS - TERCEIRIZADO</t>
  </si>
  <si>
    <t>Z000153023Z020201001</t>
  </si>
  <si>
    <t>RODAPE EM GRANITO VIA LACTEA POLIDO, ALTURA 18CM - AP</t>
  </si>
  <si>
    <t>Z000153023Z020202001</t>
  </si>
  <si>
    <t>Z000153023Z020309024</t>
  </si>
  <si>
    <t>Z000153023Z040201011</t>
  </si>
  <si>
    <t>Z000153023Z040202006</t>
  </si>
  <si>
    <t>Z000153023Z040308001</t>
  </si>
  <si>
    <t>Z000153023Z040401001</t>
  </si>
  <si>
    <t>Z000153023Z060101023</t>
  </si>
  <si>
    <t>Z000153024Z040202006</t>
  </si>
  <si>
    <t>REVESTIMENTO DE PAREDE EM GRANITO VIA LACTEA POLIDO - AP</t>
  </si>
  <si>
    <t>Z000153024Z040308001</t>
  </si>
  <si>
    <t>Z000153024Z040308006</t>
  </si>
  <si>
    <t>Z000153024Z040308018</t>
  </si>
  <si>
    <t>Z000153024Z040401001</t>
  </si>
  <si>
    <t>Z000153024Z060101023</t>
  </si>
  <si>
    <t>Z000153024Z020201001</t>
  </si>
  <si>
    <t>Z000153024Z020202001</t>
  </si>
  <si>
    <t>Z000153024Z020301037</t>
  </si>
  <si>
    <t>Z000153024Z040201011</t>
  </si>
  <si>
    <t>Z000154001Z040401001</t>
  </si>
  <si>
    <t>RODAPE EM POLIESTIRENO BRANCO SANTA LUZIA - LEV152, ALTURA 15CM - AP</t>
  </si>
  <si>
    <t>RODAPE EM POLIESTIRENO BRANCO SANTA LUZIA LEV152</t>
  </si>
  <si>
    <t>Z000154001Z020311002</t>
  </si>
  <si>
    <t>ADESIVO ACRILICO DE BASE AQUOSA / COLA DE CONTATO</t>
  </si>
  <si>
    <t>Z000154001Z030203002</t>
  </si>
  <si>
    <t>Z000154001Z040201013</t>
  </si>
  <si>
    <t>Z000154001Z040202006</t>
  </si>
  <si>
    <t>SERVICO DE ASSENTAMENTO DE RODAPE DE POLIESTIRENO - TERCEIRIZADO</t>
  </si>
  <si>
    <t>Z000154001Z040308021</t>
  </si>
  <si>
    <t>SERVICO DE ASSENTAMENTO DE REGUA DE CONCRETO - TERCEIRIZADO</t>
  </si>
  <si>
    <t>Z000155015Z020202002</t>
  </si>
  <si>
    <t>LAVATORIO EM GRANITO VIA LACTEA POLIDO (SAIA ABAULADA) - FORNECIMENTO, CONFECCAO E INSTALACAO - AP</t>
  </si>
  <si>
    <t>GRANITO VIA LACTEA POLIDO (SAIA ABAULADA) - BANCADA OU LAVATORIO</t>
  </si>
  <si>
    <t>Z000155015Z020401028</t>
  </si>
  <si>
    <t>Z000155015Z030201001</t>
  </si>
  <si>
    <t>Z000155015Z030203008</t>
  </si>
  <si>
    <t>SUPORTE MAO-FRANCESA EM ACO ABAS IGUAIS 40 CM BRANCO</t>
  </si>
  <si>
    <t>Z000155015Z030204001</t>
  </si>
  <si>
    <t>Z000155015Z040201011</t>
  </si>
  <si>
    <t>Z000155015Z040202006</t>
  </si>
  <si>
    <t>Z000155015Z040308001</t>
  </si>
  <si>
    <t>SERVICO DE ASSENTAMENTO DE LAVATORIO EM PEDRA NATURAL - TERCEIRIZADO</t>
  </si>
  <si>
    <t>Z000155015Z040308032</t>
  </si>
  <si>
    <t>Z000155015Z040401001</t>
  </si>
  <si>
    <t>Z000155015Z060101023</t>
  </si>
  <si>
    <t>Z000155017Z020202002</t>
  </si>
  <si>
    <t>BANCADA EM GRANITO VIA LACTEA POLIDO - FORNECIMENTO, CONFECCAO E INSTALACAO - AP</t>
  </si>
  <si>
    <t>GRANITO VIA LACTEA POLIDO - BANCADA OU LAVATORIO</t>
  </si>
  <si>
    <t>Z000155017Z020401029</t>
  </si>
  <si>
    <t>Z000155017Z030201001</t>
  </si>
  <si>
    <t>Z000155017Z030203008</t>
  </si>
  <si>
    <t>Z000155017Z060101023</t>
  </si>
  <si>
    <t>Z000155017Z030204001</t>
  </si>
  <si>
    <t>Z000155017Z040201011</t>
  </si>
  <si>
    <t>Z000155017Z040202006</t>
  </si>
  <si>
    <t>Z000155017Z040308001</t>
  </si>
  <si>
    <t>SERVICO DE ASSENTAMENTO DE BANCADAS - TERCEIRIZADO</t>
  </si>
  <si>
    <t>Z000155017Z040308007</t>
  </si>
  <si>
    <t>Z000155017Z040401001</t>
  </si>
  <si>
    <t>Z000157034Z020201001</t>
  </si>
  <si>
    <t>SOLEIRA EM GRANITO VIA LACTEA ESCOVADO, LARGURA 20CM - AP</t>
  </si>
  <si>
    <t>GRANITO VIA LACTEA ESCOVADO - SOLEIRA, PEITORIL OU PINGADEIRA</t>
  </si>
  <si>
    <t>Z000157034Z020403020</t>
  </si>
  <si>
    <t>Z000157034Z040201011</t>
  </si>
  <si>
    <t>Z000157034Z040202006</t>
  </si>
  <si>
    <t>Z000157034Z040308001</t>
  </si>
  <si>
    <t>SERVICO DE ASSENTAMENTO DE SOLEIRA EM PEDRA NATURAL - TERCEIRIZADO</t>
  </si>
  <si>
    <t>Z000157034Z040308014</t>
  </si>
  <si>
    <t>Z000157034Z040401001</t>
  </si>
  <si>
    <t>Z000157034Z060101023</t>
  </si>
  <si>
    <t>Z000157035Z020201001</t>
  </si>
  <si>
    <t>FILETE EM GRANITO VIA LACTEA ESCOVADO, LARGURA 5CM - AP</t>
  </si>
  <si>
    <t>GRANITO VIA LACTEA ESCOVADO - FILETE OU DIVIBOX</t>
  </si>
  <si>
    <t>Z000157035Z020412009</t>
  </si>
  <si>
    <t>Z000157035Z040201011</t>
  </si>
  <si>
    <t>Z000157035Z040202006</t>
  </si>
  <si>
    <t>Z000157035Z040308001</t>
  </si>
  <si>
    <t>SERVICO DE ASSENTAMENTO DE FILETE EM PEDRA NATURAL - TERCEIRIZADO</t>
  </si>
  <si>
    <t>Z000157035Z040308012</t>
  </si>
  <si>
    <t>Z000157035Z040401001</t>
  </si>
  <si>
    <t>Z000157035Z060101023</t>
  </si>
  <si>
    <t>Z000157036Z020201001</t>
  </si>
  <si>
    <t>PEITORIL EM GRANITO VIA LACTEA ESCOVADO, LARGURA 20CM - AP</t>
  </si>
  <si>
    <t>Z000157036Z020403020</t>
  </si>
  <si>
    <t>Z000157036Z040201011</t>
  </si>
  <si>
    <t>Z000157036Z040202006</t>
  </si>
  <si>
    <t>Z000157036Z040308001</t>
  </si>
  <si>
    <t>SERVICO DE ASSENTAMENTO DE PEITORIL EM PEDRA NATURAL - TERCEIRIZADO</t>
  </si>
  <si>
    <t>Z000157036Z040308029</t>
  </si>
  <si>
    <t>Z000157036Z040401001</t>
  </si>
  <si>
    <t>Z000157036Z060101023</t>
  </si>
  <si>
    <t>Z000161002Z020201001</t>
  </si>
  <si>
    <t>REVESTIMENTO DE PISO EM PORCELANATO 80 X 80 HIT OFF WHITE - AC</t>
  </si>
  <si>
    <t>Z000161002Z020202001</t>
  </si>
  <si>
    <t>Z000161002Z020302005</t>
  </si>
  <si>
    <t>Z000161002Z040401001</t>
  </si>
  <si>
    <t>Z000161002Z060101021</t>
  </si>
  <si>
    <t>Z000161002Z030106001</t>
  </si>
  <si>
    <t>Z000161002Z030106002</t>
  </si>
  <si>
    <t>Z000161002Z040201003</t>
  </si>
  <si>
    <t>Z000161002Z040202006</t>
  </si>
  <si>
    <t>Z000161002Z040308004</t>
  </si>
  <si>
    <t>Z000161002Z040308018</t>
  </si>
  <si>
    <t>Z000161003Z060101021</t>
  </si>
  <si>
    <t>REVESTIMENTO DE PISO EM PORCELANATO 90 X 90 MS BARCELONA - AC</t>
  </si>
  <si>
    <t>Z000161003Z030106002</t>
  </si>
  <si>
    <t>Z000161003Z040201003</t>
  </si>
  <si>
    <t>Z000161003Z040202006</t>
  </si>
  <si>
    <t>Z000161003Z040308004</t>
  </si>
  <si>
    <t>Z000161003Z040308018</t>
  </si>
  <si>
    <t>Z000161003Z040401001</t>
  </si>
  <si>
    <t>Z000161003Z020201001</t>
  </si>
  <si>
    <t>Z000161003Z020202001</t>
  </si>
  <si>
    <t>Z000161003Z020302004</t>
  </si>
  <si>
    <t>Z000161003Z030106001</t>
  </si>
  <si>
    <t>Z000161010Z020201001</t>
  </si>
  <si>
    <t>REVESTIMENTO DE PAREDE EM PORCELANATO 80 X 80 HIT OFF WHITE - AC</t>
  </si>
  <si>
    <t>Z000161010Z020202001</t>
  </si>
  <si>
    <t>Z000161010Z020302005</t>
  </si>
  <si>
    <t>Z000161010Z030106001</t>
  </si>
  <si>
    <t>Z000161010Z030106002</t>
  </si>
  <si>
    <t>Z000161010Z040201003</t>
  </si>
  <si>
    <t>Z000161010Z040202006</t>
  </si>
  <si>
    <t>Z000161010Z040308004</t>
  </si>
  <si>
    <t>Z000161010Z040308018</t>
  </si>
  <si>
    <t>Z000161010Z040401001</t>
  </si>
  <si>
    <t>Z000161010Z060101021</t>
  </si>
  <si>
    <t>Z000161025Z020201001</t>
  </si>
  <si>
    <t>RODAPE EM PORCELANATO 80 X 80 HIT OFF WHITE, ALTURA 15CM - AC</t>
  </si>
  <si>
    <t>Z000161025Z020202001</t>
  </si>
  <si>
    <t>Z000161025Z020302005</t>
  </si>
  <si>
    <t>Z000161025Z040201003</t>
  </si>
  <si>
    <t>Z000161025Z040202006</t>
  </si>
  <si>
    <t>Z000161025Z040401001</t>
  </si>
  <si>
    <t>Z000161025Z060101021</t>
  </si>
  <si>
    <t>Z000161027Z040201003</t>
  </si>
  <si>
    <t>RODAPE EM PORCELANATO MS BARCELONA 90 X 90, ALTURA 15CM - AC</t>
  </si>
  <si>
    <t>Z000161027Z040202006</t>
  </si>
  <si>
    <t>Z000161027Z040401001</t>
  </si>
  <si>
    <t>Z000161027Z060101021</t>
  </si>
  <si>
    <t>Z000161027Z020201001</t>
  </si>
  <si>
    <t>Z000161027Z020202001</t>
  </si>
  <si>
    <t>Z000161027Z020302004</t>
  </si>
  <si>
    <t>Z000161031Z030104001</t>
  </si>
  <si>
    <t>Z000161031Z030105003</t>
  </si>
  <si>
    <t>Z000161031Z040202006</t>
  </si>
  <si>
    <t>Z000161031Z040401001</t>
  </si>
  <si>
    <t>Z000161032Z020201001</t>
  </si>
  <si>
    <t>REVESTIMENTO DE PAREDE EM PASTILHA CERAMICA - PASTILHA A DEFINIR - AC</t>
  </si>
  <si>
    <t>Z000161032Z020202001</t>
  </si>
  <si>
    <t>Z000161032Z020302022</t>
  </si>
  <si>
    <t>Z000161032Z040201003</t>
  </si>
  <si>
    <t>Z000161032Z040202006</t>
  </si>
  <si>
    <t>SERVICO DE ASSENTAMENTO DE PASTILHA - TERCEIRIZADO</t>
  </si>
  <si>
    <t>Z000161032Z040308005</t>
  </si>
  <si>
    <t>SERVICO DE REJUNTAMENTO DE PASTILHA - TERCEIRIZADO</t>
  </si>
  <si>
    <t>Z000161032Z040308035</t>
  </si>
  <si>
    <t>Z000161032Z040401001</t>
  </si>
  <si>
    <t>Z000161032Z060101021</t>
  </si>
  <si>
    <t>MATERIAL PARA DECK DE MADEIRA NATURAL A DEFINIR</t>
  </si>
  <si>
    <t>Z000162003Z020303001</t>
  </si>
  <si>
    <t>DECK EM MADEIRA NATURAL A DEFINIR - FORNECIMENTO E INSTALACAO - AC</t>
  </si>
  <si>
    <t>FABRICACAO E INSTALACAO DE DECK DE MADEIRA NATURAL A DEFINIR</t>
  </si>
  <si>
    <t>Z000162003Z040313011</t>
  </si>
  <si>
    <t>Z000162005Z020303008</t>
  </si>
  <si>
    <t>REVESTIMENTO DE PISO EM MADEIRA INDUSPARQUET PRONTO EM RIPAS - AC</t>
  </si>
  <si>
    <t>Z000162005Z030203009</t>
  </si>
  <si>
    <t>Z000162005Z040201015</t>
  </si>
  <si>
    <t>Z000162005Z040202006</t>
  </si>
  <si>
    <t>Z000162005Z040308020</t>
  </si>
  <si>
    <t>Z000162005Z040401001</t>
  </si>
  <si>
    <t>Z000162006Z020303008</t>
  </si>
  <si>
    <t>REVESTIMENTO DE PISO EM MADEIRA INDUSPARQUET LAMINADO EM RIPAS ESPINHA DE PEIXE - AC</t>
  </si>
  <si>
    <t>Z000162006Z030203009</t>
  </si>
  <si>
    <t>Z000162006Z040201015</t>
  </si>
  <si>
    <t>Z000162006Z040202006</t>
  </si>
  <si>
    <t>Z000162006Z040308020</t>
  </si>
  <si>
    <t>Z000162006Z040401001</t>
  </si>
  <si>
    <t>Z000163018Z020201001</t>
  </si>
  <si>
    <t>REVESTIMENTO DE PAREDE EM PEDRA NATURAL A DEFINIR - AC</t>
  </si>
  <si>
    <t>Z000163018Z020202001</t>
  </si>
  <si>
    <t>Z000163018Z020301001</t>
  </si>
  <si>
    <t>Z000163018Z040201011</t>
  </si>
  <si>
    <t>Z000163018Z040202006</t>
  </si>
  <si>
    <t>Z000163018Z040308001</t>
  </si>
  <si>
    <t>Z000163018Z040308006</t>
  </si>
  <si>
    <t>Z000163018Z040308018</t>
  </si>
  <si>
    <t>Z000163018Z040401001</t>
  </si>
  <si>
    <t>Z000163018Z060101023</t>
  </si>
  <si>
    <t>Z000163030Z020201002</t>
  </si>
  <si>
    <t>REVESTIMENTO DE PAREDE EM PEDRA MOLEDO - AC</t>
  </si>
  <si>
    <t>Z000163030Z020301022</t>
  </si>
  <si>
    <t>Z000163030Z040201011</t>
  </si>
  <si>
    <t>Z000163030Z040202006</t>
  </si>
  <si>
    <t>SERVICO DE ASSENTAMENTO DE PEDRAS ESPECIAIS - TERCEIRIZADO</t>
  </si>
  <si>
    <t>Z000163030Z040308019</t>
  </si>
  <si>
    <t>Z000163030Z040401001</t>
  </si>
  <si>
    <t>Z000163030Z060101023</t>
  </si>
  <si>
    <t>Z000163045Z020201001</t>
  </si>
  <si>
    <t>REVESTIMENTO DE LAREIRA EM QUARTZITO MONT BLANC - FORNECIMENTO, CONFECCAO E INSTALACAO - AC</t>
  </si>
  <si>
    <t>SERVICO DE ASSENTAMENTO DE LAREIRA EM PEDRA NATURAL - TERCEIRIZADO</t>
  </si>
  <si>
    <t>Z000163045Z040308027</t>
  </si>
  <si>
    <t>Z000163045Z040401001</t>
  </si>
  <si>
    <t>Z000163045Z060101023</t>
  </si>
  <si>
    <t>Z000163045Z020202001</t>
  </si>
  <si>
    <t>Z000163045Z020301003</t>
  </si>
  <si>
    <t>Z000163045Z040201011</t>
  </si>
  <si>
    <t>Z000163045Z040202006</t>
  </si>
  <si>
    <t>Z000163045Z040308001</t>
  </si>
  <si>
    <t>Z000163045Z040308018</t>
  </si>
  <si>
    <t>QUARTZITO BIANCATTO ESCOVADO - PISO OU PAREDE</t>
  </si>
  <si>
    <t>Z000163048Z040202006</t>
  </si>
  <si>
    <t>REVESTIMENTO DE PISO EM CABOCHON, PEDRAS A DEFINIR - AC</t>
  </si>
  <si>
    <t>Z000163048Z040308001</t>
  </si>
  <si>
    <t>SERVICO DE REJUNTAMENTO DE MOSAICO - TERCEIRIZADO</t>
  </si>
  <si>
    <t>Z000163048Z040308036</t>
  </si>
  <si>
    <t>Z000163048Z040401001</t>
  </si>
  <si>
    <t>Z000163048Z060101023</t>
  </si>
  <si>
    <t>Z000163048Z020201001</t>
  </si>
  <si>
    <t>Z000163048Z020202001</t>
  </si>
  <si>
    <t>Z000163048Z020301001</t>
  </si>
  <si>
    <t>Z000163048Z040201011</t>
  </si>
  <si>
    <t>Z000163050Z020201001</t>
  </si>
  <si>
    <t>REVESTIMENTO DE PISO EM QUARTZITO ARTEMIS - AC</t>
  </si>
  <si>
    <t>Z000163050Z020202001</t>
  </si>
  <si>
    <t>Z000163050Z020301027</t>
  </si>
  <si>
    <t>Z000163050Z040201011</t>
  </si>
  <si>
    <t>Z000163050Z040202006</t>
  </si>
  <si>
    <t>Z000163050Z040308001</t>
  </si>
  <si>
    <t>Z000163050Z040308006</t>
  </si>
  <si>
    <t>Z000163050Z040308018</t>
  </si>
  <si>
    <t>Z000163050Z040401001</t>
  </si>
  <si>
    <t>Z000163050Z060101023</t>
  </si>
  <si>
    <t>Z000163052Z020201001</t>
  </si>
  <si>
    <t>REVESTIMENTO DE PISO EM QUARTZITO VERDE ESMERALDA - AC</t>
  </si>
  <si>
    <t>Z000163052Z020202001</t>
  </si>
  <si>
    <t>Z000163052Z020301026</t>
  </si>
  <si>
    <t>Z000163052Z040201011</t>
  </si>
  <si>
    <t>Z000163052Z040202006</t>
  </si>
  <si>
    <t>Z000163052Z040308001</t>
  </si>
  <si>
    <t>Z000163052Z040308006</t>
  </si>
  <si>
    <t>Z000163052Z040308018</t>
  </si>
  <si>
    <t>Z000163052Z040401001</t>
  </si>
  <si>
    <t>Z000163052Z060101023</t>
  </si>
  <si>
    <t>Z000163054Z040202006</t>
  </si>
  <si>
    <t>RODAPE EM QUARTZITO ARTEMIS, ALTURA 15CM - AC</t>
  </si>
  <si>
    <t>Z000163054Z040308001</t>
  </si>
  <si>
    <t>Z000163054Z040401001</t>
  </si>
  <si>
    <t>Z000163054Z060101023</t>
  </si>
  <si>
    <t>Z000163054Z020201001</t>
  </si>
  <si>
    <t>Z000163054Z020202001</t>
  </si>
  <si>
    <t>Z000163054Z020309020</t>
  </si>
  <si>
    <t>Z000163054Z040201011</t>
  </si>
  <si>
    <t>Z000163069Z040401001</t>
  </si>
  <si>
    <t>REVESTIMENTO DE ESCADA EM QUARTZITO BIANCATTO COM FRISOS - AC</t>
  </si>
  <si>
    <t>Z000163069Z060101023</t>
  </si>
  <si>
    <t>QUARTZITO BIANCATTO POLIDO (COM FRISOS) - REVESTIMENTO ESCADA</t>
  </si>
  <si>
    <t>Z000163069Z020404004</t>
  </si>
  <si>
    <t>Z000163069Z040201011</t>
  </si>
  <si>
    <t>Z000163069Z040202006</t>
  </si>
  <si>
    <t>Z000163069Z040308001</t>
  </si>
  <si>
    <t>Z000163069Z040308018</t>
  </si>
  <si>
    <t>SERVICO DE ASSENTAMENTO DE REVESTIMENTO DE ESCADA EM PEDRA NATURAL - TERCEIRIZADO</t>
  </si>
  <si>
    <t>Z000163069Z040308034</t>
  </si>
  <si>
    <t>Z000163069Z020201001</t>
  </si>
  <si>
    <t>Z000163069Z020202001</t>
  </si>
  <si>
    <t>Z000164001Z020305001</t>
  </si>
  <si>
    <t>REVESTIMENTO DE PISO EM CARPETE BELGOTEX 704 ROUTE - AC</t>
  </si>
  <si>
    <t>Z000164001Z030203002</t>
  </si>
  <si>
    <t>Z000164001Z040201013</t>
  </si>
  <si>
    <t>Z000164001Z040202006</t>
  </si>
  <si>
    <t>SERVICO DE INSTALACAO DE CARPETE - TERCEIRIZADO</t>
  </si>
  <si>
    <t>Z000164001Z040308023</t>
  </si>
  <si>
    <t>Z000164001Z040401001</t>
  </si>
  <si>
    <t>SERVICO DE ASSENTAMENTO DE CERAMICA INDUSTRIAL - TERCEIRIZADO</t>
  </si>
  <si>
    <t>Z000164002Z040308039</t>
  </si>
  <si>
    <t>REVESTIMENTO DE PISO EM CERAMICA INDUSTRIAL GAIL 30X30 - AC</t>
  </si>
  <si>
    <t>Z000164002Z040401001</t>
  </si>
  <si>
    <t>Z000164002Z060101021</t>
  </si>
  <si>
    <t>Z000164002Z020201001</t>
  </si>
  <si>
    <t>Z000164002Z020202001</t>
  </si>
  <si>
    <t>Z000164002Z020302021</t>
  </si>
  <si>
    <t>Z000164002Z040201003</t>
  </si>
  <si>
    <t>Z000164002Z040202006</t>
  </si>
  <si>
    <t>Z000164002Z040308018</t>
  </si>
  <si>
    <t>Z000164004Z020307001</t>
  </si>
  <si>
    <t>REVESTIMENTO DE PISO EMBORRACHADO 100X100 - AC</t>
  </si>
  <si>
    <t>Z000164004Z030203002</t>
  </si>
  <si>
    <t>Z000164004Z040201013</t>
  </si>
  <si>
    <t>Z000164004Z040202006</t>
  </si>
  <si>
    <t>SERVICO DE INSTALACAO DE PISO EMBORRACHADO - TERCEIRIZADO</t>
  </si>
  <si>
    <t>Z000164004Z040308013</t>
  </si>
  <si>
    <t>Z000164004Z040401001</t>
  </si>
  <si>
    <t>Z000164009Z020201001</t>
  </si>
  <si>
    <t>REVESTIMENTO DE PAREDE EM CERAMICA INDUSTRIAL GAIL 30X30 - AC</t>
  </si>
  <si>
    <t>Z000164009Z040401001</t>
  </si>
  <si>
    <t>Z000164009Z060101021</t>
  </si>
  <si>
    <t>Z000164009Z020202001</t>
  </si>
  <si>
    <t>Z000164009Z020302021</t>
  </si>
  <si>
    <t>Z000164009Z040201003</t>
  </si>
  <si>
    <t>Z000164009Z040202006</t>
  </si>
  <si>
    <t>Z000164009Z040308018</t>
  </si>
  <si>
    <t>Z000164009Z040308039</t>
  </si>
  <si>
    <t>Z000164013Z020201001</t>
  </si>
  <si>
    <t>RODAPE EM CERAMICA INDUSTRIAL GAIL 30X30 - AC</t>
  </si>
  <si>
    <t>Z000164013Z020202001</t>
  </si>
  <si>
    <t>Z000164013Z020302021</t>
  </si>
  <si>
    <t>Z000164013Z040201003</t>
  </si>
  <si>
    <t>Z000164013Z040202006</t>
  </si>
  <si>
    <t>Z000164013Z040401001</t>
  </si>
  <si>
    <t>Z000164013Z060101021</t>
  </si>
  <si>
    <t>RODAPE EM POLIESTIRENO SANTA LUZIA BLACK 3480</t>
  </si>
  <si>
    <t>Z000164015Z020311001</t>
  </si>
  <si>
    <t>RODAPE EM POLIESTIRENO SANTA LUZIA BLACK 3480, ALTURA 15CM - AC</t>
  </si>
  <si>
    <t>Z000164015Z030203002</t>
  </si>
  <si>
    <t>Z000164015Z040201013</t>
  </si>
  <si>
    <t>Z000164015Z040202006</t>
  </si>
  <si>
    <t>Z000164015Z040308021</t>
  </si>
  <si>
    <t>Z000164015Z040401001</t>
  </si>
  <si>
    <t>Z000164016Z020313001</t>
  </si>
  <si>
    <t>REVESTIMENTO DE FACHADA HPL AMADEIRADO - AC</t>
  </si>
  <si>
    <t>Z000164016Z020313002</t>
  </si>
  <si>
    <t>Z000164017Z020312001</t>
  </si>
  <si>
    <t>REVESTIMENTO DE PAREDE EM ACM ALUMINIZADO CHAMPANHE - AC</t>
  </si>
  <si>
    <t>Z000164017Z020312002</t>
  </si>
  <si>
    <t>Z000164018Z010301002</t>
  </si>
  <si>
    <t>REVESTIMENTO DE PISO EM GRANILITE MONOLITICO - AC</t>
  </si>
  <si>
    <t>Z000164018Z020301028</t>
  </si>
  <si>
    <t>SELADOR ACRILICO OPACO PREMIUM INTERIOR/EXTERIOR</t>
  </si>
  <si>
    <t>Z000164018Z020501001</t>
  </si>
  <si>
    <t>Z000164018Z030103002</t>
  </si>
  <si>
    <t>JUNTA PLASTICA DE DILATACAO PARA PISOS, COR CINZA, 17 X 3 MM</t>
  </si>
  <si>
    <t>Z000164018Z030203010</t>
  </si>
  <si>
    <t>Z000164018Z040201011</t>
  </si>
  <si>
    <t>Z000164018Z050103020</t>
  </si>
  <si>
    <t>Z000164018Z040202006</t>
  </si>
  <si>
    <t>SERVICO DE CONFECCAO DE PISO GRANILETE - TERCEIRIZADO</t>
  </si>
  <si>
    <t>Z000164018Z040308043</t>
  </si>
  <si>
    <t>Z000164018Z040401001</t>
  </si>
  <si>
    <t>Z000164018Z050103009</t>
  </si>
  <si>
    <t>Z000164018Z050103010</t>
  </si>
  <si>
    <t>Z000164018Z050103019</t>
  </si>
  <si>
    <t>Z000164030Z010301001</t>
  </si>
  <si>
    <t>RODAPE EM GRANILITE MONOLITICO, ALTURA 15CM - AC</t>
  </si>
  <si>
    <t>Z000164030Z010304001</t>
  </si>
  <si>
    <t>Z000164030Z020301028</t>
  </si>
  <si>
    <t>Z000164030Z040201011</t>
  </si>
  <si>
    <t>Z000164030Z040202006</t>
  </si>
  <si>
    <t>Z000164030Z040204001</t>
  </si>
  <si>
    <t>Z000164030Z040401001</t>
  </si>
  <si>
    <t>Z000164030Z050103019</t>
  </si>
  <si>
    <t>Z000164030Z050103020</t>
  </si>
  <si>
    <t>Z000165003Z020202002</t>
  </si>
  <si>
    <t>BANCADA EM GRANITO ACQUAMARINE POLIDO - FORNECIMENTO, CONFECCAO E INSTALACAO - AC</t>
  </si>
  <si>
    <t>GRANITO ACQUAMARINE POLIDO - BANCADA OU LAVATORIO</t>
  </si>
  <si>
    <t>Z000165003Z020401011</t>
  </si>
  <si>
    <t>Z000165003Z030201001</t>
  </si>
  <si>
    <t>Z000165003Z030203008</t>
  </si>
  <si>
    <t>Z000165003Z030204001</t>
  </si>
  <si>
    <t>Z000165003Z040201011</t>
  </si>
  <si>
    <t>Z000165003Z040202006</t>
  </si>
  <si>
    <t>Z000165003Z040308001</t>
  </si>
  <si>
    <t>Z000165003Z040308007</t>
  </si>
  <si>
    <t>Z000165003Z040401001</t>
  </si>
  <si>
    <t>Z000165003Z060101023</t>
  </si>
  <si>
    <t>Z000165019Z020202002</t>
  </si>
  <si>
    <t>BANCADA EM MARMORE VERDE GUATEMALA POLIDO - FORNECIMENTO, CONFECCAO E INSTALACAO - AC</t>
  </si>
  <si>
    <t>MARMORE VERDE GUATEMALA POLIDO - BANCADA OU LAVATORIO</t>
  </si>
  <si>
    <t>Z000165019Z020401020</t>
  </si>
  <si>
    <t>Z000165019Z030201001</t>
  </si>
  <si>
    <t>Z000165019Z030203008</t>
  </si>
  <si>
    <t>Z000165019Z030204001</t>
  </si>
  <si>
    <t>Z000165019Z040201011</t>
  </si>
  <si>
    <t>Z000165019Z040202006</t>
  </si>
  <si>
    <t>Z000165019Z040308001</t>
  </si>
  <si>
    <t>Z000165019Z040308007</t>
  </si>
  <si>
    <t>Z000165019Z040401001</t>
  </si>
  <si>
    <t>Z000165019Z060101023</t>
  </si>
  <si>
    <t>Z000165022Z020202002</t>
  </si>
  <si>
    <t>BANCADA EM QUARTZITO BIANCATTO POLIDO - FORNECIMENTO, CONFECCAO E INSTALACAO - AC</t>
  </si>
  <si>
    <t>QUARTZITO BIANCATTO POLIDO - BANCADA OU LAVATORIO</t>
  </si>
  <si>
    <t>Z000165022Z020401021</t>
  </si>
  <si>
    <t>Z000165022Z030201001</t>
  </si>
  <si>
    <t>Z000165022Z030203008</t>
  </si>
  <si>
    <t>Z000165022Z030204001</t>
  </si>
  <si>
    <t>Z000165022Z040201011</t>
  </si>
  <si>
    <t>Z000165022Z040202006</t>
  </si>
  <si>
    <t>Z000165022Z040308001</t>
  </si>
  <si>
    <t>Z000165022Z040308007</t>
  </si>
  <si>
    <t>Z000165022Z040401001</t>
  </si>
  <si>
    <t>Z000165022Z060101023</t>
  </si>
  <si>
    <t>Z000165029Z020202002</t>
  </si>
  <si>
    <t>BANCADA EM GRANITO PRETO SAO GABRIEL POLIDO - FORNECIMENTO, CONFECCAO E INSTALACAO - AC</t>
  </si>
  <si>
    <t>GRANITO PRETO SAO GABRIEL POLIDO - BANCADA OU LAVATORIO</t>
  </si>
  <si>
    <t>Z000165029Z020401013</t>
  </si>
  <si>
    <t>Z000165029Z030201001</t>
  </si>
  <si>
    <t>Z000165029Z030203008</t>
  </si>
  <si>
    <t>Z000165029Z030204001</t>
  </si>
  <si>
    <t>Z000165029Z040201011</t>
  </si>
  <si>
    <t>Z000165029Z040202006</t>
  </si>
  <si>
    <t>Z000165029Z040308001</t>
  </si>
  <si>
    <t>Z000165029Z040308007</t>
  </si>
  <si>
    <t>Z000165029Z040401001</t>
  </si>
  <si>
    <t>Z000165029Z060101023</t>
  </si>
  <si>
    <t>SERVICO DE ASSENTAMENTO DE LAVATORIO COM CUBA ESCULPIDA EM PEDRA NATURAL - TERCEIRIZADO</t>
  </si>
  <si>
    <t>GRANITO ACQUAMARINE ESCOVADO - SOLEIRA, PEITORIL OU PINGADEIRA</t>
  </si>
  <si>
    <t>Z000167017Z020201001</t>
  </si>
  <si>
    <t>SOLEIRA EM GRANITO ACQUAMARINE ESCOVADO, LARGURA 20CM - AC</t>
  </si>
  <si>
    <t>Z000167017Z020403005</t>
  </si>
  <si>
    <t>Z000167017Z040201011</t>
  </si>
  <si>
    <t>Z000167017Z040202006</t>
  </si>
  <si>
    <t>Z000167017Z040308001</t>
  </si>
  <si>
    <t>Z000167017Z040308014</t>
  </si>
  <si>
    <t>Z000167017Z040401001</t>
  </si>
  <si>
    <t>Z000167017Z060101023</t>
  </si>
  <si>
    <t>Z000167048Z020201001</t>
  </si>
  <si>
    <t>PEITORIL EM QUARTZITO PERLA SANTANA, LARGURA 20CM - AC</t>
  </si>
  <si>
    <t>QUARTZITO PERLA SANTANA - SOLEIRA, PEITORIL OU PINGADEIRA</t>
  </si>
  <si>
    <t>Z000167048Z020403013</t>
  </si>
  <si>
    <t>Z000167048Z040201011</t>
  </si>
  <si>
    <t>Z000167048Z040202006</t>
  </si>
  <si>
    <t>Z000167048Z040308001</t>
  </si>
  <si>
    <t>Z000167048Z040308029</t>
  </si>
  <si>
    <t>Z000167048Z040401001</t>
  </si>
  <si>
    <t>Z000167048Z060101023</t>
  </si>
  <si>
    <t>Z000167050Z040308001</t>
  </si>
  <si>
    <t>SOLEIRA EM QUARTZITO VERDE ESMERALDA ESCOVADO, LARGURA 15CM - AC</t>
  </si>
  <si>
    <t>Z000167050Z040308014</t>
  </si>
  <si>
    <t>Z000167050Z040401001</t>
  </si>
  <si>
    <t>Z000167050Z060101023</t>
  </si>
  <si>
    <t>Z000167050Z020201001</t>
  </si>
  <si>
    <t>QUARTZITO VERDE ESMERALDA - SOLEIRA, PEITORIL OU PINGADEIRA</t>
  </si>
  <si>
    <t>Z000167050Z020403015</t>
  </si>
  <si>
    <t>Z000167050Z040201011</t>
  </si>
  <si>
    <t>Z000167050Z040202006</t>
  </si>
  <si>
    <t>Z000167055Z020201001</t>
  </si>
  <si>
    <t>PEITORIL EM QUARTZITO BIANCATTO POLIDO, LARGURA 20CM - AC</t>
  </si>
  <si>
    <t>QUARTZITO BIANCATTO POLIDO - SOLEIRA, PEITORIL OU PINGADEIRA</t>
  </si>
  <si>
    <t>Z000167055Z020403017</t>
  </si>
  <si>
    <t>Z000167055Z040201011</t>
  </si>
  <si>
    <t>Z000167055Z040202006</t>
  </si>
  <si>
    <t>Z000167055Z040308001</t>
  </si>
  <si>
    <t>Z000167055Z040308029</t>
  </si>
  <si>
    <t>Z000167055Z040401001</t>
  </si>
  <si>
    <t>Z000167055Z060101023</t>
  </si>
  <si>
    <t>Z000167056Z020201001</t>
  </si>
  <si>
    <t>SOLEIRA EM QUARTZITO BIANCATTO ESCOVADO, LARGURA 20CM - AC</t>
  </si>
  <si>
    <t>QUARTZITO BIANCATTO ESCOVADO - SOLEIRA, PEITORIL OU PINGADEIRA</t>
  </si>
  <si>
    <t>Z000167056Z020403016</t>
  </si>
  <si>
    <t>Z000167056Z040201011</t>
  </si>
  <si>
    <t>Z000167056Z040202006</t>
  </si>
  <si>
    <t>Z000167056Z040308001</t>
  </si>
  <si>
    <t>Z000167056Z040308014</t>
  </si>
  <si>
    <t>Z000167056Z040401001</t>
  </si>
  <si>
    <t>Z000167056Z060101023</t>
  </si>
  <si>
    <t>Z000168004Z020201001</t>
  </si>
  <si>
    <t>DIVISORIA EM GRANITO ACQUAMARINE POLIDO - FORNECIMENTO, CONFECCAO E INSTALACAO - AC</t>
  </si>
  <si>
    <t>Z000168004Z040401001</t>
  </si>
  <si>
    <t>Z000168004Z050103007</t>
  </si>
  <si>
    <t>Z000168004Z050103008</t>
  </si>
  <si>
    <t>Z000168004Z060101023</t>
  </si>
  <si>
    <t>GRANITO ACQUAMARINE POLIDO - DIVISORIA, CABINE OU TAPAVISTA</t>
  </si>
  <si>
    <t>Z000168004Z020408004</t>
  </si>
  <si>
    <t>Z000168004Z030203005</t>
  </si>
  <si>
    <t>Z000168004Z040201011</t>
  </si>
  <si>
    <t>Z000168004Z040202006</t>
  </si>
  <si>
    <t>Z000168004Z040308001</t>
  </si>
  <si>
    <t>SERVICO DE ASSENTAMENTO DE DIVISORIA EM PEDRA NATURAL - TERCEIRIZADO</t>
  </si>
  <si>
    <t>Z000168004Z040308017</t>
  </si>
  <si>
    <t>Z000169011Z020411002</t>
  </si>
  <si>
    <t>BANCO DE GRANITO ACQUAMARINE ESCOVADO - FORNECIMENTO, CONFECCAO E INSTALACAO - AC</t>
  </si>
  <si>
    <t>Z000169011Z030203008</t>
  </si>
  <si>
    <t>Z000169011Z040201011</t>
  </si>
  <si>
    <t>Z000169011Z040202006</t>
  </si>
  <si>
    <t>Z000169011Z040308001</t>
  </si>
  <si>
    <t>SERVICO DE ASSENTAMENTO DE REVESTIMENTO DE BANCO EM PEDRA NATURAL - TERCEIRIZADO</t>
  </si>
  <si>
    <t>Z000169011Z040308037</t>
  </si>
  <si>
    <t>Z000169011Z040401001</t>
  </si>
  <si>
    <t>Z000169011Z060101023</t>
  </si>
  <si>
    <t>Z000169013Z020411004</t>
  </si>
  <si>
    <t>BANCO DE QUARTZITO PERLA SANTANA - FORNECIMENTO, CONFECCAO E INSTALACAO - AC</t>
  </si>
  <si>
    <t>Z000169013Z030203008</t>
  </si>
  <si>
    <t>Z000169013Z040201011</t>
  </si>
  <si>
    <t>Z000169013Z040202006</t>
  </si>
  <si>
    <t>Z000169013Z040308001</t>
  </si>
  <si>
    <t>Z000169013Z040308037</t>
  </si>
  <si>
    <t>Z000169013Z040401001</t>
  </si>
  <si>
    <t>Z000169013Z060101023</t>
  </si>
  <si>
    <t>Z000169016Z020201001</t>
  </si>
  <si>
    <t>MOLDURA DE ELEVADOR EM GRANITO ACQUAMARINE POLIDO - FORNECIMENTO, CONFECCAO E INSTALACAO - AC</t>
  </si>
  <si>
    <t>Z000169016Z020202001</t>
  </si>
  <si>
    <t>GRANITO ACQUAMARINE POLIDO - MOLDURA ELEVADOR</t>
  </si>
  <si>
    <t>Z000169016Z020410003</t>
  </si>
  <si>
    <t>Z000169016Z040201011</t>
  </si>
  <si>
    <t>Z000169016Z040202006</t>
  </si>
  <si>
    <t>Z000169016Z040308001</t>
  </si>
  <si>
    <t>Z000169016Z040308018</t>
  </si>
  <si>
    <t>SERVICO DE ASSENTAMENTO DE MOLDURA EM PEDRA NATURAL - TERCEIRIZADO</t>
  </si>
  <si>
    <t>Z000169016Z040308025</t>
  </si>
  <si>
    <t>Z000169016Z040401001</t>
  </si>
  <si>
    <t>Z000169016Z060101023</t>
  </si>
  <si>
    <t>SERVICO DE ASSENTAMENTO DE BALCAO EM PEDRA NATURAL - TERCEIRIZADO</t>
  </si>
  <si>
    <t>Z000169028Z020201001</t>
  </si>
  <si>
    <t>MOLDURA DE ELEVADOR EM QUARTZITO BIANCATTO POLIDO - FORNECIMENTO, CONFECCAO E INSTALACAO - AC</t>
  </si>
  <si>
    <t>Z000169028Z040308025</t>
  </si>
  <si>
    <t>Z000169028Z040401001</t>
  </si>
  <si>
    <t>Z000169028Z060101023</t>
  </si>
  <si>
    <t>Z000169028Z020202001</t>
  </si>
  <si>
    <t>QUARTZITO BIANCATTO POLIDO - MOLDURA ELEVADOR</t>
  </si>
  <si>
    <t>Z000169028Z020410005</t>
  </si>
  <si>
    <t>Z000169028Z040201011</t>
  </si>
  <si>
    <t>Z000169028Z040202006</t>
  </si>
  <si>
    <t>Z000169028Z040308001</t>
  </si>
  <si>
    <t>Z000169028Z040308018</t>
  </si>
  <si>
    <t>Z000169031Z040202006</t>
  </si>
  <si>
    <t>BALCAO EM CORIAN BRANCO - FORNECIMENTO, CONFECCAO E INSTALACAO - AC</t>
  </si>
  <si>
    <t>Z000169031Z040308001</t>
  </si>
  <si>
    <t>Z000169031Z040308024</t>
  </si>
  <si>
    <t>Z000169031Z040401001</t>
  </si>
  <si>
    <t>Z000169031Z060101023</t>
  </si>
  <si>
    <t>Z000169031Z020409010</t>
  </si>
  <si>
    <t>Z000169031Z030203008</t>
  </si>
  <si>
    <t>Z000169031Z040201011</t>
  </si>
  <si>
    <t>Z000169035Z020409016</t>
  </si>
  <si>
    <t>BALCAO EM GRANITO ACQUAMARINE POLIDO - FORNECIMENTO, CONFECCAO E INSTALACAO - AC</t>
  </si>
  <si>
    <t>Z000169035Z030203008</t>
  </si>
  <si>
    <t>Z000169035Z040201011</t>
  </si>
  <si>
    <t>Z000169035Z040202006</t>
  </si>
  <si>
    <t>Z000169035Z040308001</t>
  </si>
  <si>
    <t>Z000169035Z040308024</t>
  </si>
  <si>
    <t>Z000169035Z040401001</t>
  </si>
  <si>
    <t>Z000169035Z060101023</t>
  </si>
  <si>
    <t>SELADOR ACRILICO, INTERIOR/EXTERIOR - SUVINIL OU SIMILAR</t>
  </si>
  <si>
    <t>Z000171001Z020501005</t>
  </si>
  <si>
    <t>APLICACAO DE FUNDO SELADOR ACRILICO EM PAREDES EXTERNAS, UMA DEMAO</t>
  </si>
  <si>
    <t>Z000171001Z040201014</t>
  </si>
  <si>
    <t>Z000171001Z040202006</t>
  </si>
  <si>
    <t>SERVICO DE APLICACAO DE SELADOR - TERCEIRIZADO</t>
  </si>
  <si>
    <t>Z000171001Z040309002</t>
  </si>
  <si>
    <t>Z000171001Z040401001</t>
  </si>
  <si>
    <t>Z000171002Z020501005</t>
  </si>
  <si>
    <t>APLICACAO DE FUNDO SELADOR ACRILICO EM PAREDES INTERNAS, UMA DEMAO</t>
  </si>
  <si>
    <t>Z000171002Z040201014</t>
  </si>
  <si>
    <t>Z000171002Z040202006</t>
  </si>
  <si>
    <t>Z000171002Z040309002</t>
  </si>
  <si>
    <t>Z000171002Z040401001</t>
  </si>
  <si>
    <t>Z000171003Z040202006</t>
  </si>
  <si>
    <t>APLICACAO DE FUNDO SELADOR ACRILICO EM TETO, UMA DEMAO</t>
  </si>
  <si>
    <t>Z000171003Z040309002</t>
  </si>
  <si>
    <t>Z000171003Z040401001</t>
  </si>
  <si>
    <t>Z000171003Z020501005</t>
  </si>
  <si>
    <t>Z000171003Z040201014</t>
  </si>
  <si>
    <t>Z000172001Z020502002</t>
  </si>
  <si>
    <t>APLICACAO E LIXAMENTO DE MASSA LATEX EM PAREDES EXTERNAS, DUAS DEMAOS</t>
  </si>
  <si>
    <t>LIXA EM FOLHA PARA PAREDE OU MADEIRA NUMERO 120 COR VERMELHA</t>
  </si>
  <si>
    <t>Z000172001Z030101001</t>
  </si>
  <si>
    <t>Z000172001Z040201014</t>
  </si>
  <si>
    <t>Z000172001Z040202006</t>
  </si>
  <si>
    <t>SERVICO DE APLICACAO DE MASSA E LIXAMENTO - TERCEIRIZADO</t>
  </si>
  <si>
    <t>Z000172001Z040309003</t>
  </si>
  <si>
    <t>Z000172001Z040401001</t>
  </si>
  <si>
    <t>Z000172002Z040401001</t>
  </si>
  <si>
    <t>APLICACAO E LIXAMENTO DE MASSA LATEX EM PAREDES INTERNAS, DUAS DEMAOS</t>
  </si>
  <si>
    <t>Z000172002Z020502001</t>
  </si>
  <si>
    <t>Z000172002Z030101001</t>
  </si>
  <si>
    <t>Z000172002Z040201014</t>
  </si>
  <si>
    <t>Z000172002Z040202006</t>
  </si>
  <si>
    <t>Z000172002Z040309003</t>
  </si>
  <si>
    <t>Z000172003Z040401001</t>
  </si>
  <si>
    <t>APLICACAO E LIXAMENTO DE MASSA LATEX EM TETO, DUAS DEMAOS</t>
  </si>
  <si>
    <t>Z000172003Z020502001</t>
  </si>
  <si>
    <t>Z000172003Z030101001</t>
  </si>
  <si>
    <t>Z000172003Z040201014</t>
  </si>
  <si>
    <t>Z000172003Z040202006</t>
  </si>
  <si>
    <t>Z000172003Z040309003</t>
  </si>
  <si>
    <t>FUNDO PREPARADOR, INTERIOR / EXTERIOR - SUVINIL OU SIMILAR</t>
  </si>
  <si>
    <t>Z000173003Z020501004</t>
  </si>
  <si>
    <t>APLICACAO MANUAL DE PINTURA COM TINTA ACRILICA EM PISO, TRES DEMAOS - COR A DEFINIR</t>
  </si>
  <si>
    <t>TINTA ACRILICA PREMIUM PARA PISO, INTERIOR / EXTERIOR, COR E ACABAMENTO A DEFINIR - SUVINIL OU SIMILAR</t>
  </si>
  <si>
    <t>Z000173003Z020504012</t>
  </si>
  <si>
    <t>Z000173003Z030105003</t>
  </si>
  <si>
    <t>Z000173003Z040201014</t>
  </si>
  <si>
    <t>Z000173003Z040202006</t>
  </si>
  <si>
    <t>SERVICO DE APLICACAO DE TINTA LISA - TERCEIRIZADO</t>
  </si>
  <si>
    <t>Z000173003Z040309004</t>
  </si>
  <si>
    <t>Z000173003Z040401001</t>
  </si>
  <si>
    <t>TINTA LATEX ACRILICA PREMIUM, INTERIOR / EXTERIOR, COR E ACABAMENTO A DEFINIR - SUVINIL OU SIMILAR</t>
  </si>
  <si>
    <t>Z000173004Z020504011</t>
  </si>
  <si>
    <t>APLICACAO MANUAL DE PINTURA COM TINTA LATEX ACRILICA EM PAREDES EXTERNAS, TRES DEMAOS - COR E ACABAMENTO A DEFINIR</t>
  </si>
  <si>
    <t>Z000173004Z040201014</t>
  </si>
  <si>
    <t>Z000173004Z040202006</t>
  </si>
  <si>
    <t>Z000173004Z040309004</t>
  </si>
  <si>
    <t>Z000173004Z040401001</t>
  </si>
  <si>
    <t>TINTA ACRILICA PREMIUM, INTERIOR / EXTERIOR, COR BRANCO, ACABAMENTO FOSCO - SUVINIL OU SIMILAR</t>
  </si>
  <si>
    <t>Z000173007Z020504009</t>
  </si>
  <si>
    <t>APLICACAO MANUAL DE PINTURA COM TINTA ACRILICA EM PAREDES INTERNAS, TRES DEMAOS - COR BRANCO FOSCO</t>
  </si>
  <si>
    <t>Z000173007Z040201014</t>
  </si>
  <si>
    <t>Z000173007Z040202006</t>
  </si>
  <si>
    <t>Z000173007Z040309004</t>
  </si>
  <si>
    <t>Z000173007Z040401001</t>
  </si>
  <si>
    <t>SERVICO DE APLICACAO DE TINTAS ESPECIAIS - TERCEIRIZADO</t>
  </si>
  <si>
    <t>Z000173008Z040309006</t>
  </si>
  <si>
    <t>APLICACAO MANUAL DE REVESTIMENTO ACRILICO DECORATIVO EM PAREDES INTERNAS, UMA DEMAO - CIMENTO QUEIMADO</t>
  </si>
  <si>
    <t>Z000173008Z040401001</t>
  </si>
  <si>
    <t>Z000173008Z020501006</t>
  </si>
  <si>
    <t>REVESTIMENTO ACRILICO DECORATIVO, CIMENTO QUEIMADO - SUVINIL OU SIMILAR</t>
  </si>
  <si>
    <t>Z000173008Z020505004</t>
  </si>
  <si>
    <t>Z000173008Z040201014</t>
  </si>
  <si>
    <t>Z000173008Z040202006</t>
  </si>
  <si>
    <t>TINTA ACRILICA PREMIUM, INTERIOR / EXTERIOR, COR BRANCO NEVE, ACABAMENTO ACETINADO - SUVINIL OU SIMILAR</t>
  </si>
  <si>
    <t>Z000173009Z020504014</t>
  </si>
  <si>
    <t>APLICACAO MANUAL DE PINTURA COM TINTA ACRILICA EM TETO, TRES DEMAOS - COR BRANCO NEVE COM TOQUE DE SEDA</t>
  </si>
  <si>
    <t>Z000173009Z040201014</t>
  </si>
  <si>
    <t>Z000173009Z040202006</t>
  </si>
  <si>
    <t>Z000173009Z040309004</t>
  </si>
  <si>
    <t>Z000173009Z040401001</t>
  </si>
  <si>
    <t>TINTA ACRILICA PREMIUM, INTERIOR / EXTERIOR, COR CALDA DE CHOCOLATE, ACABAMENTO ACETINADO - SUVINIL OU SIMILAR</t>
  </si>
  <si>
    <t>Z000173010Z020504015</t>
  </si>
  <si>
    <t>APLICACAO MANUAL DE PINTURA COM TINTA ACRILICA EM TETO, TRES DEMAOS - COR CALDA DE CHOCOLATE COM TOQUE DE SEDA</t>
  </si>
  <si>
    <t>Z000173010Z040201014</t>
  </si>
  <si>
    <t>Z000173010Z040202006</t>
  </si>
  <si>
    <t>Z000173010Z040309004</t>
  </si>
  <si>
    <t>Z000173010Z040401001</t>
  </si>
  <si>
    <t>TINTA ACRILICA PREMIUM, INTERIOR / EXTERIOR, COR ESVERDEADO, ACABAMENTO ACETINADO - SUVINIL OU SIMILAR</t>
  </si>
  <si>
    <t>Z000173012Z020504016</t>
  </si>
  <si>
    <t>APLICACAO MANUAL DE PINTURA COM TINTA ACRILICA EM TETO, TRES DEMAOS - COR ESVERDEADO</t>
  </si>
  <si>
    <t>Z000173012Z040201014</t>
  </si>
  <si>
    <t>Z000173012Z040202006</t>
  </si>
  <si>
    <t>Z000173012Z040309004</t>
  </si>
  <si>
    <t>Z000173012Z040401001</t>
  </si>
  <si>
    <t>TINTA ACRILICA PREMIUM, INTERIOR / EXTERIOR, COR PRETO ABSOLUTO, ACABAMENTO ACETINADO - SUVINIL OU SIMILAR</t>
  </si>
  <si>
    <t>Z000173013Z020504017</t>
  </si>
  <si>
    <t>APLICACAO MANUAL DE PINTURA COM TINTA ACRILICA EM TETO, TRES DEMAOS - COR PRETO ABSOLUTO COM TOQUE DE SEDA</t>
  </si>
  <si>
    <t>Z000173013Z040201014</t>
  </si>
  <si>
    <t>Z000173013Z040202006</t>
  </si>
  <si>
    <t>Z000173013Z040309004</t>
  </si>
  <si>
    <t>Z000173013Z040401001</t>
  </si>
  <si>
    <t>MASSA PARA TEXTURA ACRILICA PREMIUM, COR A DEFINIR - SUVINIL OU SIMILAR</t>
  </si>
  <si>
    <t>Z000174001Z020503007</t>
  </si>
  <si>
    <t>APLICACAO MANUAL DE TEXTURA ACRILICA EM PAREDES EXTERNAS, UMA DEMAO - COR A DEFINIR</t>
  </si>
  <si>
    <t>Z000174001Z040201014</t>
  </si>
  <si>
    <t>Z000174001Z040202006</t>
  </si>
  <si>
    <t>SERVICO DE APLICACAO DE TEXTURA - TERCEIRIZADO</t>
  </si>
  <si>
    <t>Z000174001Z040309005</t>
  </si>
  <si>
    <t>Z000174001Z040401001</t>
  </si>
  <si>
    <t>MASSA PARA TEXTURA ACRILICA PREMIUM, COR VERDE ESCURO - SUVINIL OU SIMILAR</t>
  </si>
  <si>
    <t>Z000174010Z020503005</t>
  </si>
  <si>
    <t>APLICACAO DE TEXTURA PROJETADA EM PAREDES INTERNAS, UMA DEMAO - COR VERDE ESCURO</t>
  </si>
  <si>
    <t>Z000174010Z040201014</t>
  </si>
  <si>
    <t>Z000174010Z040202006</t>
  </si>
  <si>
    <t>Z000174010Z040309005</t>
  </si>
  <si>
    <t>Z000174010Z040401001</t>
  </si>
  <si>
    <t>MASSA PARA TEXTURA ACRILICA PREMIUM, COR PAPEL PICADO - SUVINIL OU SIMILAR</t>
  </si>
  <si>
    <t>Z000174011Z020503006</t>
  </si>
  <si>
    <t>APLICACAO DE TEXTURA PROJETADA TIPO GRANULADO EM PAREDES INTERNAS, UMA DEMAO - COR PAPEL PICADO</t>
  </si>
  <si>
    <t>Z000174011Z040201014</t>
  </si>
  <si>
    <t>Z000174011Z040202006</t>
  </si>
  <si>
    <t>Z000174011Z040309005</t>
  </si>
  <si>
    <t>Z000174011Z040401001</t>
  </si>
  <si>
    <t>TINTA ESMALTE PREMIUM DECORATIVA, INTERIOR / EXTERIOR, COR PRETO ABSOLUTO, ACABAMENTO FOSCO - SUVINIL OU SIMILAR</t>
  </si>
  <si>
    <t>Z000175003Z020505005</t>
  </si>
  <si>
    <t>APLICACAO MANUAL DE PINTURA COM TINTA ESMALTE ACETINADO EM PAREDES INTERNAS, TRES DEMAOS - COR PRETO ABSOLUTO</t>
  </si>
  <si>
    <t>Z000175003Z040201014</t>
  </si>
  <si>
    <t>Z000175003Z040202006</t>
  </si>
  <si>
    <t>SERVICO DE PINTURA COM TINTA ESMALTE - TERCEIRIZADO</t>
  </si>
  <si>
    <t>Z000175003Z040309012</t>
  </si>
  <si>
    <t>Z000175003Z040401001</t>
  </si>
  <si>
    <t>MATERIAL PARA ESQUADRIAS DE PVC E VIDRO - JANELAS</t>
  </si>
  <si>
    <t>Z000182003Z020603001</t>
  </si>
  <si>
    <t>FABRICACAO, PINTURA E INSTALACAO ESQUADRIAS DE PVC E VIDRO - JANELAS</t>
  </si>
  <si>
    <t>Z000182003Z040310004</t>
  </si>
  <si>
    <t>MATERIAL PARA ESQUADRIAS DE PVC E VIDRO - PORTAS</t>
  </si>
  <si>
    <t>Z000182004Z020603002</t>
  </si>
  <si>
    <t>FABRICACAO, PINTURA E INSTALACAO ESQUADRIAS DE PVC E VIDRO - PORTAS</t>
  </si>
  <si>
    <t>Z000182004Z040310005</t>
  </si>
  <si>
    <t>Z000183005Z020605004</t>
  </si>
  <si>
    <t>FABRICACAO E INSTALACAO GUARDA CORPO DE VIDRO RETO</t>
  </si>
  <si>
    <t>Z000183005Z040310013</t>
  </si>
  <si>
    <t>Z000183006Z020605005</t>
  </si>
  <si>
    <t>FABRICACAO E INSTALACAO GUARDA CORPO DE VIDRO CURVO</t>
  </si>
  <si>
    <t>Z000183006Z040310014</t>
  </si>
  <si>
    <t>Z000183008Z020605008</t>
  </si>
  <si>
    <t>FABRICACAO, PINTURA E INSTALACAO GUARDA CORPO DE ALUMINIO</t>
  </si>
  <si>
    <t>Z000183008Z040310035</t>
  </si>
  <si>
    <t>KIT PORTA PRONTA DE MADEIRA SOLIDA 80 X 210 CM</t>
  </si>
  <si>
    <t>Z000185006Z020607003</t>
  </si>
  <si>
    <t>KIT PORTA-PRONTA DE GIRO 80X210CM - ESTRUTURA SOLIDA E FOLHA REVESTIDA EM PET, BATENTE E GUARNICAO EM PVC, INCLUSO DOBRADICAS COM MOLA E SEM FECHADURA - FORNECIMENTO E INSTALACAO</t>
  </si>
  <si>
    <t>Z000185006Z020608002</t>
  </si>
  <si>
    <t>Z000185006Z030206001</t>
  </si>
  <si>
    <t>Z000185006Z040201006</t>
  </si>
  <si>
    <t>Z000185006Z040202006</t>
  </si>
  <si>
    <t>SERVICO DE INSTALACAO DE KIT PORTA PRONTA - TERCEIRIZADO</t>
  </si>
  <si>
    <t>Z000185006Z040310041</t>
  </si>
  <si>
    <t>Z000185006Z040401001</t>
  </si>
  <si>
    <t>Z000185007Z020608002</t>
  </si>
  <si>
    <t>KIT PORTA-PRONTA DE GIRO 90X210CM - ESTRUTURA SOLIDA E FOLHA REVESTIDA EM PET, BATENTE E GUARNICAO EM PVC, INCLUSO DOBRADICAS COM MOLA E SEM FECHADURA - FORNECIMENTO E INSTALACAO</t>
  </si>
  <si>
    <t>Z000185007Z030206001</t>
  </si>
  <si>
    <t>Z000185007Z040201006</t>
  </si>
  <si>
    <t>Z000185007Z040202006</t>
  </si>
  <si>
    <t>Z000185007Z040310041</t>
  </si>
  <si>
    <t>Z000185007Z040401001</t>
  </si>
  <si>
    <t>KIT PORTA PRONTA DE MADEIRA SOLIDA 90 X 210 CM</t>
  </si>
  <si>
    <t>Z000185007Z020607004</t>
  </si>
  <si>
    <t>KIT PORTA PRONTA DE MADEIRA SOLIDA 90 X 250 CM</t>
  </si>
  <si>
    <t>Z000185009Z020607017</t>
  </si>
  <si>
    <t>KIT PORTA-PRONTA DE GIRO 90X250CM - ESTRUTURA SOLIDA E FOLHA REVESTIDA EM PET, BATENTE E GUARNICAO EM PVC, INCLUSO DOBRADICAS E FECHADURA - FORNECIMENTO E INSTALACAO</t>
  </si>
  <si>
    <t>Z000185009Z020608001</t>
  </si>
  <si>
    <t>Z000185009Z020608003</t>
  </si>
  <si>
    <t>Z000185009Z030206001</t>
  </si>
  <si>
    <t>Z000185009Z040201006</t>
  </si>
  <si>
    <t>Z000185009Z040202006</t>
  </si>
  <si>
    <t>Z000185009Z040310041</t>
  </si>
  <si>
    <t>Z000185009Z040401001</t>
  </si>
  <si>
    <t>KIT PORTA PRONTA DE MADEIRA SOLIDA 80 X 250 CM</t>
  </si>
  <si>
    <t>Z000185042Z020607048</t>
  </si>
  <si>
    <t>KIT PORTA-PRONTA DE GIRO 80X250CM - ESTRUTURA SOLIDA E FOLHA REVESTIDA EM PET, BATENTE E GUARNICAO EM PVC, INCLUSO DOBRADICAS E FECHADURA - FORNECIMENTO E INSTALACAO</t>
  </si>
  <si>
    <t>Z000185042Z020608001</t>
  </si>
  <si>
    <t>Z000185042Z020608003</t>
  </si>
  <si>
    <t>Z000185042Z030206001</t>
  </si>
  <si>
    <t>Z000185042Z040201006</t>
  </si>
  <si>
    <t>Z000185042Z040202006</t>
  </si>
  <si>
    <t>Z000185042Z040310041</t>
  </si>
  <si>
    <t>Z000185042Z040401001</t>
  </si>
  <si>
    <t>Z000185043Z020608003</t>
  </si>
  <si>
    <t>KIT PORTA-PRONTA DE GIRO 80X275CM - ESTRUTURA SOLIDA E FOLHA REVESTIDA EM PET, BATENTE E GUARNICAO EM PVC, INCLUSO DOBRADICAS E FECHADURA - FORNECIMENTO E INSTALACAO</t>
  </si>
  <si>
    <t>Z000185043Z030206001</t>
  </si>
  <si>
    <t>Z000185043Z040201006</t>
  </si>
  <si>
    <t>Z000185043Z040202006</t>
  </si>
  <si>
    <t>Z000185043Z040310041</t>
  </si>
  <si>
    <t>Z000185043Z040401001</t>
  </si>
  <si>
    <t>KIT PORTA PRONTA DE MADEIRA SOLIDA 80 X 275 CM</t>
  </si>
  <si>
    <t>Z000185043Z020607049</t>
  </si>
  <si>
    <t>Z000185043Z020608001</t>
  </si>
  <si>
    <t>Z000185044Z040310041</t>
  </si>
  <si>
    <t>KIT PORTA-PRONTA DE GIRO 80X285CM - ESTRUTURA SOLIDA E FOLHA REVESTIDA EM PET, BATENTE E GUARNICAO EM PVC, INCLUSO DOBRADICAS E FECHADURA - FORNECIMENTO E INSTALACAO</t>
  </si>
  <si>
    <t>Z000185044Z040401001</t>
  </si>
  <si>
    <t>KIT PORTA PRONTA DE MADEIRA SOLIDA 80 X 285 CM</t>
  </si>
  <si>
    <t>Z000185044Z020607050</t>
  </si>
  <si>
    <t>Z000185044Z020608001</t>
  </si>
  <si>
    <t>Z000185044Z020608003</t>
  </si>
  <si>
    <t>Z000185044Z030206001</t>
  </si>
  <si>
    <t>Z000185044Z040201006</t>
  </si>
  <si>
    <t>Z000185044Z040202006</t>
  </si>
  <si>
    <t>KIT PORTA PRONTA DE MADEIRA SOLIDA 80 X 290 CM</t>
  </si>
  <si>
    <t>Z000185045Z020607051</t>
  </si>
  <si>
    <t>KIT PORTA-PRONTA DE GIRO 80X290CM - ESTRUTURA SOLIDA E FOLHA REVESTIDA EM PET, BATENTE E GUARNICAO EM PVC, INCLUSO DOBRADICAS E FECHADURA - FORNECIMENTO E INSTALACAO</t>
  </si>
  <si>
    <t>Z000185045Z020608001</t>
  </si>
  <si>
    <t>Z000185045Z020608003</t>
  </si>
  <si>
    <t>Z000185045Z030206001</t>
  </si>
  <si>
    <t>Z000185045Z040201006</t>
  </si>
  <si>
    <t>Z000185045Z040202006</t>
  </si>
  <si>
    <t>Z000185045Z040310041</t>
  </si>
  <si>
    <t>Z000185045Z040401001</t>
  </si>
  <si>
    <t>Z000185046Z040202006</t>
  </si>
  <si>
    <t>KIT PORTA-PRONTA DE GIRO 90X275CM - ESTRUTURA SOLIDA E FOLHA REVESTIDA EM PET, BATENTE E GUARNICAO EM PVC, INCLUSO DOBRADICAS E FECHADURA - FORNECIMENTO E INSTALACAO</t>
  </si>
  <si>
    <t>Z000185046Z040310041</t>
  </si>
  <si>
    <t>Z000185046Z040401001</t>
  </si>
  <si>
    <t>KIT PORTA PRONTA DE MADEIRA SOLIDA 90 X 275 CM</t>
  </si>
  <si>
    <t>Z000185046Z020607052</t>
  </si>
  <si>
    <t>Z000185046Z020608001</t>
  </si>
  <si>
    <t>Z000185046Z020608003</t>
  </si>
  <si>
    <t>Z000185046Z030206001</t>
  </si>
  <si>
    <t>Z000185046Z040201006</t>
  </si>
  <si>
    <t>KIT PORTA PRONTA DE MADEIRA SOLIDA 90 X 290 CM</t>
  </si>
  <si>
    <t>Z000185047Z020607053</t>
  </si>
  <si>
    <t>KIT PORTA-PRONTA DE GIRO 90X290CM - ESTRUTURA SOLIDA E FOLHA REVESTIDA EM PET, BATENTE E GUARNICAO EM PVC, INCLUSO DOBRADICAS E FECHADURA - FORNECIMENTO E INSTALACAO</t>
  </si>
  <si>
    <t>Z000185047Z020608001</t>
  </si>
  <si>
    <t>Z000185047Z020608003</t>
  </si>
  <si>
    <t>Z000185047Z030206001</t>
  </si>
  <si>
    <t>Z000185047Z040201006</t>
  </si>
  <si>
    <t>Z000185047Z040202006</t>
  </si>
  <si>
    <t>Z000185047Z040310041</t>
  </si>
  <si>
    <t>Z000185047Z040401001</t>
  </si>
  <si>
    <t>KIT PORTA PRONTA DE MADEIRA SOLIDA DUPLA 206 X 210 CM</t>
  </si>
  <si>
    <t>Z000185048Z020607054</t>
  </si>
  <si>
    <t>KIT PORTA-PRONTA DE GIRO DUPLA 206X210CM - ESTRUTURA SOLIDA E FOLHA REVESTIDA EM PET, BATENTE E GUARNICAO EM PVC, INCLUSO DOBRADICAS E FECHADURA - FORNECIMENTO E INSTALACAO</t>
  </si>
  <si>
    <t>Z000185048Z020608001</t>
  </si>
  <si>
    <t>Z000185048Z020608003</t>
  </si>
  <si>
    <t>Z000185048Z030206001</t>
  </si>
  <si>
    <t>Z000185048Z040201006</t>
  </si>
  <si>
    <t>Z000185048Z040202006</t>
  </si>
  <si>
    <t>Z000185048Z040310041</t>
  </si>
  <si>
    <t>Z000185048Z040401001</t>
  </si>
  <si>
    <t>KIT PORTA PRONTA DE MADEIRA SOLIDA DUPLA 206 X 250 CM</t>
  </si>
  <si>
    <t>Z000185049Z020607055</t>
  </si>
  <si>
    <t>KIT PORTA-PRONTA DE GIRO DUPLA 206X250CM - ESTRUTURA SOLIDA E FOLHA REVESTIDA EM PET, BATENTE E GUARNICAO EM PVC, INCLUSO DOBRADICAS E FECHADURA - FORNECIMENTO E INSTALACAO</t>
  </si>
  <si>
    <t>Z000185049Z020608001</t>
  </si>
  <si>
    <t>Z000185049Z020608003</t>
  </si>
  <si>
    <t>Z000185049Z030206001</t>
  </si>
  <si>
    <t>Z000185049Z040201006</t>
  </si>
  <si>
    <t>Z000185049Z040202006</t>
  </si>
  <si>
    <t>Z000185049Z040310041</t>
  </si>
  <si>
    <t>Z000185049Z040401001</t>
  </si>
  <si>
    <t>MATERIAL PARA CORRIMAO DE INOX SIMPLES PARA FIXACAO EM PAREDE</t>
  </si>
  <si>
    <t>Z000187001Z020604001</t>
  </si>
  <si>
    <t>CORRIMAO INOX SIMPLES PARA FIXACAO EM PAREDE</t>
  </si>
  <si>
    <t>FABRICACAO E INSTALACAO CORRIMAO DE INOX SIMPLES PARA FIXACAO EM PAREDE</t>
  </si>
  <si>
    <t>Z000187001Z040310006</t>
  </si>
  <si>
    <t>MATERIAL PARA CORRIMAO DE INOX DUPLO PARA FIXACAO EM PAREDE</t>
  </si>
  <si>
    <t>Z000187002Z020604002</t>
  </si>
  <si>
    <t>CORRIMAO INOX DUPLO PARA FIXACAO EM PAREDE</t>
  </si>
  <si>
    <t>FABRICACAO E INSTALACAO CORRIMAO DE INOX DUPLO PARA FIXACAO EM PAREDE</t>
  </si>
  <si>
    <t>Z000187002Z040310007</t>
  </si>
  <si>
    <t>MATERIAL PARA CORRIMAO DE INOX DUPLO PARA FIXACAO EM PISO</t>
  </si>
  <si>
    <t>Z000187004Z020604004</t>
  </si>
  <si>
    <t>FABRICACAO E INSTALACAO CORRIMAO DE INOX DUPLO PARA FIXACAO EM PISO</t>
  </si>
  <si>
    <t>Z000187004Z040310009</t>
  </si>
  <si>
    <t>MATERIAL PARA CORRIMAO EM ACO INOX COM PINTURA ELETROSTATICA COR CHAPANHE PARA ESCADA HELICOIDAL</t>
  </si>
  <si>
    <t>Z000187005Z020604005</t>
  </si>
  <si>
    <t>CORRIMAO EM ACO INOX COM PINTURA ELETROSTATICA COR CHAPANHE PARA ESCADA HELICOIDAL</t>
  </si>
  <si>
    <t>FABRICACAO E INSTALACAO CORRIMAO EM ACO INOX COM PINTURA ELETROSTATICA COR CHAPANHE PARA ESCADA HELICOIDAL</t>
  </si>
  <si>
    <t>Z000187005Z040310040</t>
  </si>
  <si>
    <t>Z000188003Z040201013</t>
  </si>
  <si>
    <t>PORTA CORTA-FOGO 100X210X4CM - FORNECIMENTO E INSTALACAO</t>
  </si>
  <si>
    <t>Z000188003Z040202006</t>
  </si>
  <si>
    <t>Z000188003Z040204001</t>
  </si>
  <si>
    <t>Z000188003Z040401001</t>
  </si>
  <si>
    <t>Z000188003Z050103019</t>
  </si>
  <si>
    <t>Z000188003Z050103020</t>
  </si>
  <si>
    <t>Z000188003Z010301001</t>
  </si>
  <si>
    <t>Z000188003Z010304001</t>
  </si>
  <si>
    <t>Z000188003Z010305003</t>
  </si>
  <si>
    <t>PORTA CORTA-FOGO, COM FECHADURA E VAO LUZ, DE 90 X 210 CM, CLASSE P-90 (NBR 11742)</t>
  </si>
  <si>
    <t>Z000188003Z020610001</t>
  </si>
  <si>
    <t>Z000189001Z040401001</t>
  </si>
  <si>
    <t>PORTAO EM CHAPA DE ACO GALVANIZADA, INCLUSO FERRAGENS E MOTOR - FORNECIMENTO E INSTALACAO</t>
  </si>
  <si>
    <t>Z000189001Z050103019</t>
  </si>
  <si>
    <t>Z000189001Z050103020</t>
  </si>
  <si>
    <t>Z000189001Z010305003</t>
  </si>
  <si>
    <t>PORTAO EM CHAPA DE ACO GALVANIZADO, INCLUSIVE FERRAGENS</t>
  </si>
  <si>
    <t>Z000189001Z020611001</t>
  </si>
  <si>
    <t>Z000189001Z020611002</t>
  </si>
  <si>
    <t>Z000189001Z040201013</t>
  </si>
  <si>
    <t>Z000189001Z040202006</t>
  </si>
  <si>
    <t>Z000189001Z040204001</t>
  </si>
  <si>
    <t>Z000189001Z010301001</t>
  </si>
  <si>
    <t>Z000189001Z010304001</t>
  </si>
  <si>
    <t>MATERIAL PARA GRADE MATALICA FIXADA EM PAREDE PARA JARDIM VERTICAL</t>
  </si>
  <si>
    <t>Z000189002Z020618003</t>
  </si>
  <si>
    <t>GRADE METALICA FIXADA EM PAREDE PARA JARDIM VERTICAL</t>
  </si>
  <si>
    <t>FABRICACAO, PINTURA E INSTALACAO DE GRADE MATALICA FIXADA EM PAREDE PARA JARDIM VERTICAL</t>
  </si>
  <si>
    <t>Z000189002Z040310034</t>
  </si>
  <si>
    <t>MATERIAIS DE LUMINOTECNICO AREA COMUM - INDICE M2</t>
  </si>
  <si>
    <t>Z000201001Z020701002</t>
  </si>
  <si>
    <t>INSTALACAO DE LUMINOTECNICO AREA COMUM - INDICE EP</t>
  </si>
  <si>
    <t>MAO DE OBRA PARA INSTALACOES LUMINO AREA COMUM - INDICE M2</t>
  </si>
  <si>
    <t>Z000201001Z040311002</t>
  </si>
  <si>
    <t>MATERIAIS DE LUMINOTECNICO IMPLANTACAO - INDICE M2</t>
  </si>
  <si>
    <t>Z000202001Z020701003</t>
  </si>
  <si>
    <t>INSTALACAO DE LUMINOTECNICO IMPLANTACAO - INDICE EP</t>
  </si>
  <si>
    <t>MAO DE OBRA PARA INSTALACOES LUMINO IMPLANTACAO - INDICE M2</t>
  </si>
  <si>
    <t>Z000202001Z040311003</t>
  </si>
  <si>
    <t>MATERIAIS DE LUMINOTECNICO PISCINAS - INDICE M2</t>
  </si>
  <si>
    <t>Z000203001Z020701004</t>
  </si>
  <si>
    <t>INSTALACAO DE LUMINOTECNICO PISCINAS - INDICE EP</t>
  </si>
  <si>
    <t>MAO DE OBRA PARA INSTALACOES LUMINO PISCINAS - INDICE M2</t>
  </si>
  <si>
    <t>Z000203001Z040311004</t>
  </si>
  <si>
    <t>MATERIAL PARA INSTALACOES HIDRO - AGUA FRIA - INDICE M2</t>
  </si>
  <si>
    <t>Z000211001Z011101001</t>
  </si>
  <si>
    <t>MATERIAL PARA INSTALACOES HIDRO - AGUA QUENTE - INDICE M2</t>
  </si>
  <si>
    <t>Z000211001Z011101002</t>
  </si>
  <si>
    <t>MATERIAL PARA INSTALACOES HIDRO - ESGOTO E DRENAGEM - INDICE M2</t>
  </si>
  <si>
    <t>Z000211001Z011101003</t>
  </si>
  <si>
    <t>MAO DE OBRA PARA INSTALACOES HIDRO  - INDICE M2</t>
  </si>
  <si>
    <t>Z000211001Z040311005</t>
  </si>
  <si>
    <t>MATERIAL PARA INSTALACOES COMBATE A INCENDIO - SPRINKLER - INDICE M2</t>
  </si>
  <si>
    <t>Z000211002Z011101016</t>
  </si>
  <si>
    <t>INSTALACOES COMBATE A INCENDIO - INDICE EP</t>
  </si>
  <si>
    <t>MATERIAL PARA INSTALACOES COMBATE A INCENDIO - COMBATE A INCENDIO - INDICE M2</t>
  </si>
  <si>
    <t>Z000211002Z011101017</t>
  </si>
  <si>
    <t>MAO DE OBRA PARA INSTALACOES COMBATE A INCENDIO - SPRINKLER - INDICE M2</t>
  </si>
  <si>
    <t>Z000211002Z040311016</t>
  </si>
  <si>
    <t>MAO DE OBRA PARA INSTALACOES COMBATE A INCENDIO - COMBATE A INCENDIO - INDICE M2</t>
  </si>
  <si>
    <t>Z000211002Z040311017</t>
  </si>
  <si>
    <t>MATERIAL PARA INSTALACOES SUBESTACAO - TRANSFORMADORES - INDICE M2</t>
  </si>
  <si>
    <t>Z000212001Z011101013</t>
  </si>
  <si>
    <t>INSTALACOES DE SUBESTACAO ABRIGADA - INDICE EP</t>
  </si>
  <si>
    <t>MATERIAL PARA INSTALACOES SUBESTACAO - ELETRICO - INDICE M2</t>
  </si>
  <si>
    <t>Z000212001Z011101014</t>
  </si>
  <si>
    <t>MATERIAL PARA INSTALACOES SUBESTACAO - CONTRUCAO CIVIL - INDICE M2</t>
  </si>
  <si>
    <t>Z000212001Z011101015</t>
  </si>
  <si>
    <t>MAO DE OBRA PARA INSTALACOES SUBESTACAO - INDICE M2</t>
  </si>
  <si>
    <t>Z000212001Z040311015</t>
  </si>
  <si>
    <t>Z000212002Z011101012</t>
  </si>
  <si>
    <t>MAO DE OBRA PARA INSTALACOES SPDA - INDICE M2</t>
  </si>
  <si>
    <t>Z000212002Z040311014</t>
  </si>
  <si>
    <t>MATERIAL PARA INSTALACOES ELETRICAS - CABOS - INDICE M2</t>
  </si>
  <si>
    <t>Z000212003Z011101006</t>
  </si>
  <si>
    <t>MATERIAL PARA INSTALACOES ELETRICAS - TOMADAS E INTERRUPTORES - INDICE M2</t>
  </si>
  <si>
    <t>Z000212003Z011101007</t>
  </si>
  <si>
    <t>MAO DE OBRA PARA INSTALACOES ELETRICAS - INDICE M2</t>
  </si>
  <si>
    <t>Z000212003Z040311006</t>
  </si>
  <si>
    <t>MATERIAL PARA INSTALACOES ELETRICAS - ELETRODUTOS - INDICE M2</t>
  </si>
  <si>
    <t>Z000212003Z011101004</t>
  </si>
  <si>
    <t>MATERIAL PARA INSTALACOES ELETRICAS - QUADROS - INDICE M2</t>
  </si>
  <si>
    <t>Z000212003Z011101005</t>
  </si>
  <si>
    <t>Z000213001Z011101008</t>
  </si>
  <si>
    <t>INSTALACOES DE INFRA DE REDE DE DADOS E SONORIZACAO - INDICE EP</t>
  </si>
  <si>
    <t>Z000213001Z011101009</t>
  </si>
  <si>
    <t>MAO DE OBRA PARA INSTALACOES SONORA - INDICE M2</t>
  </si>
  <si>
    <t>Z000213001Z040311010</t>
  </si>
  <si>
    <t>MAO DE OBRA PARA INSTALACOES DADOS - INDICE M2</t>
  </si>
  <si>
    <t>Z000213001Z040311011</t>
  </si>
  <si>
    <t>MAO DE OBRA PARA INSTALACOES AUTOMATICAS PORTAS - INDICE M2</t>
  </si>
  <si>
    <t>Z000213002Z040311007</t>
  </si>
  <si>
    <t>INSTALACOES DE INFRA DE SISTEMA DE AUTOMATIZACAO - INDICE EP</t>
  </si>
  <si>
    <t>MAO DE OBRA PARA INSTALACOES AUTOMATICAS ILUMINACAO - INDICE M2</t>
  </si>
  <si>
    <t>Z000213002Z040311008</t>
  </si>
  <si>
    <t>MAO DE OBRA PARA INSTALACOES AUTOMATICAS BOMBAS - INDICE M2</t>
  </si>
  <si>
    <t>Z000213002Z040311009</t>
  </si>
  <si>
    <t>Z000214001Z011101010</t>
  </si>
  <si>
    <t>INSTALACOES DE INFRA DE REDE DE TELECOMUNICACAO E SEGURANCA - INDICE EP</t>
  </si>
  <si>
    <t>Z000214001Z011101011</t>
  </si>
  <si>
    <t>Z000214001Z040311012</t>
  </si>
  <si>
    <t>MAO DE OBRA PARA INSTALACOES INTFO - INDICE M2</t>
  </si>
  <si>
    <t>Z000214001Z040311013</t>
  </si>
  <si>
    <t>Z000215001Z011101018</t>
  </si>
  <si>
    <t>MAO DE OBRA PARA INSTALACOES DE GLP - INDICE M2</t>
  </si>
  <si>
    <t>Z000215001Z040311018</t>
  </si>
  <si>
    <t>MATERIAL PARA INSTALACOES HIDRO INFRA AR CONDICIONADO - INDICE M2</t>
  </si>
  <si>
    <t>Z000216001Z011101019</t>
  </si>
  <si>
    <t>INSTALACOES INFRAESTRUTURA DE AR CONDICIONADO - INDICE EP</t>
  </si>
  <si>
    <t>MAO DE OBRA PARA INSTALACOES INFRA AR CONDICIONADO - INDICE M2</t>
  </si>
  <si>
    <t>Z000216001Z040311019</t>
  </si>
  <si>
    <t>MATERIAL PARA INSTALACOES DE EXAUSTAO - PRESSURIZACAO - INDICE M2</t>
  </si>
  <si>
    <t>Z000217001Z011101020</t>
  </si>
  <si>
    <t>INSTALACOES DE EXAUSTAO E PRESSURIZACAO - INDICE EP</t>
  </si>
  <si>
    <t>MATERIAL PARA INSTALACOES DE EXAUSTAO - EXAUSTAO - INDICE M2</t>
  </si>
  <si>
    <t>Z000217001Z011101021</t>
  </si>
  <si>
    <t>MAO DE OBRA PARA INSTALACOES DE EXAUSTAO - PRESSURIZACAO - INDICE M2</t>
  </si>
  <si>
    <t>Z000217001Z040311020</t>
  </si>
  <si>
    <t>MAO DE OBRA PARA INSTALACOES DE EXAUSTAO - EXAUSTAO - INDICE M2</t>
  </si>
  <si>
    <t>Z000217001Z040311021</t>
  </si>
  <si>
    <t>MATERIAL PARA INSTALACOES AQUECIMENTO DE AGUA - SOLAR - INDICE M2</t>
  </si>
  <si>
    <t>Z000218001Z011101022</t>
  </si>
  <si>
    <t>INSTALACOES DE AQUECIMENTO DE AGUA - INDICE EP</t>
  </si>
  <si>
    <t>MATERIAL PARA INSTALACOES AQUECIMENTO DE AGUA - AQUECIMENTO A GAS - INDICE M2</t>
  </si>
  <si>
    <t>Z000218001Z011101023</t>
  </si>
  <si>
    <t>MAO DE OBRA PARA INSTALACOES AQUECIMENTO DE AGUA - SOLAR - INDICE M2</t>
  </si>
  <si>
    <t>Z000218001Z040311022</t>
  </si>
  <si>
    <t>MAO DE OBRA PARA INSTALACOES AQUECIMENTO DE AGUA - AQUECIMENTO A GAS - INDICE M2</t>
  </si>
  <si>
    <t>Z000218001Z040311023</t>
  </si>
  <si>
    <t>MATERIAL BOMBAS FILTROS E ACESSORIOS DE PISCINAS - INDICE M2</t>
  </si>
  <si>
    <t>Z000219001Z011101024</t>
  </si>
  <si>
    <t>BOMBAS, FILTROS E ACESSORIOS DE PISCINAS - INDICE EP</t>
  </si>
  <si>
    <t>MAO DE OBRA BOMBAS, FILTROS E ACESSORIOS DE PISCINAS - INDICE M2</t>
  </si>
  <si>
    <t>Z000219001Z040311024</t>
  </si>
  <si>
    <t>Z000219002Z011101025</t>
  </si>
  <si>
    <t>Z000219002Z040311025</t>
  </si>
  <si>
    <t>ETE / ETA - FORNECIMENTO E INSTALACAO DE EQUIPAMENTOS</t>
  </si>
  <si>
    <t>Z000221001Z040312005</t>
  </si>
  <si>
    <t>ETE / ETA - MATERIAIS DE CONSUMO PARA PRIMEIRA CARGA</t>
  </si>
  <si>
    <t>Z000221001Z040312006</t>
  </si>
  <si>
    <t>ETE / ETA - MATERIAL E MAO DE OBRA PARA OBRA CIVIL</t>
  </si>
  <si>
    <t>Z000221001Z040312004</t>
  </si>
  <si>
    <t>EEE / EBE - MATERIAL E MAO DE OBRA PARA OBRA CIVIL</t>
  </si>
  <si>
    <t>Z000221002Z040312007</t>
  </si>
  <si>
    <t>EEE / EBE - FORNECIMENTO E INSTALACAO DE EQUIPAMENTOS</t>
  </si>
  <si>
    <t>Z000221002Z040312008</t>
  </si>
  <si>
    <t>Z000222001Z040312001</t>
  </si>
  <si>
    <t>Z000222001Z040312002</t>
  </si>
  <si>
    <t>Z000222001Z040312003</t>
  </si>
  <si>
    <t>Z000223001Z040312009</t>
  </si>
  <si>
    <t>POCO ARTESIANO - FORNECIMENTO E INSTALACAO DE EQUIPAMENTOS</t>
  </si>
  <si>
    <t>Z000223001Z040312010</t>
  </si>
  <si>
    <t>Z000223001Z040312011</t>
  </si>
  <si>
    <t>Z000231001Z040313001</t>
  </si>
  <si>
    <t>Z000231001Z040313002</t>
  </si>
  <si>
    <t>Z000232001Z020612001</t>
  </si>
  <si>
    <t>FABRICACAO, PINTURA E INSTALACAO BRISE DE ALUMINIO</t>
  </si>
  <si>
    <t>Z000232001Z040310025</t>
  </si>
  <si>
    <t>Z000234002Z020614003</t>
  </si>
  <si>
    <t>PERGOLADO EM ALUMINIO - FORNECIMENTO, CONFECCAO E INSTALACAO</t>
  </si>
  <si>
    <t>FABRICACAO, PINTURA E INSTALACAO PERGOLADO DE ALUMINIO</t>
  </si>
  <si>
    <t>Z000234002Z040310027</t>
  </si>
  <si>
    <t>Z000235001Z040313014</t>
  </si>
  <si>
    <t>ELEVADOR SEM CASA DE MAQUINAS - FORNECIMENTO E INSTALACAO</t>
  </si>
  <si>
    <t>PLATAFORMA ELEVATORIA DE ACESSIBILIDADE - EQUIPAMENTO E INSTALACAO</t>
  </si>
  <si>
    <t>Z000235002Z040313018</t>
  </si>
  <si>
    <t>Z000236001Z040313010</t>
  </si>
  <si>
    <t>SERVICO DE LIMPEZA BRUTA DE OBRA - TERCEIRIZADO</t>
  </si>
  <si>
    <t>Z000237002Z040313022</t>
  </si>
  <si>
    <t>SERVICO DE LIMPEZA TECNICA DE OBRA - TERCEIRIZADO</t>
  </si>
  <si>
    <t>Z000237003Z040313023</t>
  </si>
  <si>
    <t>SERVICO DE LIMPEZA FINAL DE OBRA - TERCEIRIZADO</t>
  </si>
  <si>
    <t>Z000237004Z040313024</t>
  </si>
  <si>
    <t>CLARABOIA EM VIDRO COM ESTRUTURA DE ALUMINIO - INDICE M2</t>
  </si>
  <si>
    <t>Z000239005Z040313017</t>
  </si>
  <si>
    <t>CLARABOIA EM VIDRO COM ESTRUTURA DE ALUMINIO</t>
  </si>
  <si>
    <t>Z000239009Z020303009</t>
  </si>
  <si>
    <t>COMPOSICAO PARAMETRICA - ESTRUTURA PARA LAREIRA</t>
  </si>
  <si>
    <t>Z000239009Z040313019</t>
  </si>
  <si>
    <t>Z000239009Z040313020</t>
  </si>
  <si>
    <t>Z000239011Z040313025</t>
  </si>
  <si>
    <t>Z000241001Z010301001</t>
  </si>
  <si>
    <t>LASTRO DE CONCRETO MAGRO APLICADO EM PISO COM CAMADA SEPARADORA EM LONA PLASTICA, ESPESSURA DE 3 CM - CONCRETO RODADO EM OBRA</t>
  </si>
  <si>
    <t>Z000241001Z010303003</t>
  </si>
  <si>
    <t>Z000241001Z010304001</t>
  </si>
  <si>
    <t>Z000241001Z050103019</t>
  </si>
  <si>
    <t>Z000241001Z050103020</t>
  </si>
  <si>
    <t>Z000241001Z040204001</t>
  </si>
  <si>
    <t>Z000241001Z040303020</t>
  </si>
  <si>
    <t>Z000241001Z040401001</t>
  </si>
  <si>
    <t>Z000241001Z030301001</t>
  </si>
  <si>
    <t>Z000241001Z040201013</t>
  </si>
  <si>
    <t>Z000241001Z040202006</t>
  </si>
  <si>
    <t>Z000241002Z010109004</t>
  </si>
  <si>
    <t>PASSEIO (CALCADA) OU PISO DE CONCRETO COM CONCRETO C20, ACABAMENTO CONVENCIONAL, NAO ARMADO</t>
  </si>
  <si>
    <t>Z000241002Z010202002</t>
  </si>
  <si>
    <t>Z000241002Z010305001</t>
  </si>
  <si>
    <t>Z000241002Z010404002</t>
  </si>
  <si>
    <t>SARRAFO 2,5 X 10 CM EM PINUS, MISTA OU EQUIVALENTE</t>
  </si>
  <si>
    <t>Z000241002Z010404003</t>
  </si>
  <si>
    <t>Z000241002Z040201005</t>
  </si>
  <si>
    <t>Z000241002Z040201013</t>
  </si>
  <si>
    <t>Z000241002Z040202006</t>
  </si>
  <si>
    <t>Z000241002Z040401001</t>
  </si>
  <si>
    <t>Z000241003Z010301001</t>
  </si>
  <si>
    <t>ASSENTAMENTO DE MEIO-FIO, CONFECCIONADO EM CONCRETO PRE-FABRICADO</t>
  </si>
  <si>
    <t>Z000241003Z010304001</t>
  </si>
  <si>
    <t>MEIO-FIO OU GUIA DE CONCRETO PRE-MOLDADO COMPRIMENTO 1M 20X12/15CM</t>
  </si>
  <si>
    <t>Z000241003Z010706001</t>
  </si>
  <si>
    <t>Z000241003Z050103020</t>
  </si>
  <si>
    <t>Z000241003Z040201013</t>
  </si>
  <si>
    <t>Z000241003Z040202006</t>
  </si>
  <si>
    <t>Z000241003Z040204001</t>
  </si>
  <si>
    <t>SERVICO DE ASSENTAMENTO DE GUIA (MEIO-FIO) - TERCEIRIZADO</t>
  </si>
  <si>
    <t>Z000241003Z040314014</t>
  </si>
  <si>
    <t>Z000241003Z040401001</t>
  </si>
  <si>
    <t>Z000241003Z050103019</t>
  </si>
  <si>
    <t>TINTA ACRILICA PREMIUM PARA PISO, COR A DEFINIR</t>
  </si>
  <si>
    <t>Z000241004Z020504004</t>
  </si>
  <si>
    <t>Z000241004Z040201014</t>
  </si>
  <si>
    <t>Z000241004Z040202006</t>
  </si>
  <si>
    <t>Z000241004Z040309009</t>
  </si>
  <si>
    <t>Z000241004Z040401001</t>
  </si>
  <si>
    <t>Z000242002Z020801001</t>
  </si>
  <si>
    <t>Z000242002Z040314003</t>
  </si>
  <si>
    <t>Z000243001Z040314001</t>
  </si>
  <si>
    <t>Z000243001Z040314002</t>
  </si>
  <si>
    <t>Z000244004Z010303001</t>
  </si>
  <si>
    <t>PAVIMENTO EM PISO INTERTRAVADO, COM BLOCO RETANGULAR COR NATURAL DE 20 X 10 CM, ESPESSURA 8 CM</t>
  </si>
  <si>
    <t>Z000244004Z010304001</t>
  </si>
  <si>
    <t>INTERTRAVADO DE CONCRETO 20X10 CM (PAVER), E = 8 CM, 35 MPA, COR NATURAL</t>
  </si>
  <si>
    <t>Z000244004Z010705001</t>
  </si>
  <si>
    <t>Z000244004Z040201013</t>
  </si>
  <si>
    <t>Z000244004Z040202006</t>
  </si>
  <si>
    <t>SERVICO DE ASSENTAMENTO DE PISO INTERTRAVADO - TERCEIRIZADO</t>
  </si>
  <si>
    <t>Z000244004Z040314013</t>
  </si>
  <si>
    <t>Z000244004Z040401001</t>
  </si>
  <si>
    <t>Z000244004Z050103011</t>
  </si>
  <si>
    <t>Z000244004Z050103012</t>
  </si>
  <si>
    <t>CORTADORA DE PISO COM MOTOR 4 TEMPOS A GASOLINA - CHP</t>
  </si>
  <si>
    <t>Z000244004Z050103015</t>
  </si>
  <si>
    <t>CORTADORA DE PISO COM MOTOR 4 TEMPOS A GASOLINA - CHI</t>
  </si>
  <si>
    <t>Z000244004Z050103016</t>
  </si>
  <si>
    <t>Z000244009Z050103015</t>
  </si>
  <si>
    <t>PAVIMENTO EM PLACA DE CONCRETO DRENANTE 40X40X8CM NATURAL OTERPREM - AC</t>
  </si>
  <si>
    <t>Z000244009Z050103016</t>
  </si>
  <si>
    <t>Z000244009Z010303002</t>
  </si>
  <si>
    <t>Z000244009Z010304002</t>
  </si>
  <si>
    <t>PLACA DE CONCRETO DRENANTE 40X40X8CM NATURAL - OTERPREM</t>
  </si>
  <si>
    <t>Z000244009Z010705004</t>
  </si>
  <si>
    <t>Z000244009Z040201004</t>
  </si>
  <si>
    <t>Z000244009Z040202006</t>
  </si>
  <si>
    <t>Z000244009Z040314013</t>
  </si>
  <si>
    <t>Z000244009Z040401001</t>
  </si>
  <si>
    <t>Z000244010Z011202001</t>
  </si>
  <si>
    <t>EXECUCAO E COMPACTACAO DE BASE PARA PAVIMENTACAO DE BRITA GRADUADA SIMPLES (BGS)</t>
  </si>
  <si>
    <t>Z000244010Z040202006</t>
  </si>
  <si>
    <t>Z000244010Z040401001</t>
  </si>
  <si>
    <t>Z000244010Z050101001</t>
  </si>
  <si>
    <t>Z000244010Z050101002</t>
  </si>
  <si>
    <t>ROLO COMPACTADOR VIBRATORIO DE UM CILINDRO ACO LISO - CHP</t>
  </si>
  <si>
    <t>Z000244010Z050101013</t>
  </si>
  <si>
    <t>ROLO COMPACTADOR VIBRATORIO DE UM CILINDRO ACO LISO - CHI</t>
  </si>
  <si>
    <t>Z000244010Z050101014</t>
  </si>
  <si>
    <t>Z000244010Z050101015</t>
  </si>
  <si>
    <t>Z000244010Z050101016</t>
  </si>
  <si>
    <t>Z000244010Z050101017</t>
  </si>
  <si>
    <t>Z000244010Z050101018</t>
  </si>
  <si>
    <t>REGULARIZACAO E COMPACTACAO DE SUBLEITO DE SOLO PREDOMINANTEMENTE ARGILOSO - INDICE</t>
  </si>
  <si>
    <t>Z000244018Z040314012</t>
  </si>
  <si>
    <t>REGULARIZACAO E COMPACTACAO DE SUBLEITO DE SOLO PREDOMINANTEMENTE ARGILOSO</t>
  </si>
  <si>
    <t>Z000245003Z020504004</t>
  </si>
  <si>
    <t>PINTURA DE DEMARCACAO DE VAGA COM TINTA ACRILICA, E = 10 CM, APLICACAO MANUAL</t>
  </si>
  <si>
    <t>Z000245003Z030105003</t>
  </si>
  <si>
    <t>Z000245003Z040201014</t>
  </si>
  <si>
    <t>Z000245003Z040202006</t>
  </si>
  <si>
    <t>SERVICO DE PINTURA PARA DEMARCAO DE VAGAS - TERCEIRIZADO</t>
  </si>
  <si>
    <t>Z000245003Z040309010</t>
  </si>
  <si>
    <t>Z000245003Z040401001</t>
  </si>
  <si>
    <t>Z000245004Z020504004</t>
  </si>
  <si>
    <t>PINTURA DE SIMBOLOS E TEXTOS COM TINTA ACRILICA, DEMARCACAO COM FITA ADESIVA E APLICACAO COM ROLO</t>
  </si>
  <si>
    <t>Z000245004Z030105003</t>
  </si>
  <si>
    <t>Z000245004Z040201014</t>
  </si>
  <si>
    <t>Z000245004Z040202006</t>
  </si>
  <si>
    <t>SERVICO DE PINTURA DE SIMBOLOS E LETRAS - TERCEIRIZADO</t>
  </si>
  <si>
    <t>Z000245004Z040309011</t>
  </si>
  <si>
    <t>Z000245004Z040401001</t>
  </si>
  <si>
    <t>BATE-RODAS DE RESINA COM DOIS PINOS DE FIXACAO</t>
  </si>
  <si>
    <t>Z000245005Z020803001</t>
  </si>
  <si>
    <t>BATE RODAS SOBRE ASFALTO - FORNECIMENTO E INSTALACAO</t>
  </si>
  <si>
    <t>Z000245005Z030203003</t>
  </si>
  <si>
    <t>Z000245005Z040201013</t>
  </si>
  <si>
    <t>Z000245005Z040202006</t>
  </si>
  <si>
    <t>Z000245005Z040401001</t>
  </si>
  <si>
    <t>Z000245005Z050103013</t>
  </si>
  <si>
    <t>Z000245005Z050103014</t>
  </si>
  <si>
    <t>Z000246001Z040303002</t>
  </si>
  <si>
    <t>MURO DE FECHAMENTO - FUNDACAO - ESTACA 25CM E CONCRETO FCK=25 MPA RODADO EM OBRA</t>
  </si>
  <si>
    <t>Z000246001Z040303011</t>
  </si>
  <si>
    <t>Z000246001Z040401001</t>
  </si>
  <si>
    <t>Z000246001Z050103019</t>
  </si>
  <si>
    <t>Z000246001Z050103020</t>
  </si>
  <si>
    <t>Z000246001Z030107001</t>
  </si>
  <si>
    <t>Z000246001Z040201001</t>
  </si>
  <si>
    <t>Z000246001Z040202001</t>
  </si>
  <si>
    <t>Z000246001Z040202006</t>
  </si>
  <si>
    <t>Z000246001Z040204001</t>
  </si>
  <si>
    <t>Z000246001Z040302004</t>
  </si>
  <si>
    <t>Z000246001Z010101004</t>
  </si>
  <si>
    <t>Z000246001Z010101005</t>
  </si>
  <si>
    <t>Z000246001Z010105001</t>
  </si>
  <si>
    <t>Z000246001Z010301001</t>
  </si>
  <si>
    <t>Z000246001Z010303003</t>
  </si>
  <si>
    <t>Z000246001Z010304001</t>
  </si>
  <si>
    <t>Z000246001Z010101001</t>
  </si>
  <si>
    <t>Z000246002Z010101001</t>
  </si>
  <si>
    <t>MURO DE FECHAMENTO - ESTRUTURA - CINTAS, PILARES E VIGAS EM CONCRETO ARMADO FCK = 25 MPA RODADO EM OBRA</t>
  </si>
  <si>
    <t>Z000246002Z050103019</t>
  </si>
  <si>
    <t>Z000246002Z050103020</t>
  </si>
  <si>
    <t>Z000246002Z040303017</t>
  </si>
  <si>
    <t>Z000246002Z040303022</t>
  </si>
  <si>
    <t>Z000246002Z040303024</t>
  </si>
  <si>
    <t>Z000246002Z040401001</t>
  </si>
  <si>
    <t>Z000246002Z050103007</t>
  </si>
  <si>
    <t>Z000246002Z050103008</t>
  </si>
  <si>
    <t>Z000246002Z040202003</t>
  </si>
  <si>
    <t>Z000246002Z040202006</t>
  </si>
  <si>
    <t>Z000246002Z040204001</t>
  </si>
  <si>
    <t>Z000246002Z040303002</t>
  </si>
  <si>
    <t>Z000246002Z040303013</t>
  </si>
  <si>
    <t>Z000246002Z040303016</t>
  </si>
  <si>
    <t>Z000246002Z040201001</t>
  </si>
  <si>
    <t>Z000246002Z040201005</t>
  </si>
  <si>
    <t>Z000246002Z040201009</t>
  </si>
  <si>
    <t>Z000246002Z040201013</t>
  </si>
  <si>
    <t>Z000246002Z040202001</t>
  </si>
  <si>
    <t>Z000246002Z040202002</t>
  </si>
  <si>
    <t>Z000246002Z010403001</t>
  </si>
  <si>
    <t>Z000246002Z010404002</t>
  </si>
  <si>
    <t>Z000246002Z010501001</t>
  </si>
  <si>
    <t>BLOCO DE CONCRETO ESTRUTURAL 14X19X39 CM, FBK 4,5 MPA (NBR 6136)</t>
  </si>
  <si>
    <t>Z000246002Z010701001</t>
  </si>
  <si>
    <t>CANALETA DE CONCRETO ESTRUTURAL 14X19X39 CM, FBK 4,5 MPA (NBR 6236)</t>
  </si>
  <si>
    <t>Z000246002Z010701002</t>
  </si>
  <si>
    <t>Z000246002Z030107001</t>
  </si>
  <si>
    <t>Z000246002Z010301001</t>
  </si>
  <si>
    <t>Z000246002Z010303003</t>
  </si>
  <si>
    <t>Z000246002Z010304001</t>
  </si>
  <si>
    <t>Z000246002Z010305001</t>
  </si>
  <si>
    <t>Z000246002Z010305003</t>
  </si>
  <si>
    <t>CHAPA/PAINEL DE MADEIRA COMPENSADA PLASTIFICADA (MADEIRITE PLASTIFICADO) PARA FORMA DE CONCRETO DE 2200 x 1100 MM, E = 18 MM</t>
  </si>
  <si>
    <t>Z000246002Z010401002</t>
  </si>
  <si>
    <t>Z000246002Z010101003</t>
  </si>
  <si>
    <t>Z000246002Z010101004</t>
  </si>
  <si>
    <t>Z000246002Z010105001</t>
  </si>
  <si>
    <t>Z000246002Z010109003</t>
  </si>
  <si>
    <t>Z000246002Z010109005</t>
  </si>
  <si>
    <t>Z000246002Z010109008</t>
  </si>
  <si>
    <t>TELA DE ACO SOLDADA GALVANIZADA/ZINCADA PARA ALVENARIA, FIO D = 1.20 A 1.70 MM, MALHA 15X15 MM, (C X L) 50X12 CM</t>
  </si>
  <si>
    <t>Z000246003Z010106002</t>
  </si>
  <si>
    <t>MURO DE FECHAMENTO - ALVENARIA - ALVENARIA DE VEDACAO DE BLOCOS DE CONCRETO 14X19X39CM ASSENTADO COM PALHETA E ARGAMASSA RODADA EM OBRA</t>
  </si>
  <si>
    <t>Z000246003Z010301001</t>
  </si>
  <si>
    <t>Z000246003Z010304001</t>
  </si>
  <si>
    <t>Z000246003Z010305003</t>
  </si>
  <si>
    <t>BLOCO DE VEDACAO DE CONCRETO 14X19X39 CM (CLASSE C - NBR 6136)</t>
  </si>
  <si>
    <t>Z000246003Z010702002</t>
  </si>
  <si>
    <t>Z000246003Z030201006</t>
  </si>
  <si>
    <t>Z000246003Z050103020</t>
  </si>
  <si>
    <t>Z000246003Z040201013</t>
  </si>
  <si>
    <t>Z000246003Z040202006</t>
  </si>
  <si>
    <t>Z000246003Z040204001</t>
  </si>
  <si>
    <t>Z000246003Z040304004</t>
  </si>
  <si>
    <t>Z000246003Z040401001</t>
  </si>
  <si>
    <t>Z000246003Z050103019</t>
  </si>
  <si>
    <t>Z000246004Z010301001</t>
  </si>
  <si>
    <t>MURO DE FECHAMENTO - REBOCO - CHAPISCO APLICADO EM ALVENARIAS EXTERNAS APLICADO MANUALMENTE E COM ARGAMASSA RODADA EM OBRA</t>
  </si>
  <si>
    <t>Z000246004Z010304002</t>
  </si>
  <si>
    <t>Z000246004Z040201013</t>
  </si>
  <si>
    <t>Z000246004Z040202006</t>
  </si>
  <si>
    <t>Z000246004Z040204001</t>
  </si>
  <si>
    <t>Z000246004Z040401001</t>
  </si>
  <si>
    <t>Z000246004Z050103019</t>
  </si>
  <si>
    <t>Z000246004Z050103020</t>
  </si>
  <si>
    <t>Z000246005Z010301001</t>
  </si>
  <si>
    <t>MURO DE FECHAMENTO - REBOCO - REBOCO EXTERNO ESPESSURA 3,0CM APLICADO MANUALMENTE ARGAMASSA RODADA EM OBRA</t>
  </si>
  <si>
    <t>Z000246005Z010304001</t>
  </si>
  <si>
    <t>Z000246005Z010305003</t>
  </si>
  <si>
    <t>Z000246005Z040201013</t>
  </si>
  <si>
    <t>Z000246005Z040202006</t>
  </si>
  <si>
    <t>Z000246005Z040204001</t>
  </si>
  <si>
    <t>Z000246005Z040304007</t>
  </si>
  <si>
    <t>Z000246005Z040401001</t>
  </si>
  <si>
    <t>Z000246005Z050103019</t>
  </si>
  <si>
    <t>Z000246005Z050103020</t>
  </si>
  <si>
    <t>Z000246006Z010301001</t>
  </si>
  <si>
    <t>MURO DE FECHAMENTO - PINGADEIRA - PINGADEIRA PREMOLDADA ASSENTADA COM ARGAMASSA RODADA EM OBRA</t>
  </si>
  <si>
    <t>Z000246006Z010304001</t>
  </si>
  <si>
    <t>Z000246006Z010305003</t>
  </si>
  <si>
    <t>Z000246006Z010704001</t>
  </si>
  <si>
    <t>Z000246006Z040201013</t>
  </si>
  <si>
    <t>Z000246006Z040202006</t>
  </si>
  <si>
    <t>Z000246006Z050103019</t>
  </si>
  <si>
    <t>Z000246006Z050103020</t>
  </si>
  <si>
    <t>Z000246006Z040204001</t>
  </si>
  <si>
    <t>Z000246006Z040306009</t>
  </si>
  <si>
    <t>Z000246006Z040401001</t>
  </si>
  <si>
    <t>Z000246006Z050103007</t>
  </si>
  <si>
    <t>Z000246006Z050103008</t>
  </si>
  <si>
    <t>Z000246007Z020501005</t>
  </si>
  <si>
    <t>MURO DE FECHAMENTO - PINTURA - APLICACAO DE FUNDO SELADOR ACRILICO EM PAREDES EXTERNAS, UMA DEMAO</t>
  </si>
  <si>
    <t>Z000246007Z040201014</t>
  </si>
  <si>
    <t>Z000246007Z040202006</t>
  </si>
  <si>
    <t>Z000246007Z040309002</t>
  </si>
  <si>
    <t>Z000246007Z040401001</t>
  </si>
  <si>
    <t>Z000246008Z020503007</t>
  </si>
  <si>
    <t>MURO DE FECHAMENTO - PINTURA - APLICACAO MANUAL DE TEXTURA ACRILICA EM PAREDES EXTERNAS, UMA DEMAO - COR A DEFINIR</t>
  </si>
  <si>
    <t>Z000246008Z040201014</t>
  </si>
  <si>
    <t>Z000246008Z040202006</t>
  </si>
  <si>
    <t>Z000246008Z040309005</t>
  </si>
  <si>
    <t>Z000246008Z040401001</t>
  </si>
  <si>
    <t>Z000246010Z020613001</t>
  </si>
  <si>
    <t>MURO DE FECHAMENTO - CERCA - ALAMBRADO PARA APP MALHA 5X20CM</t>
  </si>
  <si>
    <t>FABRICACAO, PINTURA E INSTALACAO ALAMBRADO PARA APP MALHA 5X20CM</t>
  </si>
  <si>
    <t>Z000246010Z040310024</t>
  </si>
  <si>
    <t>Z000247001Z010202002</t>
  </si>
  <si>
    <t>EXECUCAO DE SARJETA DE CONCRETO USINADO, MOLDADA  IN LOCO  EM TRECHO RETO, 100 CM BASE X 10 CM ALTURA</t>
  </si>
  <si>
    <t>Z000247001Z010304001</t>
  </si>
  <si>
    <t>Z000247001Z010402003</t>
  </si>
  <si>
    <t>Z000247001Z010404002</t>
  </si>
  <si>
    <t>Z000247001Z040201013</t>
  </si>
  <si>
    <t>Z000247001Z040202006</t>
  </si>
  <si>
    <t>SERVICO DE EXECUCAO DE SARJETA - TERCEIRIZADO</t>
  </si>
  <si>
    <t>Z000247001Z040314018</t>
  </si>
  <si>
    <t>Z000247001Z040401001</t>
  </si>
  <si>
    <t>COMPACTADOR DE SOLOS DE PERCUSSAO (SOQUETE) - CHI</t>
  </si>
  <si>
    <t>POLIESTIRENO EXPANDIDO/EPS (ISOPOR), TIPO 2F, BLOCO</t>
  </si>
  <si>
    <t>Z000247006Z010101001</t>
  </si>
  <si>
    <t>POCO DE VISITA CIRCULAR PARA  DRENAGEM, EM CONCRETO PRE-MOLDADO, DIAMETRO INTERNO = 1,50 M, PROFUNDIDADE = 1,35 M, EXCLUINDO TAMPA</t>
  </si>
  <si>
    <t>Z000247006Z010105001</t>
  </si>
  <si>
    <t>FIBRA DE ACO PARA REFORCO DO CONCRETO, SOLTA, TIPO A-I, FATOR DE FORMA 50 L / D, COMPRIMENTO DE 30 MM E RESISTENCIA A TRACAO DO ACO MAIOR 1000 MPA</t>
  </si>
  <si>
    <t>Z000247006Z010108001</t>
  </si>
  <si>
    <t>Z000247006Z010109003</t>
  </si>
  <si>
    <t>Z000247006Z010109005</t>
  </si>
  <si>
    <t>Z000247006Z010301001</t>
  </si>
  <si>
    <t>Z000247006Z050103019</t>
  </si>
  <si>
    <t>Z000247006Z050103020</t>
  </si>
  <si>
    <t>Z000247006Z050103005</t>
  </si>
  <si>
    <t>Z000247006Z050103006</t>
  </si>
  <si>
    <t>Z000247006Z050103007</t>
  </si>
  <si>
    <t>Z000247006Z050103008</t>
  </si>
  <si>
    <t>Z000247006Z050103017</t>
  </si>
  <si>
    <t>Z000247006Z050103018</t>
  </si>
  <si>
    <t>Z000247006Z040202006</t>
  </si>
  <si>
    <t>Z000247006Z040204001</t>
  </si>
  <si>
    <t>SERVICO DE EXECUCAO DE POCO DE VISITA (PV) PARA REDE PLUVIAL - TERCEIRIZADO</t>
  </si>
  <si>
    <t>Z000247006Z040314016</t>
  </si>
  <si>
    <t>Z000247006Z040401001</t>
  </si>
  <si>
    <t>Z000247006Z050101005</t>
  </si>
  <si>
    <t>Z000247006Z050101006</t>
  </si>
  <si>
    <t>Z000247006Z030107001</t>
  </si>
  <si>
    <t>Z000247006Z040201001</t>
  </si>
  <si>
    <t>Z000247006Z040201005</t>
  </si>
  <si>
    <t>Z000247006Z040201013</t>
  </si>
  <si>
    <t>Z000247006Z040202001</t>
  </si>
  <si>
    <t>Z000247006Z040202002</t>
  </si>
  <si>
    <t>Z000247006Z010403001</t>
  </si>
  <si>
    <t>Z000247006Z010404002</t>
  </si>
  <si>
    <t>TIJOLO CERAMICO MACICO COMUM DE 5X10X20 CM (L X A X C)</t>
  </si>
  <si>
    <t>Z000247006Z010603001</t>
  </si>
  <si>
    <t>ANEL DE CONCRETO ARMADO COM FUNDO, PARA FOSSA E POCO 1,50 X 0,50 M</t>
  </si>
  <si>
    <t>Z000247006Z010708001</t>
  </si>
  <si>
    <t>ANEL EM CONCRETO ARMADO, LISO, PARA, POCOS DE VISITA, POCOS DE INSPECAO, FOSSAS SEPTICAS E SUMIDOUROS, SEM FUNDO, DIAMETRO INTERNO DE 1,50 M E ALTURA DE 0,50 M</t>
  </si>
  <si>
    <t>Z000247006Z010708002</t>
  </si>
  <si>
    <t>Z000247006Z011301001</t>
  </si>
  <si>
    <t>Z000247006Z010303002</t>
  </si>
  <si>
    <t>Z000247006Z010303003</t>
  </si>
  <si>
    <t>Z000247006Z010304001</t>
  </si>
  <si>
    <t>Z000247006Z010305001</t>
  </si>
  <si>
    <t>ADITIVO IMPERMEABILIZANTE DE PEGA NORMAL PARA ARGAMASSAS E CONCRETOS SEM ARMACAO</t>
  </si>
  <si>
    <t>Z000247006Z010305004</t>
  </si>
  <si>
    <t>Z000247006Z010401001</t>
  </si>
  <si>
    <t>SERVICO DE ASSENTAMENTO DE MANILHAS D=600MM - TERCEIRIZADO</t>
  </si>
  <si>
    <t>Z000247011Z040314015</t>
  </si>
  <si>
    <t>TUBO DE CONCRETO PARA REDES COLETORAS DE AGUAS PLUVIAIS, DIAMETRO DE 600 MM, JUNTA RIGIDA</t>
  </si>
  <si>
    <t>Z000247011Z040401001</t>
  </si>
  <si>
    <t>ESCAVADEIRA HIDRÁULICA SOBRE ESTEIRAS, CAÇAMBA 0,80 M3 - CHP</t>
  </si>
  <si>
    <t>Z000247011Z050101009</t>
  </si>
  <si>
    <t>ESCAVADEIRA HIDRÁULICA SOBRE ESTEIRAS, CAÇAMBA 0,80 M3 - CHI</t>
  </si>
  <si>
    <t>Z000247011Z050101010</t>
  </si>
  <si>
    <t>Z000247011Z010301001</t>
  </si>
  <si>
    <t>Z000247011Z010304001</t>
  </si>
  <si>
    <t>TUBO DE CONCRETO ARMADO PARA AGUAS PLUVIAIS, CLASSE PA-1, COM ENCAIXE PONTA E BOLSA, DIAMETRO NOMINAL DE 600 MM</t>
  </si>
  <si>
    <t>Z000247011Z010707002</t>
  </si>
  <si>
    <t>Z000247011Z040201002</t>
  </si>
  <si>
    <t>Z000247011Z040202006</t>
  </si>
  <si>
    <t>Z000247022Z040201013</t>
  </si>
  <si>
    <t>BOCA PARA BUEIRO SIMPLES TUBULAR D = 60 CM EM GABIAO, ALAS COM ESCONSIDADE 45º</t>
  </si>
  <si>
    <t>Z000247022Z040202006</t>
  </si>
  <si>
    <t>SERVICO DE EXECUCAO DE MURO ALA - TERCEIRIZADO</t>
  </si>
  <si>
    <t>Z000247022Z040314017</t>
  </si>
  <si>
    <t>Z000247022Z040401001</t>
  </si>
  <si>
    <t>Z000247022Z050101009</t>
  </si>
  <si>
    <t>Z000247022Z050101010</t>
  </si>
  <si>
    <t>GABIAO MANTA (COLCHAO) MALHA HEXAGONAL 6 X 8 CM, FIO 2,0 MM, DIMENSOES 5,0 X 2,0 X 0,23 M</t>
  </si>
  <si>
    <t>Z000247022Z010106004</t>
  </si>
  <si>
    <t>GABIAO TIPO CAIXA, MALHA HEXAGONAL 8 X 10 CM, FIO DE 2,7 MM, DIMENSOES 2,0 X 1,0 X 1,0 M</t>
  </si>
  <si>
    <t>Z000247022Z010106005</t>
  </si>
  <si>
    <t>Z000247022Z010109009</t>
  </si>
  <si>
    <t>Z000247022Z010303007</t>
  </si>
  <si>
    <t>SARRAFO NAO APARELHADO 2,5 X 10 CM, EM MACARANDUBA/MASSARANDUBA, ANGELIM OU EQUIVALENTE</t>
  </si>
  <si>
    <t>Z000247022Z010404004</t>
  </si>
  <si>
    <t>GEOTEXTIL POLIESTER, RESITENCIA A TRACAO = 10 KN/M</t>
  </si>
  <si>
    <t>Z000247022Z030302002</t>
  </si>
  <si>
    <t>PEDRAS, GRANITOS E MÁRMORES - APARTAMENTO</t>
  </si>
  <si>
    <t>INSTALAÇÃO DE INFRA DE REDE DE DADOS E SONORIZAÇÃO</t>
  </si>
  <si>
    <t>INSTALAÇÃO DE INFRA DE SISTEMA DE AUTOMATIZAÇÃO</t>
  </si>
  <si>
    <t>INSTALAÇÃO DE INFRA DE REDE DE TELECOMUNICAÇÃO E SEGURANÇA</t>
  </si>
  <si>
    <t>INSTALAÇÕES INFRAESTRUTURA DE AR CONDICIONADO</t>
  </si>
  <si>
    <t>Z000011004</t>
  </si>
  <si>
    <t>Z000011004Z040401001</t>
  </si>
  <si>
    <t>EQUIPE ADM - AUXILIAR DE ENGENHARIA</t>
  </si>
  <si>
    <t>Z040101003</t>
  </si>
  <si>
    <t>AUXILIAR DE ENGENHARIA - MENSALISTA</t>
  </si>
  <si>
    <t>Z000011004Z040101003</t>
  </si>
  <si>
    <t>Z000011007</t>
  </si>
  <si>
    <t>Z040101006</t>
  </si>
  <si>
    <t>APONTADOR - MENSALISTA</t>
  </si>
  <si>
    <t>Z000011007Z040101006</t>
  </si>
  <si>
    <t>EQUIPE ADM - APONTADOR</t>
  </si>
  <si>
    <t>Z000011007Z040401001</t>
  </si>
  <si>
    <t>Z000011017</t>
  </si>
  <si>
    <t>Z040102002</t>
  </si>
  <si>
    <t>ENGENHEIRO CIVIL II PJ</t>
  </si>
  <si>
    <t>Z000011017Z040102002</t>
  </si>
  <si>
    <t>EQUIPE ADM - ENGENHEIRO CIVIL II PJ</t>
  </si>
  <si>
    <t>Z000011023</t>
  </si>
  <si>
    <t>Z040102008</t>
  </si>
  <si>
    <t>ENGENHEIRO CIVIL COORDENADOR (PJ)</t>
  </si>
  <si>
    <t>01.01.02.02</t>
  </si>
  <si>
    <t>Z000011023Z040102008</t>
  </si>
  <si>
    <t>EQUIPE ADM - ENGENHEIRO COORDENADOR (PJ)</t>
  </si>
  <si>
    <t>Z000011024</t>
  </si>
  <si>
    <t>Z070106002</t>
  </si>
  <si>
    <t>DESPESAS COM EQUIPE ADM (COMPROMETIDO)</t>
  </si>
  <si>
    <t>01.01.02.16</t>
  </si>
  <si>
    <t>Z000011024Z070106002</t>
  </si>
  <si>
    <t>Z000012005</t>
  </si>
  <si>
    <t>Z000012005Z040401001</t>
  </si>
  <si>
    <t>EQUIPE APOIO - MOTORISTA</t>
  </si>
  <si>
    <t>Z040205004</t>
  </si>
  <si>
    <t>MOTORISTA - MENSALISTA</t>
  </si>
  <si>
    <t>Z000012005Z040205004</t>
  </si>
  <si>
    <t>Z000012006</t>
  </si>
  <si>
    <t>Z040205005</t>
  </si>
  <si>
    <t>MOTORISTA DE CAMINHAO - MENSALISTA</t>
  </si>
  <si>
    <t>Z000012006Z040205005</t>
  </si>
  <si>
    <t>EQUIPE APOIO - MOTORISTA DE CAMINHAO</t>
  </si>
  <si>
    <t>Z000012006Z040401001</t>
  </si>
  <si>
    <t>01.01.03.06</t>
  </si>
  <si>
    <t>Z000012024</t>
  </si>
  <si>
    <t>Z070106003</t>
  </si>
  <si>
    <t>DESPESAS COM EQUIPE APOIO (COMPROMETIDO)</t>
  </si>
  <si>
    <t>01.01.03.07</t>
  </si>
  <si>
    <t>Z000012024Z070106003</t>
  </si>
  <si>
    <t>Z000013003</t>
  </si>
  <si>
    <t>Z070106001</t>
  </si>
  <si>
    <t>DESPESAS COM ALIMENTACAO E TRANSPORTE (COMPROMETIDO)</t>
  </si>
  <si>
    <t>01.01.01.02</t>
  </si>
  <si>
    <t>Z000013003Z070106001</t>
  </si>
  <si>
    <t>Z070203030</t>
  </si>
  <si>
    <t>ENSAIO DE RESISTENCIA A COMPRESSAO (CP)</t>
  </si>
  <si>
    <t>Z000023003Z070203030</t>
  </si>
  <si>
    <t>Z070203031</t>
  </si>
  <si>
    <t>COLETA DE CORPO DE PROVA</t>
  </si>
  <si>
    <t>Z000023003Z070203031</t>
  </si>
  <si>
    <t>Z000023007</t>
  </si>
  <si>
    <t>Z070203032</t>
  </si>
  <si>
    <t>PREPARO, ENSAIO E ANALISE DE TESTEMUNHOS DE ESTRUTURAS DE CONCRETO</t>
  </si>
  <si>
    <t>02.03.05</t>
  </si>
  <si>
    <t>Z000023007Z070203032</t>
  </si>
  <si>
    <t>ENSAIO RISO (RESISTENCIA A COMPRESSAO AXIAL DE TESTEMUNHOS DE CONCRETO)</t>
  </si>
  <si>
    <t>Z070203033</t>
  </si>
  <si>
    <t>EXTRACAO DE TESTEMUNHOS DE CONCRETO - PLACAS DE CONCRETO EM LABORATORIO</t>
  </si>
  <si>
    <t>Z000023007Z070203033</t>
  </si>
  <si>
    <t>Z000031006</t>
  </si>
  <si>
    <t>Z070304001</t>
  </si>
  <si>
    <t>MOLHAGEM DE CANTEIRO DE OBRAS COM CAMINHAO PIPA</t>
  </si>
  <si>
    <t>03.01.11</t>
  </si>
  <si>
    <t>Z000031006Z070304001</t>
  </si>
  <si>
    <t>MOLHAGEM DE OBRA</t>
  </si>
  <si>
    <t>Z000051015</t>
  </si>
  <si>
    <t>Z050102012</t>
  </si>
  <si>
    <t>MINI CAMINHAO (VUC)</t>
  </si>
  <si>
    <t>Z000051015Z050102012</t>
  </si>
  <si>
    <t>LOCACAO MENSAL - MINI CAMINHAO (VUC)</t>
  </si>
  <si>
    <t>Z000051016</t>
  </si>
  <si>
    <t>Z050102013</t>
  </si>
  <si>
    <t>CAMINHAO TRUCK</t>
  </si>
  <si>
    <t>Z000051016Z050102013</t>
  </si>
  <si>
    <t>LOCACAO MENSAL - CAMINHAO TRUCK</t>
  </si>
  <si>
    <t>Z000051018</t>
  </si>
  <si>
    <t>Z050106001</t>
  </si>
  <si>
    <t>DESPESAS COM MAQUINAS (COMPROMETIDO)</t>
  </si>
  <si>
    <t>05.01.01.08</t>
  </si>
  <si>
    <t>Z000051018Z050106001</t>
  </si>
  <si>
    <t>Z000051019</t>
  </si>
  <si>
    <t>Z050102015</t>
  </si>
  <si>
    <t>PLATAFORMA DE TRABALHO AEREO (PTA)</t>
  </si>
  <si>
    <t>05.01.01.07</t>
  </si>
  <si>
    <t>Z000051019Z050102015</t>
  </si>
  <si>
    <t>LOCACAO MENSAL - PLATAFORMA DE TRABALHO AEREO (PTA)</t>
  </si>
  <si>
    <t>Z000077001</t>
  </si>
  <si>
    <t>Z040302001</t>
  </si>
  <si>
    <t>MOBILIZACAO E DESMOBILIZACAO DE MAQUINAS PARA FUNDACAO</t>
  </si>
  <si>
    <t>07.01.08</t>
  </si>
  <si>
    <t>Z000077001Z040302001</t>
  </si>
  <si>
    <t>MOBILIZACAO / DESMOBILIZACAO / CONTROLE TECNOLOGICO - FUNDACAO</t>
  </si>
  <si>
    <t>Z040302003</t>
  </si>
  <si>
    <t>ENSAIO DE PROVA DE CARGA</t>
  </si>
  <si>
    <t>Z000077001Z040302003</t>
  </si>
  <si>
    <t>Z040302002</t>
  </si>
  <si>
    <t>MONTAGEM DO SISTEMA DE REACAO PARA PROVA DE CARGA DE ESTACAS</t>
  </si>
  <si>
    <t>Z000077001Z040302002</t>
  </si>
  <si>
    <t>Z000078014</t>
  </si>
  <si>
    <t>07.02.04</t>
  </si>
  <si>
    <t>Z000078014Z010404002</t>
  </si>
  <si>
    <t>FABRICACAO, MONTAGEM E DESMONTAGEM DE FORMA PARA SAPATA, EM CHAPA DE MADEIRA COMPENSADA RESINADA, E=17 MM, 4 UTILIZACOES</t>
  </si>
  <si>
    <t>Z000078014Z010401001</t>
  </si>
  <si>
    <t>Z000078014Z050103008</t>
  </si>
  <si>
    <t>Z000078014Z040202002</t>
  </si>
  <si>
    <t>Z000078014Z010109005</t>
  </si>
  <si>
    <t>Z000078014Z010109003</t>
  </si>
  <si>
    <t>Z000078014Z010305001</t>
  </si>
  <si>
    <t>Z000078014Z040201005</t>
  </si>
  <si>
    <t>Z000078014Z040401001</t>
  </si>
  <si>
    <t>Z000078014Z010109008</t>
  </si>
  <si>
    <t>Z010109010</t>
  </si>
  <si>
    <t>PREGO DE ACO POLIDO COM CABECA 15 X 18</t>
  </si>
  <si>
    <t>Z000078014Z010109010</t>
  </si>
  <si>
    <t>Z000078014Z010403001</t>
  </si>
  <si>
    <t>Z000078014Z040303016</t>
  </si>
  <si>
    <t>Z000078014Z050103007</t>
  </si>
  <si>
    <t>Z000082006</t>
  </si>
  <si>
    <t>08.02.05</t>
  </si>
  <si>
    <t>Z000082006Z030107001</t>
  </si>
  <si>
    <t>ARMACAO DE BLOCO UTILIZANDO ACO CA-50 DE 16.0 MM CORTADO, DOBRADO E MONTADO</t>
  </si>
  <si>
    <t>Z000082006Z040201001</t>
  </si>
  <si>
    <t>Z000082006Z010101006</t>
  </si>
  <si>
    <t>Z000082006Z010105001</t>
  </si>
  <si>
    <t>Z000082006Z040303012</t>
  </si>
  <si>
    <t>Z000082006Z040303009</t>
  </si>
  <si>
    <t>Z000082006Z040401001</t>
  </si>
  <si>
    <t>Z000082006Z040202001</t>
  </si>
  <si>
    <t>Z000082007</t>
  </si>
  <si>
    <t>08.02.06</t>
  </si>
  <si>
    <t>Z000082007Z040202001</t>
  </si>
  <si>
    <t>ARMACAO DE BLOCO UTILIZANDO ACO CA-50 DE 20.0 MM CORTADO, DOBRADO E MONTADO</t>
  </si>
  <si>
    <t>Z000082007Z040401001</t>
  </si>
  <si>
    <t>Z000082007Z040303009</t>
  </si>
  <si>
    <t>Z000082007Z010101007</t>
  </si>
  <si>
    <t>Z000082007Z040303012</t>
  </si>
  <si>
    <t>Z000082007Z010105001</t>
  </si>
  <si>
    <t>Z000082007Z040201001</t>
  </si>
  <si>
    <t>Z000082007Z030107001</t>
  </si>
  <si>
    <t>Z000083016</t>
  </si>
  <si>
    <t>Z000083016Z040303016</t>
  </si>
  <si>
    <t>FABRICACAO, MONTAGEM E DESMONTAGEM DE FORMA PARA BLOCO DE COROAMENTO, EM CHAPA DE MADEIRA COMPENSADA RESINADA, E=17 MM, 4 UTILIZACOES</t>
  </si>
  <si>
    <t>Z000083016Z010403001</t>
  </si>
  <si>
    <t>Z000083016Z050103007</t>
  </si>
  <si>
    <t>Z000083016Z040401001</t>
  </si>
  <si>
    <t>Z000083016Z010109008</t>
  </si>
  <si>
    <t>Z000083016Z040201005</t>
  </si>
  <si>
    <t>Z000083016Z010109003</t>
  </si>
  <si>
    <t>Z000083016Z010305001</t>
  </si>
  <si>
    <t>Z000083016Z040202002</t>
  </si>
  <si>
    <t>Z000083016Z010109005</t>
  </si>
  <si>
    <t>Z000083016Z050103008</t>
  </si>
  <si>
    <t>Z000083016Z010401001</t>
  </si>
  <si>
    <t>Z000083016Z010402003</t>
  </si>
  <si>
    <t>Z000083016Z010404002</t>
  </si>
  <si>
    <t>Z000084016</t>
  </si>
  <si>
    <t>Z040303028</t>
  </si>
  <si>
    <t>SERVICO DE FURACAO EM CONCRETO PARA DIAMETROS MAIORES QUE 75 MM E MENORES OU IGUAIS A 150 MM</t>
  </si>
  <si>
    <t>08.07.09</t>
  </si>
  <si>
    <t>Z000084016Z040303028</t>
  </si>
  <si>
    <t>FURO MECANIZADO EM CONCRETO PARA DIAMETROS MAIORES QUE 75 MM E MENORES OU IGUAIS A 150 MM</t>
  </si>
  <si>
    <t>08.07.04</t>
  </si>
  <si>
    <t>08.07.05</t>
  </si>
  <si>
    <t>Z000093001Z040303002</t>
  </si>
  <si>
    <t>Z000093002Z040303002</t>
  </si>
  <si>
    <t>Z000093003Z040303002</t>
  </si>
  <si>
    <t>Z000105001</t>
  </si>
  <si>
    <t>Z010906001</t>
  </si>
  <si>
    <t>MATERIAL PARA FORRO DE PVC LISO</t>
  </si>
  <si>
    <t>10.01.05</t>
  </si>
  <si>
    <t>Z000105001Z010906001</t>
  </si>
  <si>
    <t>FORRO DE PVC LISO</t>
  </si>
  <si>
    <t>Z040305008</t>
  </si>
  <si>
    <t>MAO DE OBRA PARA FORRO DE PVC LISO</t>
  </si>
  <si>
    <t>Z000105001Z040305008</t>
  </si>
  <si>
    <t>Z000105002</t>
  </si>
  <si>
    <t>Z010906002</t>
  </si>
  <si>
    <t>MATERIAL PARA MOLDURA EM PVC</t>
  </si>
  <si>
    <t>10.01.06</t>
  </si>
  <si>
    <t>Z000105002Z010906002</t>
  </si>
  <si>
    <t>ACABAMENTOS PARA FORRO - MOLDURA EM PVC</t>
  </si>
  <si>
    <t>Z040305009</t>
  </si>
  <si>
    <t>MAO DE OBRA PARA MOLDURA EM PVC</t>
  </si>
  <si>
    <t>Z000105002Z040305009</t>
  </si>
  <si>
    <t>24.02.02</t>
  </si>
  <si>
    <t>Z000139004</t>
  </si>
  <si>
    <t>Z000139004Z040202006</t>
  </si>
  <si>
    <t>CHUVEIRO TIPO DUCHA METALICO COM BARRA - VALENCIA CROMADO, DOCOL - FORNECIMENTO E INSTALACAO - AP</t>
  </si>
  <si>
    <t>Z000139004Z040401001</t>
  </si>
  <si>
    <t>Z000139004Z030105002</t>
  </si>
  <si>
    <t>Z000139004Z020107006</t>
  </si>
  <si>
    <t>Z000139004Z040201008</t>
  </si>
  <si>
    <t>Z000143006</t>
  </si>
  <si>
    <t>14.01.02.16</t>
  </si>
  <si>
    <t>Z000143006Z040201008</t>
  </si>
  <si>
    <t>TORNEIRA PARA BANHEIRO - COMPACT PRESSMATIC FECHAMENTO AUTOMATICO, DOCOL - FORNECIMENTO E INSTALACAO - AC</t>
  </si>
  <si>
    <t>Z000143006Z030105002</t>
  </si>
  <si>
    <t>Z000143006Z040401001</t>
  </si>
  <si>
    <t>Z000143006Z040202006</t>
  </si>
  <si>
    <t>Z020103012</t>
  </si>
  <si>
    <t>TORNEIRA PARA BANHEIRO COMPACT PRESSMATIC FECHAMENTO AUTOMATICO DOCOL (COD: 17160606)</t>
  </si>
  <si>
    <t>Z000143006Z020103012</t>
  </si>
  <si>
    <t>Z000146011</t>
  </si>
  <si>
    <t>14.01.02.15</t>
  </si>
  <si>
    <t>Z000146011Z040202006</t>
  </si>
  <si>
    <t>VALVULA PARA AQUECEDOR DE ACUMULACAO CHUVEIRO ALTA PRESSAO - PRESSMATIC CROMADO, DOCOL - FORNECIMENTO E INSTALACAO  - AC</t>
  </si>
  <si>
    <t>Z020105004</t>
  </si>
  <si>
    <t>VALVULA PARA AQUECEDOR DE ACUMULACAO CHUVEIRO ALTA PRESSAO PRESSMATIC CROMADO (COD: 17120106)</t>
  </si>
  <si>
    <t>Z000146011Z020105004</t>
  </si>
  <si>
    <t>Z000146011Z040401001</t>
  </si>
  <si>
    <t>Z000146011Z040201008</t>
  </si>
  <si>
    <t>Z000146011Z030105002</t>
  </si>
  <si>
    <t>Z000149003</t>
  </si>
  <si>
    <t>Z000149003Z040201008</t>
  </si>
  <si>
    <t>CHUVEIRO TIPO DUCHA METALICO - TRADICIONAL CROMADO, DOCOL - FORNECIMENTO E INSTALACAO - AC</t>
  </si>
  <si>
    <t>Z000149003Z030105002</t>
  </si>
  <si>
    <t>Z020107002</t>
  </si>
  <si>
    <t>CHUVEIRO TIPO DUCHA METALICO TRADICIONAL CROMADO DOCOL</t>
  </si>
  <si>
    <t>Z000149003Z020107002</t>
  </si>
  <si>
    <t>Z000149003Z040401001</t>
  </si>
  <si>
    <t>Z000149003Z040202006</t>
  </si>
  <si>
    <t>Z000157024</t>
  </si>
  <si>
    <t>Z000157024Z040308001</t>
  </si>
  <si>
    <t>FILETE EM QUARTZITO BIANCATTO ESCOVADO, LARGURA 5CM - AP</t>
  </si>
  <si>
    <t>Z000157024Z040401001</t>
  </si>
  <si>
    <t>Z000157024Z040202006</t>
  </si>
  <si>
    <t>Z000157024Z040201011</t>
  </si>
  <si>
    <t>Z000157024Z020201001</t>
  </si>
  <si>
    <t>Z020412005</t>
  </si>
  <si>
    <t>QUARTZITO BIANCATTO ESCOVADO - FILETE OU DIVIBOX</t>
  </si>
  <si>
    <t>Z000157024Z020412005</t>
  </si>
  <si>
    <t>Z000157024Z060101023</t>
  </si>
  <si>
    <t>Z000157024Z040308012</t>
  </si>
  <si>
    <t>Z000161012</t>
  </si>
  <si>
    <t>Z000161012Z040308018</t>
  </si>
  <si>
    <t>REVESTIMENTO DE PAREDE EM PORCELANATO 90 X 90 MS BARCELONA - AC</t>
  </si>
  <si>
    <t>Z000161012Z020302004</t>
  </si>
  <si>
    <t>Z000161012Z030106001</t>
  </si>
  <si>
    <t>Z000161012Z020201001</t>
  </si>
  <si>
    <t>Z000161012Z040308004</t>
  </si>
  <si>
    <t>Z000161012Z040202006</t>
  </si>
  <si>
    <t>Z000161012Z030106002</t>
  </si>
  <si>
    <t>Z000161012Z040201003</t>
  </si>
  <si>
    <t>Z000161012Z040401001</t>
  </si>
  <si>
    <t>Z000161012Z020202001</t>
  </si>
  <si>
    <t>Z000161012Z060101021</t>
  </si>
  <si>
    <t>Z000163028</t>
  </si>
  <si>
    <t>Z000163028Z060101023</t>
  </si>
  <si>
    <t>REVESTIMENTO DE PAREDE EM QUARTZITO BIANCATTO - AC</t>
  </si>
  <si>
    <t>Z000163028Z040308018</t>
  </si>
  <si>
    <t>Z000163028Z040401001</t>
  </si>
  <si>
    <t>Z000163028Z020202001</t>
  </si>
  <si>
    <t>Z000163028Z040308001</t>
  </si>
  <si>
    <t>Z000163028Z040308006</t>
  </si>
  <si>
    <t>Z000163028Z040201011</t>
  </si>
  <si>
    <t>Z000163028Z020301007</t>
  </si>
  <si>
    <t>Z000163028Z020201001</t>
  </si>
  <si>
    <t>Z000163028Z040202006</t>
  </si>
  <si>
    <t>Z040308038</t>
  </si>
  <si>
    <t>SERVICO DE ASSENTAMENTO DE PORCELANATO MOSAICO - TERCEIRIZADO</t>
  </si>
  <si>
    <t>Z000163048Z040308038</t>
  </si>
  <si>
    <t>Z000163067</t>
  </si>
  <si>
    <t>Z000163067Z020201001</t>
  </si>
  <si>
    <t>RODAPE EM QUARTZITO BIANCATTO ESCOVADO, ALTURA 15CM - AC</t>
  </si>
  <si>
    <t>Z000163067Z040202006</t>
  </si>
  <si>
    <t>Z000163067Z020202001</t>
  </si>
  <si>
    <t>Z000163067Z040308001</t>
  </si>
  <si>
    <t>Z000163067Z040401001</t>
  </si>
  <si>
    <t>Z000163067Z040201011</t>
  </si>
  <si>
    <t>Z020309023</t>
  </si>
  <si>
    <t>QUARTZITO BIANCATTO ESCOVADO - RODAPE</t>
  </si>
  <si>
    <t>Z000163067Z020309023</t>
  </si>
  <si>
    <t>Z000163067Z060101023</t>
  </si>
  <si>
    <t>Z000163068</t>
  </si>
  <si>
    <t>Z000163068Z060101023</t>
  </si>
  <si>
    <t>REVESTIMENTO DE PISO EM QUARTZITO BIANCATTO ESCOVADO - AC</t>
  </si>
  <si>
    <t>Z000163068Z040308018</t>
  </si>
  <si>
    <t>Z000163068Z040201011</t>
  </si>
  <si>
    <t>Z000163068Z040401001</t>
  </si>
  <si>
    <t>Z000163068Z040308001</t>
  </si>
  <si>
    <t>Z000163068Z020301025</t>
  </si>
  <si>
    <t>Z000163068Z020202001</t>
  </si>
  <si>
    <t>Z000163068Z040202006</t>
  </si>
  <si>
    <t>Z000163068Z020201001</t>
  </si>
  <si>
    <t>Z000163068Z040308006</t>
  </si>
  <si>
    <t>Z000163070</t>
  </si>
  <si>
    <t>Z000163070Z060101023</t>
  </si>
  <si>
    <t>REVESTIMENTO DE PAREDE EM MARMORE VERDE GUATEMALA - AC</t>
  </si>
  <si>
    <t>Z000163070Z040308018</t>
  </si>
  <si>
    <t>Z000163070Z040201011</t>
  </si>
  <si>
    <t>Z000163070Z040401001</t>
  </si>
  <si>
    <t>Z000163070Z040308001</t>
  </si>
  <si>
    <t>Z000163070Z020202001</t>
  </si>
  <si>
    <t>Z020301038</t>
  </si>
  <si>
    <t>MARMORE VERDE GUATEMALA - PISO OU PAREDE</t>
  </si>
  <si>
    <t>Z000163070Z020301038</t>
  </si>
  <si>
    <t>Z000163070Z040202006</t>
  </si>
  <si>
    <t>Z000163070Z020201001</t>
  </si>
  <si>
    <t>Z000163070Z040308006</t>
  </si>
  <si>
    <t>Z000163071</t>
  </si>
  <si>
    <t>Z000163071Z040308006</t>
  </si>
  <si>
    <t>REVESTIMENTO DE PISO EM QUARTZITO PERLA SANTANA ESCOVADO - AC</t>
  </si>
  <si>
    <t>Z000163071Z020201001</t>
  </si>
  <si>
    <t>Z000163071Z040202006</t>
  </si>
  <si>
    <t>Z000163071Z020202001</t>
  </si>
  <si>
    <t>Z000163071Z040308001</t>
  </si>
  <si>
    <t>Z000163071Z040401001</t>
  </si>
  <si>
    <t>Z000163071Z040201011</t>
  </si>
  <si>
    <t>Z000163071Z040308018</t>
  </si>
  <si>
    <t>Z000163071Z060101023</t>
  </si>
  <si>
    <t>Z020301039</t>
  </si>
  <si>
    <t>QUARTZITO PERLA SANTANA ESCOVADO - PISO OU PAREDE</t>
  </si>
  <si>
    <t>Z000163071Z020301039</t>
  </si>
  <si>
    <t>Z000163072</t>
  </si>
  <si>
    <t>Z000163072Z020301039</t>
  </si>
  <si>
    <t>REVESTIMENTO DE PAREDE EM QUARTZITO PERLA SANTANA ESCOVADO - AC</t>
  </si>
  <si>
    <t>Z000163072Z060101023</t>
  </si>
  <si>
    <t>Z000163072Z040308018</t>
  </si>
  <si>
    <t>Z000163072Z040201011</t>
  </si>
  <si>
    <t>Z000163072Z040401001</t>
  </si>
  <si>
    <t>Z000163072Z040308001</t>
  </si>
  <si>
    <t>Z000163072Z020202001</t>
  </si>
  <si>
    <t>Z000163072Z040202006</t>
  </si>
  <si>
    <t>Z000163072Z020201001</t>
  </si>
  <si>
    <t>Z000163072Z040308006</t>
  </si>
  <si>
    <t>Z000164031</t>
  </si>
  <si>
    <t>16.02.02.06</t>
  </si>
  <si>
    <t>Z000164031Z020306002</t>
  </si>
  <si>
    <t>REVESTIMENTO DE PAREDE EM RIPAS, VIA MURE, 110X10CM - AC</t>
  </si>
  <si>
    <t>Z000164031Z040201003</t>
  </si>
  <si>
    <t>Z000164031Z040401001</t>
  </si>
  <si>
    <t>Z000164031Z020202001</t>
  </si>
  <si>
    <t>Z000164031Z020201001</t>
  </si>
  <si>
    <t>Z000164031Z040308016</t>
  </si>
  <si>
    <t>Z000164031Z040202006</t>
  </si>
  <si>
    <t>Z000164031Z060101015</t>
  </si>
  <si>
    <t>Z000165018</t>
  </si>
  <si>
    <t>Z000165018Z060101023</t>
  </si>
  <si>
    <t>LAVATORIO EM GRANITO ACQUAMARINE ESCOVADO - FORNECIMENTO, CONFECCAO E INSTALACAO - AC</t>
  </si>
  <si>
    <t>Z000165018Z030204001</t>
  </si>
  <si>
    <t>Z020401009</t>
  </si>
  <si>
    <t>GRANITO ACQUAMARINE ESCOVADO - BANCADA OU LAVATORIO</t>
  </si>
  <si>
    <t>Z000165018Z020401009</t>
  </si>
  <si>
    <t>Z000165018Z030203008</t>
  </si>
  <si>
    <t>Z000165018Z020202002</t>
  </si>
  <si>
    <t>Z000165018Z040201011</t>
  </si>
  <si>
    <t>Z000165018Z040401001</t>
  </si>
  <si>
    <t>Z000165018Z040308001</t>
  </si>
  <si>
    <t>Z000165018Z030201001</t>
  </si>
  <si>
    <t>Z000165018Z040202006</t>
  </si>
  <si>
    <t>Z000165018Z040308032</t>
  </si>
  <si>
    <t>Z000165026</t>
  </si>
  <si>
    <t>Z000165026Z040308007</t>
  </si>
  <si>
    <t>BANCADA EM MARMORE NERO MARQUINA ESCOVADO - FORNECIMENTO, CONFECCAO E INSTALACAO - AC</t>
  </si>
  <si>
    <t>Z000165026Z040202006</t>
  </si>
  <si>
    <t>Z000165026Z030201001</t>
  </si>
  <si>
    <t>Z000165026Z040308001</t>
  </si>
  <si>
    <t>Z000165026Z040401001</t>
  </si>
  <si>
    <t>Z000165026Z040201011</t>
  </si>
  <si>
    <t>Z000165026Z020202002</t>
  </si>
  <si>
    <t>Z000165026Z030203008</t>
  </si>
  <si>
    <t>Z000165026Z020401021</t>
  </si>
  <si>
    <t>Z000165026Z030204001</t>
  </si>
  <si>
    <t>Z000165026Z060101023</t>
  </si>
  <si>
    <t>Z000166012</t>
  </si>
  <si>
    <t>Z000166012Z040202006</t>
  </si>
  <si>
    <t>LAVATORIO COM CUBA ESCULPIDA EM QUARTZITO BIANCATTO POLIDO - FORNECIMENTO, CONFECCAO E INSTALACAO - AC</t>
  </si>
  <si>
    <t>Z000166012Z030201001</t>
  </si>
  <si>
    <t>Z000166012Z040308001</t>
  </si>
  <si>
    <t>Z000166012Z040401001</t>
  </si>
  <si>
    <t>Z000166012Z040201011</t>
  </si>
  <si>
    <t>Z000166012Z020202002</t>
  </si>
  <si>
    <t>Z000166012Z040308002</t>
  </si>
  <si>
    <t>Z000166012Z030203008</t>
  </si>
  <si>
    <t>Z000166012Z030204001</t>
  </si>
  <si>
    <t>Z000166012Z040308030</t>
  </si>
  <si>
    <t>Z000166012Z060101023</t>
  </si>
  <si>
    <t>Z020402010</t>
  </si>
  <si>
    <t>QUARTZITO BIANCATTO POLIDO - CUBA ESCULPIDA</t>
  </si>
  <si>
    <t>Z000166012Z020402010</t>
  </si>
  <si>
    <t>Z000167070</t>
  </si>
  <si>
    <t>Z000167070Z020201001</t>
  </si>
  <si>
    <t>SOLEIRA EM QUARTZITO PERLA SANTANA ESCOVADO, LARGURA 20CM - AC</t>
  </si>
  <si>
    <t>Z000167070Z040202006</t>
  </si>
  <si>
    <t>Z000167070Z040308001</t>
  </si>
  <si>
    <t>Z000167070Z040401001</t>
  </si>
  <si>
    <t>Z000167070Z040201011</t>
  </si>
  <si>
    <t>Z000167070Z040308014</t>
  </si>
  <si>
    <t>Z020403023</t>
  </si>
  <si>
    <t>QUARTZITO PERLA SANTANA ESCOVADO - SOLEIRA, PEITORIL OU PINGADEIRA</t>
  </si>
  <si>
    <t>Z000167070Z020403023</t>
  </si>
  <si>
    <t>Z000167070Z060101023</t>
  </si>
  <si>
    <t>Z000168009</t>
  </si>
  <si>
    <t>Z000168009Z040308017</t>
  </si>
  <si>
    <t>DIVISORIA EM QUARTZITO BIANCATTO POLIDO - AC</t>
  </si>
  <si>
    <t>Z000168009Z020201001</t>
  </si>
  <si>
    <t>Z000168009Z040202006</t>
  </si>
  <si>
    <t>Z000168009Z040308001</t>
  </si>
  <si>
    <t>Z000168009Z050103007</t>
  </si>
  <si>
    <t>Z000168009Z040401001</t>
  </si>
  <si>
    <t>Z000168009Z040201011</t>
  </si>
  <si>
    <t>Z000168009Z030203005</t>
  </si>
  <si>
    <t>Z020408008</t>
  </si>
  <si>
    <t>QUARTZITO BIANCATTO POLIDO - DIVISORIA, CABINE OU TAPAVISTA</t>
  </si>
  <si>
    <t>Z000168009Z020408008</t>
  </si>
  <si>
    <t>Z000168009Z050103008</t>
  </si>
  <si>
    <t>Z000168009Z060101023</t>
  </si>
  <si>
    <t>Z000169010</t>
  </si>
  <si>
    <t>Z000169010Z060101023</t>
  </si>
  <si>
    <t>BALCAO EM QUARTZITO BIANCATTO - FORNECIMENTO, CONFECCAO E INSTALACAO - AC</t>
  </si>
  <si>
    <t>Z020409005</t>
  </si>
  <si>
    <t>QUARTZITO BIANCATTO - BALCAO</t>
  </si>
  <si>
    <t>Z000169010Z020409005</t>
  </si>
  <si>
    <t>Z000169010Z040308024</t>
  </si>
  <si>
    <t>Z000169010Z030203008</t>
  </si>
  <si>
    <t>Z000169010Z040201011</t>
  </si>
  <si>
    <t>Z000169010Z040401001</t>
  </si>
  <si>
    <t>Z000169010Z040308001</t>
  </si>
  <si>
    <t>Z000169010Z040202006</t>
  </si>
  <si>
    <t>Z000181001</t>
  </si>
  <si>
    <t>18.01.01.06</t>
  </si>
  <si>
    <t>Z000181001Z040202006</t>
  </si>
  <si>
    <t>CONTRAMARCO DE ALUMINIO PARA JANELAS FIXADO COM ARGAMASSA - ARGAMASSA RODADA EM OBRA</t>
  </si>
  <si>
    <t>Z000181001Z050103020</t>
  </si>
  <si>
    <t>Z020601001</t>
  </si>
  <si>
    <t>CONTRAMARCO DE ALUMINIO (PERFIL 25) PARA ESQUADRIAS, TIPO CONVENCIONAL / CADEIRINHA, 60 MM (CM-060), INCLUSO CONEXOES, GRAPAS E TRAVAMENTOS</t>
  </si>
  <si>
    <t>Z000181001Z020601001</t>
  </si>
  <si>
    <t>Z000181001Z010304001</t>
  </si>
  <si>
    <t>Z000181001Z010301001</t>
  </si>
  <si>
    <t>Z000181001Z040401001</t>
  </si>
  <si>
    <t>Z000181001Z050103019</t>
  </si>
  <si>
    <t>Z000181001Z010305003</t>
  </si>
  <si>
    <t>Z000181001Z040201013</t>
  </si>
  <si>
    <t>Z000181001Z040204001</t>
  </si>
  <si>
    <t>Z000181002</t>
  </si>
  <si>
    <t>18.01.01.05</t>
  </si>
  <si>
    <t>Z000181002Z040204001</t>
  </si>
  <si>
    <t>CONTRAMARCO DE ALUMINIO PARA PORTAS FIXADO COM ARGAMASSA - ARGAMASSA RODADA EM OBRA</t>
  </si>
  <si>
    <t>Z000181002Z040201013</t>
  </si>
  <si>
    <t>Z000181002Z010305003</t>
  </si>
  <si>
    <t>Z000181002Z050103019</t>
  </si>
  <si>
    <t>Z000181002Z040401001</t>
  </si>
  <si>
    <t>Z000181002Z010301001</t>
  </si>
  <si>
    <t>Z000181002Z010304001</t>
  </si>
  <si>
    <t>Z000181002Z020601001</t>
  </si>
  <si>
    <t>Z000181002Z050103020</t>
  </si>
  <si>
    <t>Z000181002Z040202006</t>
  </si>
  <si>
    <t>Z000182001</t>
  </si>
  <si>
    <t>Z020602001</t>
  </si>
  <si>
    <t>MATERIAL PARA ESQUADRIAS DE ALUMINIO E VIDRO - JANELAS</t>
  </si>
  <si>
    <t>18.01.01.04</t>
  </si>
  <si>
    <t>Z000182001Z020602001</t>
  </si>
  <si>
    <t>JANELAS - ESQUADRIA DE ALUMINIO E VIDRO</t>
  </si>
  <si>
    <t>Z040310002</t>
  </si>
  <si>
    <t>FABRICACAO, PINTURA E INSTALACAO ESQUADRIAS DE ALUMINIO E VIDRO - JANELAS</t>
  </si>
  <si>
    <t>Z000182001Z040310002</t>
  </si>
  <si>
    <t>Z000182002</t>
  </si>
  <si>
    <t>Z020602002</t>
  </si>
  <si>
    <t>MATERIAL PARA ESQUADRIAS DE ALUMINIO E VIDRO - PORTAS</t>
  </si>
  <si>
    <t>18.01.01.03</t>
  </si>
  <si>
    <t>Z000182002Z020602002</t>
  </si>
  <si>
    <t>PORTAS - ESQUADRIA DE ALUMINIO E VIDRO</t>
  </si>
  <si>
    <t>Z040310003</t>
  </si>
  <si>
    <t>FABRICACAO, PINTURA E INSTALACAO ESQUADRIAS DE ALUMINIO E VIDRO - PORTAS</t>
  </si>
  <si>
    <t>Z000182002Z040310003</t>
  </si>
  <si>
    <t>18.01.01.02</t>
  </si>
  <si>
    <t>Z000182005</t>
  </si>
  <si>
    <t>Z040310033</t>
  </si>
  <si>
    <t>FABRICACAO, PINTURA E INSTALACAO ESQUADRIAS DE ACO E VIDRO - JANELAS</t>
  </si>
  <si>
    <t>18.04.04</t>
  </si>
  <si>
    <t>Z000182005Z040310033</t>
  </si>
  <si>
    <t>JANELAS - ESQUADRIA DE ACO E VIDRO</t>
  </si>
  <si>
    <t>Z020603003</t>
  </si>
  <si>
    <t>MATERIAL PARA ESQUADRIAS DE ACO E VIDRO - JANELAS</t>
  </si>
  <si>
    <t>Z000182005Z020603003</t>
  </si>
  <si>
    <t>18.01.02.02</t>
  </si>
  <si>
    <t>18.01.02.03</t>
  </si>
  <si>
    <t>18.01.03.02</t>
  </si>
  <si>
    <t>18.01.03.03</t>
  </si>
  <si>
    <t>18.01.03.04</t>
  </si>
  <si>
    <t>18.04.03</t>
  </si>
  <si>
    <t>Z000191002</t>
  </si>
  <si>
    <t>Z040311026</t>
  </si>
  <si>
    <t>MAO DE OBRA PARA INSTALACOES LUMINO APARTAMENTO 1 QUARTO - INDICE M2</t>
  </si>
  <si>
    <t>APTO</t>
  </si>
  <si>
    <t>Z000191002Z040311026</t>
  </si>
  <si>
    <t>INSTALACAO DE LUMINOTECNICO APARTAMENTO 1 QUARTO - INDICE EP</t>
  </si>
  <si>
    <t>Z020701006</t>
  </si>
  <si>
    <t>MATERIAIS DE LUMINOTECNICO APARTAMENTO 1 QUARTO - INDICE M2</t>
  </si>
  <si>
    <t>Z000191002Z020701006</t>
  </si>
  <si>
    <t>Z000191003</t>
  </si>
  <si>
    <t>Z020701007</t>
  </si>
  <si>
    <t>MATERIAIS DE LUMINOTECNICO APARTAMENTO 1 QUARTO PCD - INDICE M2</t>
  </si>
  <si>
    <t>19.01.02</t>
  </si>
  <si>
    <t>Z000191003Z020701007</t>
  </si>
  <si>
    <t>INSTALACAO DE LUMINOTECNICO APARTAMENTO 1 QUARTO PCD - INDICE EP</t>
  </si>
  <si>
    <t>Z040311027</t>
  </si>
  <si>
    <t>MAO DE OBRA PARA INSTALACOES LUMINO APARTAMENTO 1 QUARTO PCD - INDICE M2</t>
  </si>
  <si>
    <t>Z000191003Z040311027</t>
  </si>
  <si>
    <t>Z000191004</t>
  </si>
  <si>
    <t>Z020701008</t>
  </si>
  <si>
    <t>MATERIAIS DE LUMINOTECNICO APARTAMENTO 2 QUARTOS - INDICE M2</t>
  </si>
  <si>
    <t>19.01.03</t>
  </si>
  <si>
    <t>Z000191004Z020701008</t>
  </si>
  <si>
    <t>INSTALACAO DE LUMINOTECNICO APARTAMENTO 2 QUARTOS - INDICE EP</t>
  </si>
  <si>
    <t>Z040311028</t>
  </si>
  <si>
    <t>MAO DE OBRA PARA INSTALACOES LUMINO APARTAMENTO 2 QUARTO - INDICE M2</t>
  </si>
  <si>
    <t>Z000191004Z040311028</t>
  </si>
  <si>
    <t>23.16.01</t>
  </si>
  <si>
    <t>24.04.09</t>
  </si>
  <si>
    <t>Z000244008</t>
  </si>
  <si>
    <t>Z040303032</t>
  </si>
  <si>
    <t>SERVICO DE TRATAMENTO DE JUNTA PARA PISO DE CONCRETO - TERCEIRIZADO</t>
  </si>
  <si>
    <t>08.07.07</t>
  </si>
  <si>
    <t>Z000244008Z040303032</t>
  </si>
  <si>
    <t>TRATAMENTO DE JUNTA DE DILATACAO, COM TARUGO DE POLIETILENO E SELANTE PU, INCLUSO PREENCHIMENTO COM ESPUMA EXPANSIVA PU</t>
  </si>
  <si>
    <t>Z030203006</t>
  </si>
  <si>
    <t>SELANTE ELASTICO MONOCOMPONENTE A BASE DE POLIURETANO (PU)</t>
  </si>
  <si>
    <t>310ML</t>
  </si>
  <si>
    <t>Z000244008Z030203006</t>
  </si>
  <si>
    <t>Z030107002</t>
  </si>
  <si>
    <t>TARUGO DELIMITADOR DE PROFUNDIDADE EM ESPUMA DE POLIETILENO DE BAIXA DENSIDADE 10 MM CINZA</t>
  </si>
  <si>
    <t>Z000244008Z030107002</t>
  </si>
  <si>
    <t>Z010509001</t>
  </si>
  <si>
    <t>PRIMER DE POLIURETANO</t>
  </si>
  <si>
    <t>Z000244008Z010509001</t>
  </si>
  <si>
    <t>Z000244008Z040201013</t>
  </si>
  <si>
    <t>Z000244008Z040401001</t>
  </si>
  <si>
    <t>Z000244008Z040202006</t>
  </si>
  <si>
    <t>24.04.08</t>
  </si>
  <si>
    <t>Z000244012</t>
  </si>
  <si>
    <t>08.07.06</t>
  </si>
  <si>
    <t>Z000244012Z040201013</t>
  </si>
  <si>
    <t>CORTE EM PISO DE CONCRETO PARA JUNTAS DE DILATACAO OU INSTALACAO DE PISO TATIL</t>
  </si>
  <si>
    <t>Z000244012Z040401001</t>
  </si>
  <si>
    <t>Z000244012Z050103015</t>
  </si>
  <si>
    <t>Z000244012Z050103016</t>
  </si>
  <si>
    <t>Z040303031</t>
  </si>
  <si>
    <t>SERVICO DE CORTE EM PISO DE CONCRETO - TERCEIRIZADO</t>
  </si>
  <si>
    <t>Z000244012Z040303031</t>
  </si>
  <si>
    <t>Z000244013</t>
  </si>
  <si>
    <t>Z050103003</t>
  </si>
  <si>
    <t>DESEMPENADEIRA DE CONCRETO - CHP</t>
  </si>
  <si>
    <t>08.07.08</t>
  </si>
  <si>
    <t>Z000244013Z050103003</t>
  </si>
  <si>
    <t>ACABAMENTO POLIDO PARA PISO DE CONCRETO ARMADO OU LAJE SOBRE SOLO DE ALTA RESISTENCIA</t>
  </si>
  <si>
    <t>Z010305008</t>
  </si>
  <si>
    <t>ENDURECEDOR MINERAL DE BASE CIMENTICIA PARA PISO DE CONCRETO</t>
  </si>
  <si>
    <t>Z000244013Z010305008</t>
  </si>
  <si>
    <t>Z000244013Z040401001</t>
  </si>
  <si>
    <t>Z000244013Z040201013</t>
  </si>
  <si>
    <t>Z040303033</t>
  </si>
  <si>
    <t>SERVICO DE POLIMENTO DE PISO DE CONCRETO - TERCEIRIZADO</t>
  </si>
  <si>
    <t>Z000244013Z040303033</t>
  </si>
  <si>
    <t>24.04.07</t>
  </si>
  <si>
    <t>24.04.10</t>
  </si>
  <si>
    <t>Z000247003</t>
  </si>
  <si>
    <t>Z000247003Z040202006</t>
  </si>
  <si>
    <t>TAMPA DE CONCRETO ARMADO, D = 1,50 M, E = 0,05 M</t>
  </si>
  <si>
    <t>Z010708005</t>
  </si>
  <si>
    <t>TAMPA DE CONCRETO ARMADO , D = 1,50 M, E = 0,05 M</t>
  </si>
  <si>
    <t>Z000247003Z010708005</t>
  </si>
  <si>
    <t>Z000247003Z040201013</t>
  </si>
  <si>
    <t>Z000247003Z040401001</t>
  </si>
  <si>
    <t>Z000247005</t>
  </si>
  <si>
    <t>Z000247005Z040401001</t>
  </si>
  <si>
    <t>ACRESCIMO PARA POCO DE VISITA CIRCULAR PARA DRENAGEM, EM CONCRETO PRE-MOLDADO, DIAMETRO INTERNO = 1,5 M</t>
  </si>
  <si>
    <t>Z000247005Z040201013</t>
  </si>
  <si>
    <t>Z000247005Z050103019</t>
  </si>
  <si>
    <t>Z000247005Z040202006</t>
  </si>
  <si>
    <t>Z000247005Z010301001</t>
  </si>
  <si>
    <t>Z000247005Z010304001</t>
  </si>
  <si>
    <t>Z000247005Z050103020</t>
  </si>
  <si>
    <t>Z000247005Z050101006</t>
  </si>
  <si>
    <t>Z000247005Z010708002</t>
  </si>
  <si>
    <t>Z000247005Z040204001</t>
  </si>
  <si>
    <t>Z000247005Z050101005</t>
  </si>
  <si>
    <t>Z000247010</t>
  </si>
  <si>
    <t>Z010708003</t>
  </si>
  <si>
    <t>CONJUNTO PRE-MOLDADO COMPOSTO POR GRELHA E CANALETA 1,00 X 0,30 M</t>
  </si>
  <si>
    <t>24.06.01.07</t>
  </si>
  <si>
    <t>Z000247010Z010708003</t>
  </si>
  <si>
    <t>RALO LINEAR COMPOSTO POR CONJUNTO PRE-MOLDADO 1,00 X 0,30 M, INCLUSO GRELHA</t>
  </si>
  <si>
    <t>Z000247010Z040401001</t>
  </si>
  <si>
    <t>Z000247010Z040201013</t>
  </si>
  <si>
    <t>Z000247010Z040202006</t>
  </si>
  <si>
    <t>Z000247010Z050103017</t>
  </si>
  <si>
    <t>Z000247010Z050101006</t>
  </si>
  <si>
    <t>Z000247010Z050103018</t>
  </si>
  <si>
    <t>Z000247010Z050101005</t>
  </si>
  <si>
    <t>24.06.01.06</t>
  </si>
  <si>
    <t>Z000248001</t>
  </si>
  <si>
    <t>Z011102007</t>
  </si>
  <si>
    <t>TUBO COLETOR DE ESGOTO, PVC, JEI, DN 150 MM (NBR 7362)</t>
  </si>
  <si>
    <t>24.06.02.01</t>
  </si>
  <si>
    <t>Z000248001Z011102007</t>
  </si>
  <si>
    <t>TUBO, PVC OCRE, JUNTA ELASTICA, DN 150 MM, PARA COLETOR PREDIAL DE ESGOTO</t>
  </si>
  <si>
    <t>Z030108001</t>
  </si>
  <si>
    <t>PASTA LUBRIFICANTE PARA TUBOS E CONEXOES COM JUNTA ELASTICA, EMBALAGEM DE *400* GR (USO EM PVC, ACO, POLIETILENO E OUTROS)</t>
  </si>
  <si>
    <t>Z000248001Z030108001</t>
  </si>
  <si>
    <t>Z000248001Z040202006</t>
  </si>
  <si>
    <t>Z040314021</t>
  </si>
  <si>
    <t>SERVICO DE ASSENTAMENTO TUBOS PARA REDE DE ESGOTO D=150MM - TERCEIRIZADO</t>
  </si>
  <si>
    <t>Z000248001Z040314021</t>
  </si>
  <si>
    <t>Z000248001Z040401001</t>
  </si>
  <si>
    <t>Z000248001Z040201002</t>
  </si>
  <si>
    <t>Z000248002</t>
  </si>
  <si>
    <t>24.06.02.02</t>
  </si>
  <si>
    <t>Z000248002Z040401001</t>
  </si>
  <si>
    <t>TIL (TUBO DE INSPECAO E LIMPEZA) RADIAL PARA ESGOTO, EM PVC, DN 150X150 MM</t>
  </si>
  <si>
    <t>Z000248002Z040201013</t>
  </si>
  <si>
    <t>Z000248002Z040202006</t>
  </si>
  <si>
    <t>Z000248002Z050103017</t>
  </si>
  <si>
    <t>Z000248002Z010304001</t>
  </si>
  <si>
    <t>Z000248002Z050103018</t>
  </si>
  <si>
    <t>Z011104002</t>
  </si>
  <si>
    <t>TIL RADIAL, PVC, JE, BBB, DN 150 X 150 MM, PARA REDE COLETORA DE ESGOTO (NBR 10.569)</t>
  </si>
  <si>
    <t>Z000248002Z011104002</t>
  </si>
  <si>
    <t>Z040314020</t>
  </si>
  <si>
    <t>SERVICO DE EXECUCAO DE TIL PARA REDE DE ESGOTO - TERCEIRIZADO</t>
  </si>
  <si>
    <t>Z000248002Z040314020</t>
  </si>
  <si>
    <t>Orçamento: 6 - ORC-PR_GRAN-GARDEN_R03_COM-ESTRUTURA</t>
  </si>
  <si>
    <t>REVESTIMENTO DE PAREDE - MATERIAIS SINTÉTICOS</t>
  </si>
  <si>
    <t>PEDRAS, GRANITOS E MÁRMORES - ÁREA COMUM</t>
  </si>
  <si>
    <t>LAVATORIO EM QUARTZITO BIANCATTO POLIDO - FORNECIMENTO, CONFECCAO E INSTALACAO - AC</t>
  </si>
  <si>
    <t>PORTAS E JANELAS</t>
  </si>
  <si>
    <t>24.06.02</t>
  </si>
  <si>
    <t>ESGOTO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</si>
</sst>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???,??0.0000"/>
    <numFmt numFmtId="166" formatCode="??0.0000"/>
    <numFmt numFmtId="167" formatCode="_-[$R$-416]\ * #,##0.00_-;\-[$R$-416]\ * #,##0.00_-;_-[$R$-416]\ * &quot;-&quot;??_-;_-@_-"/>
    <numFmt numFmtId="168" formatCode="#,##0.0000"/>
  </numFmts>
  <fonts count="12" x14ac:knownFonts="1">
    <font>
      <sz val="10"/>
      <name val="Arial"/>
    </font>
    <font>
      <sz val="10"/>
      <name val="Arial"/>
    </font>
    <font>
      <b/>
      <sz val="10"/>
      <color theme="0"/>
      <name val="Arial Black"/>
      <family val="2"/>
    </font>
    <font>
      <b/>
      <sz val="14"/>
      <name val="Bahnschrift"/>
      <family val="2"/>
    </font>
    <font>
      <b/>
      <sz val="16"/>
      <name val="Bahnschrift"/>
      <family val="2"/>
    </font>
    <font>
      <b/>
      <sz val="11"/>
      <color theme="0"/>
      <name val="Arial Black"/>
      <family val="2"/>
    </font>
    <font>
      <b/>
      <sz val="9"/>
      <color rgb="FF0000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20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BD6ED"/>
        <bgColor indexed="64"/>
      </patternFill>
    </fill>
  </fills>
  <borders count="3">
    <border>
      <left/>
      <right/>
      <top/>
      <bottom/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/>
      <right/>
      <top/>
      <bottom style="dashed">
        <color theme="0" tint="-4.9989318521683403E-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4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left" vertical="center"/>
    </xf>
    <xf numFmtId="164" fontId="5" fillId="4" borderId="1" xfId="1" applyNumberFormat="1" applyFont="1" applyFill="1" applyBorder="1" applyAlignment="1">
      <alignment horizontal="center" vertical="center"/>
    </xf>
    <xf numFmtId="4" fontId="5" fillId="4" borderId="1" xfId="1" applyNumberFormat="1" applyFont="1" applyFill="1" applyBorder="1" applyAlignment="1">
      <alignment horizontal="right" vertical="center"/>
    </xf>
    <xf numFmtId="167" fontId="5" fillId="4" borderId="1" xfId="1" applyNumberFormat="1" applyFont="1" applyFill="1" applyBorder="1" applyAlignment="1">
      <alignment horizontal="center" vertical="center"/>
    </xf>
    <xf numFmtId="167" fontId="5" fillId="4" borderId="1" xfId="1" applyNumberFormat="1" applyFont="1" applyFill="1" applyBorder="1" applyAlignment="1">
      <alignment horizontal="right" vertical="center"/>
    </xf>
    <xf numFmtId="10" fontId="5" fillId="4" borderId="1" xfId="3" applyNumberFormat="1" applyFont="1" applyFill="1" applyBorder="1" applyAlignment="1">
      <alignment horizontal="right" vertical="center"/>
    </xf>
    <xf numFmtId="0" fontId="6" fillId="5" borderId="1" xfId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68" fontId="6" fillId="5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right" vertical="center"/>
    </xf>
    <xf numFmtId="10" fontId="6" fillId="5" borderId="1" xfId="3" applyNumberFormat="1" applyFont="1" applyFill="1" applyBorder="1" applyAlignment="1">
      <alignment horizontal="right" vertical="center"/>
    </xf>
    <xf numFmtId="0" fontId="7" fillId="6" borderId="1" xfId="1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center" vertical="center"/>
    </xf>
    <xf numFmtId="168" fontId="7" fillId="6" borderId="1" xfId="1" applyNumberFormat="1" applyFont="1" applyFill="1" applyBorder="1" applyAlignment="1">
      <alignment horizontal="right" vertical="center"/>
    </xf>
    <xf numFmtId="167" fontId="7" fillId="6" borderId="1" xfId="1" applyNumberFormat="1" applyFont="1" applyFill="1" applyBorder="1" applyAlignment="1">
      <alignment horizontal="center" vertical="center"/>
    </xf>
    <xf numFmtId="167" fontId="7" fillId="6" borderId="1" xfId="1" applyNumberFormat="1" applyFont="1" applyFill="1" applyBorder="1" applyAlignment="1">
      <alignment horizontal="right" vertical="center"/>
    </xf>
    <xf numFmtId="10" fontId="7" fillId="6" borderId="1" xfId="3" applyNumberFormat="1" applyFont="1" applyFill="1" applyBorder="1" applyAlignment="1">
      <alignment horizontal="right" vertical="center"/>
    </xf>
    <xf numFmtId="0" fontId="8" fillId="7" borderId="1" xfId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4" fontId="8" fillId="7" borderId="1" xfId="0" applyNumberFormat="1" applyFont="1" applyFill="1" applyBorder="1" applyAlignment="1">
      <alignment horizontal="right" vertical="center"/>
    </xf>
    <xf numFmtId="167" fontId="8" fillId="7" borderId="1" xfId="0" applyNumberFormat="1" applyFont="1" applyFill="1" applyBorder="1" applyAlignment="1">
      <alignment horizontal="center" vertical="center"/>
    </xf>
    <xf numFmtId="167" fontId="8" fillId="7" borderId="1" xfId="0" applyNumberFormat="1" applyFont="1" applyFill="1" applyBorder="1" applyAlignment="1">
      <alignment horizontal="right" vertical="center"/>
    </xf>
    <xf numFmtId="10" fontId="8" fillId="7" borderId="1" xfId="3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1" applyFont="1" applyAlignment="1">
      <alignment horizontal="left" vertical="top"/>
    </xf>
    <xf numFmtId="166" fontId="11" fillId="0" borderId="0" xfId="1" applyNumberFormat="1" applyFont="1" applyAlignment="1">
      <alignment horizontal="right" vertical="top"/>
    </xf>
    <xf numFmtId="165" fontId="11" fillId="0" borderId="0" xfId="1" applyNumberFormat="1" applyFont="1" applyAlignment="1">
      <alignment horizontal="right" vertical="top"/>
    </xf>
    <xf numFmtId="10" fontId="11" fillId="0" borderId="0" xfId="1" applyNumberFormat="1" applyFont="1" applyAlignment="1">
      <alignment horizontal="right" vertical="top"/>
    </xf>
    <xf numFmtId="0" fontId="11" fillId="0" borderId="0" xfId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67" fontId="3" fillId="3" borderId="0" xfId="2" applyNumberFormat="1" applyFont="1" applyFill="1" applyAlignment="1">
      <alignment horizontal="center" vertical="center" wrapText="1"/>
    </xf>
    <xf numFmtId="167" fontId="3" fillId="3" borderId="0" xfId="0" applyNumberFormat="1" applyFont="1" applyFill="1" applyAlignment="1">
      <alignment horizontal="center" vertical="center" wrapText="1"/>
    </xf>
    <xf numFmtId="167" fontId="3" fillId="3" borderId="2" xfId="2" applyNumberFormat="1" applyFont="1" applyFill="1" applyBorder="1" applyAlignment="1">
      <alignment horizontal="center" vertical="center" wrapText="1"/>
    </xf>
    <xf numFmtId="167" fontId="3" fillId="3" borderId="2" xfId="0" applyNumberFormat="1" applyFont="1" applyFill="1" applyBorder="1" applyAlignment="1">
      <alignment horizontal="center" vertical="center" wrapText="1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904875</xdr:colOff>
      <xdr:row>0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01311E0D-E3A8-41C7-51A7-2FBD98F3742E}"/>
            </a:ext>
          </a:extLst>
        </xdr:cNvPr>
        <xdr:cNvSpPr>
          <a:spLocks noChangeShapeType="1"/>
        </xdr:cNvSpPr>
      </xdr:nvSpPr>
      <xdr:spPr bwMode="auto">
        <a:xfrm flipH="1" flipV="1">
          <a:off x="0" y="0"/>
          <a:ext cx="7162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0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63501569-DDB9-FB0D-5705-B138D479D778}"/>
            </a:ext>
          </a:extLst>
        </xdr:cNvPr>
        <xdr:cNvSpPr>
          <a:spLocks noChangeShapeType="1"/>
        </xdr:cNvSpPr>
      </xdr:nvSpPr>
      <xdr:spPr bwMode="auto">
        <a:xfrm flipH="1" flipV="1">
          <a:off x="0" y="0"/>
          <a:ext cx="72199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04A75A7-0E28-4691-BBEF-5644E3E86102}" autoFormatId="16" applyNumberFormats="0" applyBorderFormats="0" applyFontFormats="0" applyPatternFormats="0" applyAlignmentFormats="0" applyWidthHeightFormats="0">
  <queryTableRefresh nextId="16">
    <queryTableFields count="15">
      <queryTableField id="1" name="EMPRESA" tableColumnId="1"/>
      <queryTableField id="2" name="OBRA" tableColumnId="2"/>
      <queryTableField id="3" name="SERVIÇO" tableColumnId="3"/>
      <queryTableField id="4" name="INSUMO" tableColumnId="4"/>
      <queryTableField id="5" name="DESCRICAO DO INSUMO" tableColumnId="5"/>
      <queryTableField id="6" name="QTDE." tableColumnId="6"/>
      <queryTableField id="7" name="PREÇO UNIT." tableColumnId="7"/>
      <queryTableField id="8" name="UNID. INSUMO" tableColumnId="8"/>
      <queryTableField id="9" name="UNID. SERVIÇO" tableColumnId="9"/>
      <queryTableField id="10" name="SUBTOTAL" tableColumnId="10"/>
      <queryTableField id="11" name="TOTAL" tableColumnId="11"/>
      <queryTableField id="12" name="Item_pla" tableColumnId="12"/>
      <queryTableField id="13" name="QTDE. COMPOSIÇÃO" tableColumnId="13"/>
      <queryTableField id="14" name="CÓD.CONCATENADO" tableColumnId="14"/>
      <queryTableField id="15" name="DESCRICAO DO SERVIÇ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E46D0-A354-4F30-9387-AA919DF484B8}" name="COMP___INS___O4210___ORC4" displayName="COMP___INS___O4210___ORC4" ref="A1:O2398" tableType="queryTable" totalsRowShown="0">
  <autoFilter ref="A1:O2398" xr:uid="{4C5E46D0-A354-4F30-9387-AA919DF484B8}"/>
  <tableColumns count="15">
    <tableColumn id="1" xr3:uid="{9E5F1654-162B-4280-97C7-F1D9566A17E5}" uniqueName="1" name="EMPRESA" queryTableFieldId="1"/>
    <tableColumn id="2" xr3:uid="{D73514F8-0881-4F11-8792-D18EBD5B35F6}" uniqueName="2" name="OBRA" queryTableFieldId="2" dataDxfId="8"/>
    <tableColumn id="3" xr3:uid="{57ABE234-50FE-42DF-8234-CFFACD4B6570}" uniqueName="3" name="SERVIÇO" queryTableFieldId="3" dataDxfId="7"/>
    <tableColumn id="4" xr3:uid="{191C4168-DBAB-4965-ADE2-A704B961592D}" uniqueName="4" name="INSUMO" queryTableFieldId="4" dataDxfId="6"/>
    <tableColumn id="5" xr3:uid="{D24CCEE0-70CF-4190-9F92-72AAFCC850DA}" uniqueName="5" name="DESCRICAO DO INSUMO" queryTableFieldId="5" dataDxfId="5"/>
    <tableColumn id="6" xr3:uid="{272FF654-5C23-4E8E-B9C5-317D360EFA0F}" uniqueName="6" name="QTDE." queryTableFieldId="6"/>
    <tableColumn id="7" xr3:uid="{528D358A-E79F-4B3F-B621-DD8F552FCF8E}" uniqueName="7" name="PREÇO UNIT." queryTableFieldId="7"/>
    <tableColumn id="8" xr3:uid="{C5BA8594-87B4-48A5-A645-C975C589C9C5}" uniqueName="8" name="UNID. INSUMO" queryTableFieldId="8" dataDxfId="4"/>
    <tableColumn id="9" xr3:uid="{17637132-5789-47C8-AB66-3C10BBE3379E}" uniqueName="9" name="UNID. SERVIÇO" queryTableFieldId="9" dataDxfId="3"/>
    <tableColumn id="10" xr3:uid="{B37BC8DB-0195-4A09-B4BB-F45BCCCF918E}" uniqueName="10" name="SUBTOTAL" queryTableFieldId="10"/>
    <tableColumn id="11" xr3:uid="{0D0ECC01-4175-4477-A6F9-0B87101EF2CA}" uniqueName="11" name="TOTAL" queryTableFieldId="11"/>
    <tableColumn id="12" xr3:uid="{B5D03669-12C4-49BE-AC8C-2CF2E890799B}" uniqueName="12" name="Item_pla" queryTableFieldId="12" dataDxfId="2"/>
    <tableColumn id="13" xr3:uid="{DE95A6BE-571A-4DBE-A390-B75B9B54252E}" uniqueName="13" name="QTDE. COMPOSIÇÃO" queryTableFieldId="13"/>
    <tableColumn id="14" xr3:uid="{D9539B12-E7B0-4636-ADF3-0E26890B7EAB}" uniqueName="14" name="CÓD.CONCATENADO" queryTableFieldId="14" dataDxfId="1"/>
    <tableColumn id="15" xr3:uid="{A10F8F9F-0C0F-4C7A-85DD-BDA29A24077F}" uniqueName="15" name="DESCRICAO DO SERVIÇO" queryTableFieldId="15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E3B0-107D-4EBF-B757-6EE8A26981E6}">
  <sheetPr codeName="Planilha3"/>
  <dimension ref="A1:O2398"/>
  <sheetViews>
    <sheetView workbookViewId="0">
      <selection activeCell="E24" sqref="E24"/>
    </sheetView>
  </sheetViews>
  <sheetFormatPr defaultRowHeight="12.75" x14ac:dyDescent="0.2"/>
  <cols>
    <col min="1" max="1" width="12.28515625" bestFit="1" customWidth="1"/>
    <col min="2" max="2" width="8.5703125" bestFit="1" customWidth="1"/>
    <col min="3" max="3" width="11.5703125" bestFit="1" customWidth="1"/>
    <col min="4" max="4" width="11" bestFit="1" customWidth="1"/>
    <col min="5" max="5" width="81.140625" bestFit="1" customWidth="1"/>
    <col min="6" max="6" width="11" bestFit="1" customWidth="1"/>
    <col min="7" max="7" width="15.140625" bestFit="1" customWidth="1"/>
    <col min="8" max="8" width="16.42578125" bestFit="1" customWidth="1"/>
    <col min="9" max="9" width="17.28515625" bestFit="1" customWidth="1"/>
    <col min="10" max="10" width="13.28515625" bestFit="1" customWidth="1"/>
    <col min="11" max="11" width="12" bestFit="1" customWidth="1"/>
    <col min="12" max="12" width="11.140625" bestFit="1" customWidth="1"/>
    <col min="13" max="13" width="22.5703125" bestFit="1" customWidth="1"/>
    <col min="14" max="14" width="22.28515625" bestFit="1" customWidth="1"/>
    <col min="15" max="15" width="81.140625" bestFit="1" customWidth="1"/>
  </cols>
  <sheetData>
    <row r="1" spans="1:15" x14ac:dyDescent="0.2">
      <c r="A1" t="s">
        <v>2103</v>
      </c>
      <c r="B1" t="s">
        <v>1298</v>
      </c>
      <c r="C1" t="s">
        <v>2104</v>
      </c>
      <c r="D1" t="s">
        <v>2105</v>
      </c>
      <c r="E1" t="s">
        <v>2106</v>
      </c>
      <c r="F1" t="s">
        <v>2107</v>
      </c>
      <c r="G1" t="s">
        <v>2108</v>
      </c>
      <c r="H1" t="s">
        <v>2109</v>
      </c>
      <c r="I1" t="s">
        <v>2110</v>
      </c>
      <c r="J1" t="s">
        <v>2111</v>
      </c>
      <c r="K1" t="s">
        <v>2112</v>
      </c>
      <c r="L1" t="s">
        <v>2113</v>
      </c>
      <c r="M1" t="s">
        <v>2114</v>
      </c>
      <c r="N1" t="s">
        <v>2115</v>
      </c>
      <c r="O1" t="s">
        <v>2116</v>
      </c>
    </row>
    <row r="2" spans="1:15" x14ac:dyDescent="0.2">
      <c r="A2">
        <v>99</v>
      </c>
      <c r="B2" t="s">
        <v>2117</v>
      </c>
      <c r="C2" t="s">
        <v>1086</v>
      </c>
      <c r="D2" t="s">
        <v>498</v>
      </c>
      <c r="E2" t="s">
        <v>773</v>
      </c>
      <c r="F2">
        <v>1.2</v>
      </c>
      <c r="G2">
        <v>7269.2622000000001</v>
      </c>
      <c r="H2" t="s">
        <v>84</v>
      </c>
      <c r="I2" t="s">
        <v>1170</v>
      </c>
      <c r="J2">
        <v>8723.1146399999998</v>
      </c>
      <c r="K2">
        <v>191908.52208</v>
      </c>
      <c r="L2" t="s">
        <v>580</v>
      </c>
      <c r="M2">
        <v>22</v>
      </c>
      <c r="N2" t="s">
        <v>2119</v>
      </c>
      <c r="O2" t="s">
        <v>772</v>
      </c>
    </row>
    <row r="3" spans="1:15" x14ac:dyDescent="0.2">
      <c r="A3">
        <v>99</v>
      </c>
      <c r="B3" t="s">
        <v>2117</v>
      </c>
      <c r="C3" t="s">
        <v>1086</v>
      </c>
      <c r="D3" t="s">
        <v>184</v>
      </c>
      <c r="E3" t="s">
        <v>567</v>
      </c>
      <c r="F3">
        <v>2.5909</v>
      </c>
      <c r="G3">
        <v>2805.69</v>
      </c>
      <c r="H3" t="s">
        <v>1170</v>
      </c>
      <c r="I3" t="s">
        <v>1170</v>
      </c>
      <c r="J3">
        <v>7269.262221</v>
      </c>
      <c r="K3">
        <v>159923.768862</v>
      </c>
      <c r="L3" t="s">
        <v>580</v>
      </c>
      <c r="M3">
        <v>22</v>
      </c>
      <c r="N3" t="s">
        <v>2118</v>
      </c>
      <c r="O3" t="s">
        <v>772</v>
      </c>
    </row>
    <row r="4" spans="1:15" x14ac:dyDescent="0.2">
      <c r="A4">
        <v>99</v>
      </c>
      <c r="B4" t="s">
        <v>2117</v>
      </c>
      <c r="C4" t="s">
        <v>1089</v>
      </c>
      <c r="D4" t="s">
        <v>188</v>
      </c>
      <c r="E4" t="s">
        <v>1195</v>
      </c>
      <c r="F4">
        <v>3.6364000000000001</v>
      </c>
      <c r="G4">
        <v>2135.16</v>
      </c>
      <c r="H4" t="s">
        <v>1170</v>
      </c>
      <c r="I4" t="s">
        <v>1170</v>
      </c>
      <c r="J4">
        <v>7764.2958239999998</v>
      </c>
      <c r="K4">
        <v>170814.50812799999</v>
      </c>
      <c r="L4" t="s">
        <v>584</v>
      </c>
      <c r="M4">
        <v>22</v>
      </c>
      <c r="N4" t="s">
        <v>2120</v>
      </c>
      <c r="O4" t="s">
        <v>1020</v>
      </c>
    </row>
    <row r="5" spans="1:15" x14ac:dyDescent="0.2">
      <c r="A5">
        <v>99</v>
      </c>
      <c r="B5" t="s">
        <v>2117</v>
      </c>
      <c r="C5" t="s">
        <v>1089</v>
      </c>
      <c r="D5" t="s">
        <v>498</v>
      </c>
      <c r="E5" t="s">
        <v>773</v>
      </c>
      <c r="F5">
        <v>1.2</v>
      </c>
      <c r="G5">
        <v>7764.2957999999999</v>
      </c>
      <c r="H5" t="s">
        <v>84</v>
      </c>
      <c r="I5" t="s">
        <v>1170</v>
      </c>
      <c r="J5">
        <v>9317.1549599999998</v>
      </c>
      <c r="K5">
        <v>204977.40912</v>
      </c>
      <c r="L5" t="s">
        <v>584</v>
      </c>
      <c r="M5">
        <v>22</v>
      </c>
      <c r="N5" t="s">
        <v>2121</v>
      </c>
      <c r="O5" t="s">
        <v>1020</v>
      </c>
    </row>
    <row r="6" spans="1:15" x14ac:dyDescent="0.2">
      <c r="A6">
        <v>99</v>
      </c>
      <c r="B6" t="s">
        <v>2117</v>
      </c>
      <c r="C6" t="s">
        <v>4752</v>
      </c>
      <c r="D6" t="s">
        <v>498</v>
      </c>
      <c r="E6" t="s">
        <v>773</v>
      </c>
      <c r="F6">
        <v>1.2</v>
      </c>
      <c r="G6">
        <v>5276.44</v>
      </c>
      <c r="H6" t="s">
        <v>84</v>
      </c>
      <c r="I6" t="s">
        <v>1170</v>
      </c>
      <c r="J6">
        <v>6331.7280000000001</v>
      </c>
      <c r="K6">
        <v>139298.016</v>
      </c>
      <c r="L6" t="s">
        <v>534</v>
      </c>
      <c r="M6">
        <v>22</v>
      </c>
      <c r="N6" t="s">
        <v>4753</v>
      </c>
      <c r="O6" t="s">
        <v>4754</v>
      </c>
    </row>
    <row r="7" spans="1:15" x14ac:dyDescent="0.2">
      <c r="A7">
        <v>99</v>
      </c>
      <c r="B7" t="s">
        <v>2117</v>
      </c>
      <c r="C7" t="s">
        <v>4752</v>
      </c>
      <c r="D7" t="s">
        <v>4755</v>
      </c>
      <c r="E7" t="s">
        <v>4756</v>
      </c>
      <c r="F7">
        <v>2</v>
      </c>
      <c r="G7">
        <v>2638.22</v>
      </c>
      <c r="H7" t="s">
        <v>1170</v>
      </c>
      <c r="I7" t="s">
        <v>1170</v>
      </c>
      <c r="J7">
        <v>5276.44</v>
      </c>
      <c r="K7">
        <v>116081.68</v>
      </c>
      <c r="L7" t="s">
        <v>534</v>
      </c>
      <c r="M7">
        <v>22</v>
      </c>
      <c r="N7" t="s">
        <v>4757</v>
      </c>
      <c r="O7" t="s">
        <v>4754</v>
      </c>
    </row>
    <row r="8" spans="1:15" x14ac:dyDescent="0.2">
      <c r="A8">
        <v>99</v>
      </c>
      <c r="B8" t="s">
        <v>2117</v>
      </c>
      <c r="C8" t="s">
        <v>1097</v>
      </c>
      <c r="D8" t="s">
        <v>191</v>
      </c>
      <c r="E8" t="s">
        <v>2122</v>
      </c>
      <c r="F8">
        <v>2.5455000000000001</v>
      </c>
      <c r="G8">
        <v>3300</v>
      </c>
      <c r="H8" t="s">
        <v>1170</v>
      </c>
      <c r="I8" t="s">
        <v>1170</v>
      </c>
      <c r="J8">
        <v>8400.15</v>
      </c>
      <c r="K8">
        <v>184803.3</v>
      </c>
      <c r="L8" t="s">
        <v>574</v>
      </c>
      <c r="M8">
        <v>22</v>
      </c>
      <c r="N8" t="s">
        <v>2123</v>
      </c>
      <c r="O8" t="s">
        <v>2124</v>
      </c>
    </row>
    <row r="9" spans="1:15" x14ac:dyDescent="0.2">
      <c r="A9">
        <v>99</v>
      </c>
      <c r="B9" t="s">
        <v>2117</v>
      </c>
      <c r="C9" t="s">
        <v>1097</v>
      </c>
      <c r="D9" t="s">
        <v>498</v>
      </c>
      <c r="E9" t="s">
        <v>773</v>
      </c>
      <c r="F9">
        <v>1.2</v>
      </c>
      <c r="G9">
        <v>8400.15</v>
      </c>
      <c r="H9" t="s">
        <v>84</v>
      </c>
      <c r="I9" t="s">
        <v>1170</v>
      </c>
      <c r="J9">
        <v>10080.18</v>
      </c>
      <c r="K9">
        <v>221763.96</v>
      </c>
      <c r="L9" t="s">
        <v>574</v>
      </c>
      <c r="M9">
        <v>22</v>
      </c>
      <c r="N9" t="s">
        <v>2125</v>
      </c>
      <c r="O9" t="s">
        <v>2124</v>
      </c>
    </row>
    <row r="10" spans="1:15" x14ac:dyDescent="0.2">
      <c r="A10">
        <v>99</v>
      </c>
      <c r="B10" t="s">
        <v>2117</v>
      </c>
      <c r="C10" t="s">
        <v>1100</v>
      </c>
      <c r="D10" t="s">
        <v>498</v>
      </c>
      <c r="E10" t="s">
        <v>773</v>
      </c>
      <c r="F10">
        <v>1.2</v>
      </c>
      <c r="G10">
        <v>5212.4364999999998</v>
      </c>
      <c r="H10" t="s">
        <v>84</v>
      </c>
      <c r="I10" t="s">
        <v>1170</v>
      </c>
      <c r="J10">
        <v>6254.9237999999996</v>
      </c>
      <c r="K10">
        <v>137608.3236</v>
      </c>
      <c r="L10" t="s">
        <v>583</v>
      </c>
      <c r="M10">
        <v>22</v>
      </c>
      <c r="N10" t="s">
        <v>2127</v>
      </c>
      <c r="O10" t="s">
        <v>1293</v>
      </c>
    </row>
    <row r="11" spans="1:15" x14ac:dyDescent="0.2">
      <c r="A11">
        <v>99</v>
      </c>
      <c r="B11" t="s">
        <v>2117</v>
      </c>
      <c r="C11" t="s">
        <v>1100</v>
      </c>
      <c r="D11" t="s">
        <v>192</v>
      </c>
      <c r="E11" t="s">
        <v>1903</v>
      </c>
      <c r="F11">
        <v>1.9544999999999999</v>
      </c>
      <c r="G11">
        <v>2666.89</v>
      </c>
      <c r="H11" t="s">
        <v>1170</v>
      </c>
      <c r="I11" t="s">
        <v>1170</v>
      </c>
      <c r="J11">
        <v>5212.4365049999997</v>
      </c>
      <c r="K11">
        <v>114673.60311</v>
      </c>
      <c r="L11" t="s">
        <v>583</v>
      </c>
      <c r="M11">
        <v>22</v>
      </c>
      <c r="N11" t="s">
        <v>2126</v>
      </c>
      <c r="O11" t="s">
        <v>1293</v>
      </c>
    </row>
    <row r="12" spans="1:15" x14ac:dyDescent="0.2">
      <c r="A12">
        <v>99</v>
      </c>
      <c r="B12" t="s">
        <v>2117</v>
      </c>
      <c r="C12" t="s">
        <v>4758</v>
      </c>
      <c r="D12" t="s">
        <v>4759</v>
      </c>
      <c r="E12" t="s">
        <v>4760</v>
      </c>
      <c r="F12">
        <v>2.5909</v>
      </c>
      <c r="G12">
        <v>3000</v>
      </c>
      <c r="H12" t="s">
        <v>1170</v>
      </c>
      <c r="I12" t="s">
        <v>1170</v>
      </c>
      <c r="J12">
        <v>7772.7</v>
      </c>
      <c r="K12">
        <v>170999.4</v>
      </c>
      <c r="L12" t="s">
        <v>581</v>
      </c>
      <c r="M12">
        <v>22</v>
      </c>
      <c r="N12" t="s">
        <v>4761</v>
      </c>
      <c r="O12" t="s">
        <v>4762</v>
      </c>
    </row>
    <row r="13" spans="1:15" x14ac:dyDescent="0.2">
      <c r="A13">
        <v>99</v>
      </c>
      <c r="B13" t="s">
        <v>2117</v>
      </c>
      <c r="C13" t="s">
        <v>4758</v>
      </c>
      <c r="D13" t="s">
        <v>498</v>
      </c>
      <c r="E13" t="s">
        <v>773</v>
      </c>
      <c r="F13">
        <v>1.2</v>
      </c>
      <c r="G13">
        <v>7772.7</v>
      </c>
      <c r="H13" t="s">
        <v>84</v>
      </c>
      <c r="I13" t="s">
        <v>1170</v>
      </c>
      <c r="J13">
        <v>9327.24</v>
      </c>
      <c r="K13">
        <v>205199.28</v>
      </c>
      <c r="L13" t="s">
        <v>581</v>
      </c>
      <c r="M13">
        <v>22</v>
      </c>
      <c r="N13" t="s">
        <v>4763</v>
      </c>
      <c r="O13" t="s">
        <v>4762</v>
      </c>
    </row>
    <row r="14" spans="1:15" x14ac:dyDescent="0.2">
      <c r="A14">
        <v>99</v>
      </c>
      <c r="B14" t="s">
        <v>2117</v>
      </c>
      <c r="C14" t="s">
        <v>1103</v>
      </c>
      <c r="D14" t="s">
        <v>498</v>
      </c>
      <c r="E14" t="s">
        <v>773</v>
      </c>
      <c r="F14">
        <v>1.2</v>
      </c>
      <c r="G14">
        <v>3703.89</v>
      </c>
      <c r="H14" t="s">
        <v>84</v>
      </c>
      <c r="I14" t="s">
        <v>1170</v>
      </c>
      <c r="J14">
        <v>4444.6679999999997</v>
      </c>
      <c r="K14">
        <v>97782.695999999996</v>
      </c>
      <c r="L14" t="s">
        <v>578</v>
      </c>
      <c r="M14">
        <v>22</v>
      </c>
      <c r="N14" t="s">
        <v>2129</v>
      </c>
      <c r="O14" t="s">
        <v>334</v>
      </c>
    </row>
    <row r="15" spans="1:15" x14ac:dyDescent="0.2">
      <c r="A15">
        <v>99</v>
      </c>
      <c r="B15" t="s">
        <v>2117</v>
      </c>
      <c r="C15" t="s">
        <v>1103</v>
      </c>
      <c r="D15" t="s">
        <v>196</v>
      </c>
      <c r="E15" t="s">
        <v>590</v>
      </c>
      <c r="F15">
        <v>1</v>
      </c>
      <c r="G15">
        <v>3703.89</v>
      </c>
      <c r="H15" t="s">
        <v>1170</v>
      </c>
      <c r="I15" t="s">
        <v>1170</v>
      </c>
      <c r="J15">
        <v>3703.89</v>
      </c>
      <c r="K15">
        <v>81485.58</v>
      </c>
      <c r="L15" t="s">
        <v>578</v>
      </c>
      <c r="M15">
        <v>22</v>
      </c>
      <c r="N15" t="s">
        <v>2128</v>
      </c>
      <c r="O15" t="s">
        <v>334</v>
      </c>
    </row>
    <row r="16" spans="1:15" x14ac:dyDescent="0.2">
      <c r="A16">
        <v>99</v>
      </c>
      <c r="B16" t="s">
        <v>2117</v>
      </c>
      <c r="C16" t="s">
        <v>1106</v>
      </c>
      <c r="D16" t="s">
        <v>498</v>
      </c>
      <c r="E16" t="s">
        <v>773</v>
      </c>
      <c r="F16">
        <v>1.2</v>
      </c>
      <c r="G16">
        <v>12218.22</v>
      </c>
      <c r="H16" t="s">
        <v>84</v>
      </c>
      <c r="I16" t="s">
        <v>1170</v>
      </c>
      <c r="J16">
        <v>14661.864</v>
      </c>
      <c r="K16">
        <v>322561.00799999997</v>
      </c>
      <c r="L16" t="s">
        <v>538</v>
      </c>
      <c r="M16">
        <v>22</v>
      </c>
      <c r="N16" t="s">
        <v>2131</v>
      </c>
      <c r="O16" t="s">
        <v>1517</v>
      </c>
    </row>
    <row r="17" spans="1:15" x14ac:dyDescent="0.2">
      <c r="A17">
        <v>99</v>
      </c>
      <c r="B17" t="s">
        <v>2117</v>
      </c>
      <c r="C17" t="s">
        <v>1106</v>
      </c>
      <c r="D17" t="s">
        <v>199</v>
      </c>
      <c r="E17" t="s">
        <v>965</v>
      </c>
      <c r="F17">
        <v>2.9091</v>
      </c>
      <c r="G17">
        <v>4200</v>
      </c>
      <c r="H17" t="s">
        <v>1170</v>
      </c>
      <c r="I17" t="s">
        <v>1170</v>
      </c>
      <c r="J17">
        <v>12218.22</v>
      </c>
      <c r="K17">
        <v>268800.84000000003</v>
      </c>
      <c r="L17" t="s">
        <v>538</v>
      </c>
      <c r="M17">
        <v>22</v>
      </c>
      <c r="N17" t="s">
        <v>2130</v>
      </c>
      <c r="O17" t="s">
        <v>1517</v>
      </c>
    </row>
    <row r="18" spans="1:15" x14ac:dyDescent="0.2">
      <c r="A18">
        <v>99</v>
      </c>
      <c r="B18" t="s">
        <v>2117</v>
      </c>
      <c r="C18" t="s">
        <v>1149</v>
      </c>
      <c r="D18" t="s">
        <v>498</v>
      </c>
      <c r="E18" t="s">
        <v>773</v>
      </c>
      <c r="F18">
        <v>1.2</v>
      </c>
      <c r="G18">
        <v>22877.0203</v>
      </c>
      <c r="H18" t="s">
        <v>84</v>
      </c>
      <c r="I18" t="s">
        <v>1170</v>
      </c>
      <c r="J18">
        <v>27452.424360000001</v>
      </c>
      <c r="K18">
        <v>603953.33591999998</v>
      </c>
      <c r="L18" t="s">
        <v>537</v>
      </c>
      <c r="M18">
        <v>22</v>
      </c>
      <c r="N18" t="s">
        <v>2133</v>
      </c>
      <c r="O18" t="s">
        <v>1662</v>
      </c>
    </row>
    <row r="19" spans="1:15" x14ac:dyDescent="0.2">
      <c r="A19">
        <v>99</v>
      </c>
      <c r="B19" t="s">
        <v>2117</v>
      </c>
      <c r="C19" t="s">
        <v>1149</v>
      </c>
      <c r="D19" t="s">
        <v>260</v>
      </c>
      <c r="E19" t="s">
        <v>1394</v>
      </c>
      <c r="F19">
        <v>2.8182</v>
      </c>
      <c r="G19">
        <v>8117.6</v>
      </c>
      <c r="H19" t="s">
        <v>1170</v>
      </c>
      <c r="I19" t="s">
        <v>1170</v>
      </c>
      <c r="J19">
        <v>22877.02032</v>
      </c>
      <c r="K19">
        <v>503294.44704</v>
      </c>
      <c r="L19" t="s">
        <v>537</v>
      </c>
      <c r="M19">
        <v>22</v>
      </c>
      <c r="N19" t="s">
        <v>2132</v>
      </c>
      <c r="O19" t="s">
        <v>1662</v>
      </c>
    </row>
    <row r="20" spans="1:15" x14ac:dyDescent="0.2">
      <c r="A20">
        <v>99</v>
      </c>
      <c r="B20" t="s">
        <v>2117</v>
      </c>
      <c r="C20" t="s">
        <v>1157</v>
      </c>
      <c r="D20" t="s">
        <v>498</v>
      </c>
      <c r="E20" t="s">
        <v>773</v>
      </c>
      <c r="F20">
        <v>1.2</v>
      </c>
      <c r="G20">
        <v>8018.22</v>
      </c>
      <c r="H20" t="s">
        <v>84</v>
      </c>
      <c r="I20" t="s">
        <v>1170</v>
      </c>
      <c r="J20">
        <v>9621.8639999999996</v>
      </c>
      <c r="K20">
        <v>211681.008</v>
      </c>
      <c r="L20" t="s">
        <v>541</v>
      </c>
      <c r="M20">
        <v>22</v>
      </c>
      <c r="N20" t="s">
        <v>2137</v>
      </c>
      <c r="O20" t="s">
        <v>2136</v>
      </c>
    </row>
    <row r="21" spans="1:15" x14ac:dyDescent="0.2">
      <c r="A21">
        <v>99</v>
      </c>
      <c r="B21" t="s">
        <v>2117</v>
      </c>
      <c r="C21" t="s">
        <v>1157</v>
      </c>
      <c r="D21" t="s">
        <v>263</v>
      </c>
      <c r="E21" t="s">
        <v>2134</v>
      </c>
      <c r="F21">
        <v>1.9091</v>
      </c>
      <c r="G21">
        <v>4200</v>
      </c>
      <c r="H21" t="s">
        <v>1170</v>
      </c>
      <c r="I21" t="s">
        <v>1170</v>
      </c>
      <c r="J21">
        <v>8018.22</v>
      </c>
      <c r="K21">
        <v>176400.84</v>
      </c>
      <c r="L21" t="s">
        <v>541</v>
      </c>
      <c r="M21">
        <v>22</v>
      </c>
      <c r="N21" t="s">
        <v>2135</v>
      </c>
      <c r="O21" t="s">
        <v>2136</v>
      </c>
    </row>
    <row r="22" spans="1:15" x14ac:dyDescent="0.2">
      <c r="A22">
        <v>99</v>
      </c>
      <c r="B22" t="s">
        <v>2117</v>
      </c>
      <c r="C22" t="s">
        <v>1160</v>
      </c>
      <c r="D22" t="s">
        <v>78</v>
      </c>
      <c r="E22" t="s">
        <v>728</v>
      </c>
      <c r="F22">
        <v>5.0909000000000004</v>
      </c>
      <c r="G22">
        <v>10833.333000000001</v>
      </c>
      <c r="H22" t="s">
        <v>1170</v>
      </c>
      <c r="I22" t="s">
        <v>1170</v>
      </c>
      <c r="J22">
        <v>55151.414969700003</v>
      </c>
      <c r="K22">
        <v>1213331.1293329999</v>
      </c>
      <c r="L22" t="s">
        <v>533</v>
      </c>
      <c r="M22">
        <v>22</v>
      </c>
      <c r="N22" t="s">
        <v>2138</v>
      </c>
      <c r="O22" t="s">
        <v>178</v>
      </c>
    </row>
    <row r="23" spans="1:15" x14ac:dyDescent="0.2">
      <c r="A23">
        <v>99</v>
      </c>
      <c r="B23" t="s">
        <v>2117</v>
      </c>
      <c r="C23" t="s">
        <v>4764</v>
      </c>
      <c r="D23" t="s">
        <v>4765</v>
      </c>
      <c r="E23" t="s">
        <v>4766</v>
      </c>
      <c r="F23">
        <v>1.8635999999999999</v>
      </c>
      <c r="G23">
        <v>16250</v>
      </c>
      <c r="H23" t="s">
        <v>1170</v>
      </c>
      <c r="I23" t="s">
        <v>1170</v>
      </c>
      <c r="J23">
        <v>30283.5</v>
      </c>
      <c r="K23">
        <v>666237</v>
      </c>
      <c r="L23" t="s">
        <v>530</v>
      </c>
      <c r="M23">
        <v>22</v>
      </c>
      <c r="N23" t="s">
        <v>4767</v>
      </c>
      <c r="O23" t="s">
        <v>4768</v>
      </c>
    </row>
    <row r="24" spans="1:15" x14ac:dyDescent="0.2">
      <c r="A24">
        <v>99</v>
      </c>
      <c r="B24" t="s">
        <v>2117</v>
      </c>
      <c r="C24" t="s">
        <v>1167</v>
      </c>
      <c r="D24" t="s">
        <v>81</v>
      </c>
      <c r="E24" t="s">
        <v>1711</v>
      </c>
      <c r="F24">
        <v>0.77270000000000005</v>
      </c>
      <c r="G24">
        <v>24401</v>
      </c>
      <c r="H24" t="s">
        <v>1170</v>
      </c>
      <c r="I24" t="s">
        <v>1170</v>
      </c>
      <c r="J24">
        <v>18854.652699999999</v>
      </c>
      <c r="K24">
        <v>414802.35940000002</v>
      </c>
      <c r="L24" t="s">
        <v>526</v>
      </c>
      <c r="M24">
        <v>22</v>
      </c>
      <c r="N24" t="s">
        <v>2139</v>
      </c>
      <c r="O24" t="s">
        <v>2140</v>
      </c>
    </row>
    <row r="25" spans="1:15" x14ac:dyDescent="0.2">
      <c r="A25">
        <v>99</v>
      </c>
      <c r="B25" t="s">
        <v>2117</v>
      </c>
      <c r="C25" t="s">
        <v>1229</v>
      </c>
      <c r="D25" t="s">
        <v>87</v>
      </c>
      <c r="E25" t="s">
        <v>257</v>
      </c>
      <c r="F25">
        <v>2.4544999999999999</v>
      </c>
      <c r="G25">
        <v>1708.73</v>
      </c>
      <c r="H25" t="s">
        <v>1170</v>
      </c>
      <c r="I25" t="s">
        <v>1170</v>
      </c>
      <c r="J25">
        <v>4194.0777850000004</v>
      </c>
      <c r="K25">
        <v>92269.71127</v>
      </c>
      <c r="L25" t="s">
        <v>535</v>
      </c>
      <c r="M25">
        <v>22</v>
      </c>
      <c r="N25" t="s">
        <v>2141</v>
      </c>
      <c r="O25" t="s">
        <v>1642</v>
      </c>
    </row>
    <row r="26" spans="1:15" x14ac:dyDescent="0.2">
      <c r="A26">
        <v>99</v>
      </c>
      <c r="B26" t="s">
        <v>2117</v>
      </c>
      <c r="C26" t="s">
        <v>4769</v>
      </c>
      <c r="D26" t="s">
        <v>4770</v>
      </c>
      <c r="E26" t="s">
        <v>4771</v>
      </c>
      <c r="F26">
        <v>1</v>
      </c>
      <c r="G26">
        <v>19500</v>
      </c>
      <c r="H26" t="s">
        <v>1170</v>
      </c>
      <c r="I26" t="s">
        <v>1170</v>
      </c>
      <c r="J26">
        <v>19500</v>
      </c>
      <c r="K26">
        <v>429000</v>
      </c>
      <c r="L26" t="s">
        <v>4772</v>
      </c>
      <c r="M26">
        <v>22</v>
      </c>
      <c r="N26" t="s">
        <v>4773</v>
      </c>
      <c r="O26" t="s">
        <v>4774</v>
      </c>
    </row>
    <row r="27" spans="1:15" x14ac:dyDescent="0.2">
      <c r="A27">
        <v>99</v>
      </c>
      <c r="B27" t="s">
        <v>2117</v>
      </c>
      <c r="C27" t="s">
        <v>4775</v>
      </c>
      <c r="D27" t="s">
        <v>4776</v>
      </c>
      <c r="E27" t="s">
        <v>4777</v>
      </c>
      <c r="F27">
        <v>1</v>
      </c>
      <c r="G27">
        <v>549315.59</v>
      </c>
      <c r="H27" t="s">
        <v>1781</v>
      </c>
      <c r="I27" t="s">
        <v>1819</v>
      </c>
      <c r="J27">
        <v>549315.59</v>
      </c>
      <c r="K27">
        <v>549315.59</v>
      </c>
      <c r="L27" t="s">
        <v>4778</v>
      </c>
      <c r="M27">
        <v>1</v>
      </c>
      <c r="N27" t="s">
        <v>4779</v>
      </c>
      <c r="O27" t="s">
        <v>4777</v>
      </c>
    </row>
    <row r="28" spans="1:15" x14ac:dyDescent="0.2">
      <c r="A28">
        <v>99</v>
      </c>
      <c r="B28" t="s">
        <v>2117</v>
      </c>
      <c r="C28" t="s">
        <v>4780</v>
      </c>
      <c r="D28" t="s">
        <v>498</v>
      </c>
      <c r="E28" t="s">
        <v>773</v>
      </c>
      <c r="F28">
        <v>1.2</v>
      </c>
      <c r="G28">
        <v>3250</v>
      </c>
      <c r="H28" t="s">
        <v>84</v>
      </c>
      <c r="I28" t="s">
        <v>1170</v>
      </c>
      <c r="J28">
        <v>3900</v>
      </c>
      <c r="K28">
        <v>85800</v>
      </c>
      <c r="L28" t="s">
        <v>424</v>
      </c>
      <c r="M28">
        <v>22</v>
      </c>
      <c r="N28" t="s">
        <v>4781</v>
      </c>
      <c r="O28" t="s">
        <v>4782</v>
      </c>
    </row>
    <row r="29" spans="1:15" x14ac:dyDescent="0.2">
      <c r="A29">
        <v>99</v>
      </c>
      <c r="B29" t="s">
        <v>2117</v>
      </c>
      <c r="C29" t="s">
        <v>4780</v>
      </c>
      <c r="D29" t="s">
        <v>4783</v>
      </c>
      <c r="E29" t="s">
        <v>4784</v>
      </c>
      <c r="F29">
        <v>1</v>
      </c>
      <c r="G29">
        <v>3250</v>
      </c>
      <c r="H29" t="s">
        <v>1170</v>
      </c>
      <c r="I29" t="s">
        <v>1170</v>
      </c>
      <c r="J29">
        <v>3250</v>
      </c>
      <c r="K29">
        <v>71500</v>
      </c>
      <c r="L29" t="s">
        <v>424</v>
      </c>
      <c r="M29">
        <v>22</v>
      </c>
      <c r="N29" t="s">
        <v>4785</v>
      </c>
      <c r="O29" t="s">
        <v>4782</v>
      </c>
    </row>
    <row r="30" spans="1:15" x14ac:dyDescent="0.2">
      <c r="A30">
        <v>99</v>
      </c>
      <c r="B30" t="s">
        <v>2117</v>
      </c>
      <c r="C30" t="s">
        <v>4786</v>
      </c>
      <c r="D30" t="s">
        <v>4787</v>
      </c>
      <c r="E30" t="s">
        <v>4788</v>
      </c>
      <c r="F30">
        <v>0.95450000000000002</v>
      </c>
      <c r="G30">
        <v>3850</v>
      </c>
      <c r="H30" t="s">
        <v>1170</v>
      </c>
      <c r="I30" t="s">
        <v>1170</v>
      </c>
      <c r="J30">
        <v>3674.8249999999998</v>
      </c>
      <c r="K30">
        <v>80846.149999999994</v>
      </c>
      <c r="L30" t="s">
        <v>428</v>
      </c>
      <c r="M30">
        <v>22</v>
      </c>
      <c r="N30" t="s">
        <v>4789</v>
      </c>
      <c r="O30" t="s">
        <v>4790</v>
      </c>
    </row>
    <row r="31" spans="1:15" x14ac:dyDescent="0.2">
      <c r="A31">
        <v>99</v>
      </c>
      <c r="B31" t="s">
        <v>2117</v>
      </c>
      <c r="C31" t="s">
        <v>4786</v>
      </c>
      <c r="D31" t="s">
        <v>498</v>
      </c>
      <c r="E31" t="s">
        <v>773</v>
      </c>
      <c r="F31">
        <v>1.2</v>
      </c>
      <c r="G31">
        <v>3674.8249999999998</v>
      </c>
      <c r="H31" t="s">
        <v>84</v>
      </c>
      <c r="I31" t="s">
        <v>1170</v>
      </c>
      <c r="J31">
        <v>4409.79</v>
      </c>
      <c r="K31">
        <v>97015.38</v>
      </c>
      <c r="L31" t="s">
        <v>428</v>
      </c>
      <c r="M31">
        <v>22</v>
      </c>
      <c r="N31" t="s">
        <v>4791</v>
      </c>
      <c r="O31" t="s">
        <v>4790</v>
      </c>
    </row>
    <row r="32" spans="1:15" x14ac:dyDescent="0.2">
      <c r="A32">
        <v>99</v>
      </c>
      <c r="B32" t="s">
        <v>2117</v>
      </c>
      <c r="C32" t="s">
        <v>1013</v>
      </c>
      <c r="D32" t="s">
        <v>498</v>
      </c>
      <c r="E32" t="s">
        <v>773</v>
      </c>
      <c r="F32">
        <v>1.2</v>
      </c>
      <c r="G32">
        <v>0</v>
      </c>
      <c r="H32" t="s">
        <v>84</v>
      </c>
      <c r="I32" t="s">
        <v>1170</v>
      </c>
      <c r="J32">
        <v>0</v>
      </c>
      <c r="K32">
        <v>0</v>
      </c>
      <c r="L32" t="s">
        <v>422</v>
      </c>
      <c r="M32">
        <v>0</v>
      </c>
      <c r="N32" t="s">
        <v>2143</v>
      </c>
      <c r="O32" t="s">
        <v>364</v>
      </c>
    </row>
    <row r="33" spans="1:15" x14ac:dyDescent="0.2">
      <c r="A33">
        <v>99</v>
      </c>
      <c r="B33" t="s">
        <v>2117</v>
      </c>
      <c r="C33" t="s">
        <v>1013</v>
      </c>
      <c r="D33" t="s">
        <v>463</v>
      </c>
      <c r="E33" t="s">
        <v>1219</v>
      </c>
      <c r="F33">
        <v>0</v>
      </c>
      <c r="G33">
        <v>3855.86</v>
      </c>
      <c r="H33" t="s">
        <v>1170</v>
      </c>
      <c r="I33" t="s">
        <v>1170</v>
      </c>
      <c r="J33">
        <v>0</v>
      </c>
      <c r="K33">
        <v>0</v>
      </c>
      <c r="L33" t="s">
        <v>422</v>
      </c>
      <c r="M33">
        <v>0</v>
      </c>
      <c r="N33" t="s">
        <v>2142</v>
      </c>
      <c r="O33" t="s">
        <v>364</v>
      </c>
    </row>
    <row r="34" spans="1:15" x14ac:dyDescent="0.2">
      <c r="A34">
        <v>99</v>
      </c>
      <c r="B34" t="s">
        <v>2117</v>
      </c>
      <c r="C34" t="s">
        <v>1027</v>
      </c>
      <c r="D34" t="s">
        <v>350</v>
      </c>
      <c r="E34" t="s">
        <v>1742</v>
      </c>
      <c r="F34">
        <v>2</v>
      </c>
      <c r="G34">
        <v>3000</v>
      </c>
      <c r="H34" t="s">
        <v>1170</v>
      </c>
      <c r="I34" t="s">
        <v>1170</v>
      </c>
      <c r="J34">
        <v>6000</v>
      </c>
      <c r="K34">
        <v>132000</v>
      </c>
      <c r="L34" t="s">
        <v>429</v>
      </c>
      <c r="M34">
        <v>22</v>
      </c>
      <c r="N34" t="s">
        <v>2144</v>
      </c>
      <c r="O34" t="s">
        <v>549</v>
      </c>
    </row>
    <row r="35" spans="1:15" x14ac:dyDescent="0.2">
      <c r="A35">
        <v>99</v>
      </c>
      <c r="B35" t="s">
        <v>2117</v>
      </c>
      <c r="C35" t="s">
        <v>1027</v>
      </c>
      <c r="D35" t="s">
        <v>498</v>
      </c>
      <c r="E35" t="s">
        <v>773</v>
      </c>
      <c r="F35">
        <v>1.2</v>
      </c>
      <c r="G35">
        <v>6000</v>
      </c>
      <c r="H35" t="s">
        <v>84</v>
      </c>
      <c r="I35" t="s">
        <v>1170</v>
      </c>
      <c r="J35">
        <v>7200</v>
      </c>
      <c r="K35">
        <v>158400</v>
      </c>
      <c r="L35" t="s">
        <v>429</v>
      </c>
      <c r="M35">
        <v>22</v>
      </c>
      <c r="N35" t="s">
        <v>2145</v>
      </c>
      <c r="O35" t="s">
        <v>549</v>
      </c>
    </row>
    <row r="36" spans="1:15" x14ac:dyDescent="0.2">
      <c r="A36">
        <v>99</v>
      </c>
      <c r="B36" t="s">
        <v>2117</v>
      </c>
      <c r="C36" t="s">
        <v>1088</v>
      </c>
      <c r="D36" t="s">
        <v>498</v>
      </c>
      <c r="E36" t="s">
        <v>773</v>
      </c>
      <c r="F36">
        <v>1.2</v>
      </c>
      <c r="G36">
        <v>6000</v>
      </c>
      <c r="H36" t="s">
        <v>84</v>
      </c>
      <c r="I36" t="s">
        <v>1170</v>
      </c>
      <c r="J36">
        <v>7200</v>
      </c>
      <c r="K36">
        <v>158400</v>
      </c>
      <c r="L36" t="s">
        <v>433</v>
      </c>
      <c r="M36">
        <v>22</v>
      </c>
      <c r="N36" t="s">
        <v>2147</v>
      </c>
      <c r="O36" t="s">
        <v>1041</v>
      </c>
    </row>
    <row r="37" spans="1:15" x14ac:dyDescent="0.2">
      <c r="A37">
        <v>99</v>
      </c>
      <c r="B37" t="s">
        <v>2117</v>
      </c>
      <c r="C37" t="s">
        <v>1088</v>
      </c>
      <c r="D37" t="s">
        <v>355</v>
      </c>
      <c r="E37" t="s">
        <v>677</v>
      </c>
      <c r="F37">
        <v>2</v>
      </c>
      <c r="G37">
        <v>3000</v>
      </c>
      <c r="H37" t="s">
        <v>1170</v>
      </c>
      <c r="I37" t="s">
        <v>1170</v>
      </c>
      <c r="J37">
        <v>6000</v>
      </c>
      <c r="K37">
        <v>132000</v>
      </c>
      <c r="L37" t="s">
        <v>433</v>
      </c>
      <c r="M37">
        <v>22</v>
      </c>
      <c r="N37" t="s">
        <v>2146</v>
      </c>
      <c r="O37" t="s">
        <v>1041</v>
      </c>
    </row>
    <row r="38" spans="1:15" x14ac:dyDescent="0.2">
      <c r="A38">
        <v>99</v>
      </c>
      <c r="B38" t="s">
        <v>2117</v>
      </c>
      <c r="C38" t="s">
        <v>1094</v>
      </c>
      <c r="D38" t="s">
        <v>498</v>
      </c>
      <c r="E38" t="s">
        <v>773</v>
      </c>
      <c r="F38">
        <v>1.2</v>
      </c>
      <c r="G38">
        <v>21941.8145</v>
      </c>
      <c r="H38" t="s">
        <v>84</v>
      </c>
      <c r="I38" t="s">
        <v>1170</v>
      </c>
      <c r="J38">
        <v>26330.1774</v>
      </c>
      <c r="K38">
        <v>579263.90280000004</v>
      </c>
      <c r="L38" t="s">
        <v>4792</v>
      </c>
      <c r="M38">
        <v>22</v>
      </c>
      <c r="N38" t="s">
        <v>2149</v>
      </c>
      <c r="O38" t="s">
        <v>92</v>
      </c>
    </row>
    <row r="39" spans="1:15" x14ac:dyDescent="0.2">
      <c r="A39">
        <v>99</v>
      </c>
      <c r="B39" t="s">
        <v>2117</v>
      </c>
      <c r="C39" t="s">
        <v>1094</v>
      </c>
      <c r="D39" t="s">
        <v>657</v>
      </c>
      <c r="E39" t="s">
        <v>736</v>
      </c>
      <c r="F39">
        <v>9.4544999999999995</v>
      </c>
      <c r="G39">
        <v>2320.7800000000002</v>
      </c>
      <c r="H39" t="s">
        <v>1170</v>
      </c>
      <c r="I39" t="s">
        <v>1170</v>
      </c>
      <c r="J39">
        <v>21941.81451</v>
      </c>
      <c r="K39">
        <v>482719.91921999998</v>
      </c>
      <c r="L39" t="s">
        <v>4792</v>
      </c>
      <c r="M39">
        <v>22</v>
      </c>
      <c r="N39" t="s">
        <v>2148</v>
      </c>
      <c r="O39" t="s">
        <v>92</v>
      </c>
    </row>
    <row r="40" spans="1:15" x14ac:dyDescent="0.2">
      <c r="A40">
        <v>99</v>
      </c>
      <c r="B40" t="s">
        <v>2117</v>
      </c>
      <c r="C40" t="s">
        <v>4793</v>
      </c>
      <c r="D40" t="s">
        <v>4794</v>
      </c>
      <c r="E40" t="s">
        <v>4795</v>
      </c>
      <c r="F40">
        <v>1</v>
      </c>
      <c r="G40">
        <v>91426.42</v>
      </c>
      <c r="H40" t="s">
        <v>1781</v>
      </c>
      <c r="I40" t="s">
        <v>1819</v>
      </c>
      <c r="J40">
        <v>91426.42</v>
      </c>
      <c r="K40">
        <v>91426.42</v>
      </c>
      <c r="L40" t="s">
        <v>4796</v>
      </c>
      <c r="M40">
        <v>1</v>
      </c>
      <c r="N40" t="s">
        <v>4797</v>
      </c>
      <c r="O40" t="s">
        <v>4795</v>
      </c>
    </row>
    <row r="41" spans="1:15" x14ac:dyDescent="0.2">
      <c r="A41">
        <v>99</v>
      </c>
      <c r="B41" t="s">
        <v>2117</v>
      </c>
      <c r="C41" t="s">
        <v>799</v>
      </c>
      <c r="D41" t="s">
        <v>505</v>
      </c>
      <c r="E41" t="s">
        <v>955</v>
      </c>
      <c r="F41">
        <v>52.5</v>
      </c>
      <c r="G41">
        <v>537.6</v>
      </c>
      <c r="H41" t="s">
        <v>1781</v>
      </c>
      <c r="I41" t="s">
        <v>1170</v>
      </c>
      <c r="J41">
        <v>28224</v>
      </c>
      <c r="K41">
        <v>620928</v>
      </c>
      <c r="L41" t="s">
        <v>627</v>
      </c>
      <c r="M41">
        <v>22</v>
      </c>
      <c r="N41" t="s">
        <v>2151</v>
      </c>
      <c r="O41" t="s">
        <v>366</v>
      </c>
    </row>
    <row r="42" spans="1:15" x14ac:dyDescent="0.2">
      <c r="A42">
        <v>99</v>
      </c>
      <c r="B42" t="s">
        <v>2117</v>
      </c>
      <c r="C42" t="s">
        <v>799</v>
      </c>
      <c r="D42" t="s">
        <v>502</v>
      </c>
      <c r="E42" t="s">
        <v>895</v>
      </c>
      <c r="F42">
        <v>52.5</v>
      </c>
      <c r="G42">
        <v>525</v>
      </c>
      <c r="H42" t="s">
        <v>1781</v>
      </c>
      <c r="I42" t="s">
        <v>1170</v>
      </c>
      <c r="J42">
        <v>27562.5</v>
      </c>
      <c r="K42">
        <v>606375</v>
      </c>
      <c r="L42" t="s">
        <v>627</v>
      </c>
      <c r="M42">
        <v>22</v>
      </c>
      <c r="N42" t="s">
        <v>2150</v>
      </c>
      <c r="O42" t="s">
        <v>366</v>
      </c>
    </row>
    <row r="43" spans="1:15" x14ac:dyDescent="0.2">
      <c r="A43">
        <v>99</v>
      </c>
      <c r="B43" t="s">
        <v>2117</v>
      </c>
      <c r="C43" t="s">
        <v>4798</v>
      </c>
      <c r="D43" t="s">
        <v>4799</v>
      </c>
      <c r="E43" t="s">
        <v>4800</v>
      </c>
      <c r="F43">
        <v>1</v>
      </c>
      <c r="G43">
        <v>125634.92</v>
      </c>
      <c r="H43" t="s">
        <v>1781</v>
      </c>
      <c r="I43" t="s">
        <v>1819</v>
      </c>
      <c r="J43">
        <v>125634.92</v>
      </c>
      <c r="K43">
        <v>125634.92</v>
      </c>
      <c r="L43" t="s">
        <v>4801</v>
      </c>
      <c r="M43">
        <v>1</v>
      </c>
      <c r="N43" t="s">
        <v>4802</v>
      </c>
      <c r="O43" t="s">
        <v>4800</v>
      </c>
    </row>
    <row r="44" spans="1:15" x14ac:dyDescent="0.2">
      <c r="A44">
        <v>99</v>
      </c>
      <c r="B44" t="s">
        <v>2117</v>
      </c>
      <c r="C44" t="s">
        <v>670</v>
      </c>
      <c r="D44" t="s">
        <v>573</v>
      </c>
      <c r="E44" t="s">
        <v>1717</v>
      </c>
      <c r="F44">
        <v>1</v>
      </c>
      <c r="G44">
        <v>27</v>
      </c>
      <c r="H44" t="s">
        <v>1819</v>
      </c>
      <c r="I44" t="s">
        <v>1152</v>
      </c>
      <c r="J44">
        <v>27</v>
      </c>
      <c r="K44">
        <v>574107.21</v>
      </c>
      <c r="L44" t="s">
        <v>1820</v>
      </c>
      <c r="M44">
        <v>21263.23</v>
      </c>
      <c r="N44" t="s">
        <v>2153</v>
      </c>
      <c r="O44" t="s">
        <v>248</v>
      </c>
    </row>
    <row r="45" spans="1:15" x14ac:dyDescent="0.2">
      <c r="A45">
        <v>99</v>
      </c>
      <c r="B45" t="s">
        <v>2117</v>
      </c>
      <c r="C45" t="s">
        <v>670</v>
      </c>
      <c r="D45" t="s">
        <v>570</v>
      </c>
      <c r="E45" t="s">
        <v>240</v>
      </c>
      <c r="F45">
        <v>1</v>
      </c>
      <c r="G45">
        <v>10.09</v>
      </c>
      <c r="H45" t="s">
        <v>1819</v>
      </c>
      <c r="I45" t="s">
        <v>1152</v>
      </c>
      <c r="J45">
        <v>10.09</v>
      </c>
      <c r="K45">
        <v>214545.99069999999</v>
      </c>
      <c r="L45" t="s">
        <v>1820</v>
      </c>
      <c r="M45">
        <v>21263.23</v>
      </c>
      <c r="N45" t="s">
        <v>2152</v>
      </c>
      <c r="O45" t="s">
        <v>248</v>
      </c>
    </row>
    <row r="46" spans="1:15" x14ac:dyDescent="0.2">
      <c r="A46">
        <v>99</v>
      </c>
      <c r="B46" t="s">
        <v>2117</v>
      </c>
      <c r="C46" t="s">
        <v>552</v>
      </c>
      <c r="D46" t="s">
        <v>474</v>
      </c>
      <c r="E46" t="s">
        <v>589</v>
      </c>
      <c r="F46">
        <v>2.6</v>
      </c>
      <c r="G46">
        <v>585</v>
      </c>
      <c r="H46" t="s">
        <v>1819</v>
      </c>
      <c r="I46" t="s">
        <v>1781</v>
      </c>
      <c r="J46">
        <v>1521</v>
      </c>
      <c r="K46">
        <v>79852.5</v>
      </c>
      <c r="L46" t="s">
        <v>1673</v>
      </c>
      <c r="M46">
        <v>52.5</v>
      </c>
      <c r="N46" t="s">
        <v>2154</v>
      </c>
      <c r="O46" t="s">
        <v>589</v>
      </c>
    </row>
    <row r="47" spans="1:15" x14ac:dyDescent="0.2">
      <c r="A47">
        <v>99</v>
      </c>
      <c r="B47" t="s">
        <v>2117</v>
      </c>
      <c r="C47" t="s">
        <v>457</v>
      </c>
      <c r="D47" t="s">
        <v>375</v>
      </c>
      <c r="E47" t="s">
        <v>757</v>
      </c>
      <c r="F47">
        <v>1</v>
      </c>
      <c r="G47">
        <v>700</v>
      </c>
      <c r="H47" t="s">
        <v>1170</v>
      </c>
      <c r="I47" t="s">
        <v>1170</v>
      </c>
      <c r="J47">
        <v>700</v>
      </c>
      <c r="K47">
        <v>15400</v>
      </c>
      <c r="L47" t="s">
        <v>1529</v>
      </c>
      <c r="M47">
        <v>22</v>
      </c>
      <c r="N47" t="s">
        <v>2155</v>
      </c>
      <c r="O47" t="s">
        <v>757</v>
      </c>
    </row>
    <row r="48" spans="1:15" x14ac:dyDescent="0.2">
      <c r="A48">
        <v>99</v>
      </c>
      <c r="B48" t="s">
        <v>2117</v>
      </c>
      <c r="C48" t="s">
        <v>892</v>
      </c>
      <c r="D48" t="s">
        <v>1661</v>
      </c>
      <c r="E48" t="s">
        <v>1558</v>
      </c>
      <c r="F48">
        <v>1</v>
      </c>
      <c r="G48">
        <v>35800</v>
      </c>
      <c r="H48" t="s">
        <v>1819</v>
      </c>
      <c r="I48" t="s">
        <v>1819</v>
      </c>
      <c r="J48">
        <v>35800</v>
      </c>
      <c r="K48">
        <v>35800</v>
      </c>
      <c r="L48" t="s">
        <v>1870</v>
      </c>
      <c r="M48">
        <v>1</v>
      </c>
      <c r="N48" t="s">
        <v>2156</v>
      </c>
      <c r="O48" t="s">
        <v>768</v>
      </c>
    </row>
    <row r="49" spans="1:15" x14ac:dyDescent="0.2">
      <c r="A49">
        <v>99</v>
      </c>
      <c r="B49" t="s">
        <v>2117</v>
      </c>
      <c r="C49" t="s">
        <v>755</v>
      </c>
      <c r="D49" t="s">
        <v>1522</v>
      </c>
      <c r="E49" t="s">
        <v>561</v>
      </c>
      <c r="F49">
        <v>1</v>
      </c>
      <c r="G49">
        <v>100753.86</v>
      </c>
      <c r="H49" t="s">
        <v>1819</v>
      </c>
      <c r="I49" t="s">
        <v>1819</v>
      </c>
      <c r="J49">
        <v>100753.86</v>
      </c>
      <c r="K49">
        <v>100753.86</v>
      </c>
      <c r="L49" t="s">
        <v>1764</v>
      </c>
      <c r="M49">
        <v>1</v>
      </c>
      <c r="N49" t="s">
        <v>2157</v>
      </c>
      <c r="O49" t="s">
        <v>561</v>
      </c>
    </row>
    <row r="50" spans="1:15" x14ac:dyDescent="0.2">
      <c r="A50">
        <v>99</v>
      </c>
      <c r="B50" t="s">
        <v>2117</v>
      </c>
      <c r="C50" t="s">
        <v>634</v>
      </c>
      <c r="D50" t="s">
        <v>1542</v>
      </c>
      <c r="E50" t="s">
        <v>540</v>
      </c>
      <c r="F50">
        <v>1</v>
      </c>
      <c r="G50">
        <v>15848</v>
      </c>
      <c r="H50" t="s">
        <v>1819</v>
      </c>
      <c r="I50" t="s">
        <v>1819</v>
      </c>
      <c r="J50">
        <v>15848</v>
      </c>
      <c r="K50">
        <v>15848</v>
      </c>
      <c r="L50" t="s">
        <v>1616</v>
      </c>
      <c r="M50">
        <v>1</v>
      </c>
      <c r="N50" t="s">
        <v>2166</v>
      </c>
      <c r="O50" t="s">
        <v>438</v>
      </c>
    </row>
    <row r="51" spans="1:15" x14ac:dyDescent="0.2">
      <c r="A51">
        <v>99</v>
      </c>
      <c r="B51" t="s">
        <v>2117</v>
      </c>
      <c r="C51" t="s">
        <v>634</v>
      </c>
      <c r="D51" t="s">
        <v>1534</v>
      </c>
      <c r="E51" t="s">
        <v>1948</v>
      </c>
      <c r="F51">
        <v>1</v>
      </c>
      <c r="G51">
        <v>22000</v>
      </c>
      <c r="H51" t="s">
        <v>1819</v>
      </c>
      <c r="I51" t="s">
        <v>1819</v>
      </c>
      <c r="J51">
        <v>22000</v>
      </c>
      <c r="K51">
        <v>22000</v>
      </c>
      <c r="L51" t="s">
        <v>1616</v>
      </c>
      <c r="M51">
        <v>1</v>
      </c>
      <c r="N51" t="s">
        <v>2161</v>
      </c>
      <c r="O51" t="s">
        <v>438</v>
      </c>
    </row>
    <row r="52" spans="1:15" x14ac:dyDescent="0.2">
      <c r="A52">
        <v>99</v>
      </c>
      <c r="B52" t="s">
        <v>2117</v>
      </c>
      <c r="C52" t="s">
        <v>634</v>
      </c>
      <c r="D52" t="s">
        <v>1538</v>
      </c>
      <c r="E52" t="s">
        <v>2163</v>
      </c>
      <c r="F52">
        <v>1</v>
      </c>
      <c r="G52">
        <v>16200</v>
      </c>
      <c r="H52" t="s">
        <v>1819</v>
      </c>
      <c r="I52" t="s">
        <v>1819</v>
      </c>
      <c r="J52">
        <v>16200</v>
      </c>
      <c r="K52">
        <v>16200</v>
      </c>
      <c r="L52" t="s">
        <v>1616</v>
      </c>
      <c r="M52">
        <v>1</v>
      </c>
      <c r="N52" t="s">
        <v>2164</v>
      </c>
      <c r="O52" t="s">
        <v>438</v>
      </c>
    </row>
    <row r="53" spans="1:15" x14ac:dyDescent="0.2">
      <c r="A53">
        <v>99</v>
      </c>
      <c r="B53" t="s">
        <v>2117</v>
      </c>
      <c r="C53" t="s">
        <v>634</v>
      </c>
      <c r="D53" t="s">
        <v>1536</v>
      </c>
      <c r="E53" t="s">
        <v>1355</v>
      </c>
      <c r="F53">
        <v>1</v>
      </c>
      <c r="G53">
        <v>27500</v>
      </c>
      <c r="H53" t="s">
        <v>1819</v>
      </c>
      <c r="I53" t="s">
        <v>1819</v>
      </c>
      <c r="J53">
        <v>27500</v>
      </c>
      <c r="K53">
        <v>27500</v>
      </c>
      <c r="L53" t="s">
        <v>1616</v>
      </c>
      <c r="M53">
        <v>1</v>
      </c>
      <c r="N53" t="s">
        <v>2162</v>
      </c>
      <c r="O53" t="s">
        <v>438</v>
      </c>
    </row>
    <row r="54" spans="1:15" x14ac:dyDescent="0.2">
      <c r="A54">
        <v>99</v>
      </c>
      <c r="B54" t="s">
        <v>2117</v>
      </c>
      <c r="C54" t="s">
        <v>634</v>
      </c>
      <c r="D54" t="s">
        <v>1541</v>
      </c>
      <c r="E54" t="s">
        <v>962</v>
      </c>
      <c r="F54">
        <v>1</v>
      </c>
      <c r="G54">
        <v>160000</v>
      </c>
      <c r="H54" t="s">
        <v>1819</v>
      </c>
      <c r="I54" t="s">
        <v>1819</v>
      </c>
      <c r="J54">
        <v>160000</v>
      </c>
      <c r="K54">
        <v>160000</v>
      </c>
      <c r="L54" t="s">
        <v>1616</v>
      </c>
      <c r="M54">
        <v>1</v>
      </c>
      <c r="N54" t="s">
        <v>2165</v>
      </c>
      <c r="O54" t="s">
        <v>438</v>
      </c>
    </row>
    <row r="55" spans="1:15" x14ac:dyDescent="0.2">
      <c r="A55">
        <v>99</v>
      </c>
      <c r="B55" t="s">
        <v>2117</v>
      </c>
      <c r="C55" t="s">
        <v>634</v>
      </c>
      <c r="D55" t="s">
        <v>1528</v>
      </c>
      <c r="E55" t="s">
        <v>2159</v>
      </c>
      <c r="F55">
        <v>1</v>
      </c>
      <c r="G55">
        <v>108178.24000000001</v>
      </c>
      <c r="H55" t="s">
        <v>1819</v>
      </c>
      <c r="I55" t="s">
        <v>1819</v>
      </c>
      <c r="J55">
        <v>108178.24000000001</v>
      </c>
      <c r="K55">
        <v>108178.24000000001</v>
      </c>
      <c r="L55" t="s">
        <v>1616</v>
      </c>
      <c r="M55">
        <v>1</v>
      </c>
      <c r="N55" t="s">
        <v>2160</v>
      </c>
      <c r="O55" t="s">
        <v>438</v>
      </c>
    </row>
    <row r="56" spans="1:15" x14ac:dyDescent="0.2">
      <c r="A56">
        <v>99</v>
      </c>
      <c r="B56" t="s">
        <v>2117</v>
      </c>
      <c r="C56" t="s">
        <v>634</v>
      </c>
      <c r="D56" t="s">
        <v>1470</v>
      </c>
      <c r="E56" t="s">
        <v>123</v>
      </c>
      <c r="F56">
        <v>1</v>
      </c>
      <c r="G56">
        <v>22270</v>
      </c>
      <c r="H56" t="s">
        <v>1819</v>
      </c>
      <c r="I56" t="s">
        <v>1819</v>
      </c>
      <c r="J56">
        <v>22270</v>
      </c>
      <c r="K56">
        <v>22270</v>
      </c>
      <c r="L56" t="s">
        <v>1616</v>
      </c>
      <c r="M56">
        <v>1</v>
      </c>
      <c r="N56" t="s">
        <v>2158</v>
      </c>
      <c r="O56" t="s">
        <v>438</v>
      </c>
    </row>
    <row r="57" spans="1:15" x14ac:dyDescent="0.2">
      <c r="A57">
        <v>99</v>
      </c>
      <c r="B57" t="s">
        <v>2117</v>
      </c>
      <c r="C57" t="s">
        <v>636</v>
      </c>
      <c r="D57" t="s">
        <v>1387</v>
      </c>
      <c r="E57" t="s">
        <v>1932</v>
      </c>
      <c r="F57">
        <v>1</v>
      </c>
      <c r="G57">
        <v>9671.09</v>
      </c>
      <c r="H57" t="s">
        <v>1819</v>
      </c>
      <c r="I57" t="s">
        <v>1819</v>
      </c>
      <c r="J57">
        <v>9671.09</v>
      </c>
      <c r="K57">
        <v>9671.09</v>
      </c>
      <c r="L57" t="s">
        <v>1610</v>
      </c>
      <c r="M57">
        <v>1</v>
      </c>
      <c r="N57" t="s">
        <v>2167</v>
      </c>
      <c r="O57" t="s">
        <v>1812</v>
      </c>
    </row>
    <row r="58" spans="1:15" x14ac:dyDescent="0.2">
      <c r="A58">
        <v>99</v>
      </c>
      <c r="B58" t="s">
        <v>2117</v>
      </c>
      <c r="C58" t="s">
        <v>636</v>
      </c>
      <c r="D58" t="s">
        <v>1451</v>
      </c>
      <c r="E58" t="s">
        <v>363</v>
      </c>
      <c r="F58">
        <v>1</v>
      </c>
      <c r="G58">
        <v>7000</v>
      </c>
      <c r="H58" t="s">
        <v>1819</v>
      </c>
      <c r="I58" t="s">
        <v>1819</v>
      </c>
      <c r="J58">
        <v>7000</v>
      </c>
      <c r="K58">
        <v>7000</v>
      </c>
      <c r="L58" t="s">
        <v>1610</v>
      </c>
      <c r="M58">
        <v>1</v>
      </c>
      <c r="N58" t="s">
        <v>2172</v>
      </c>
      <c r="O58" t="s">
        <v>1812</v>
      </c>
    </row>
    <row r="59" spans="1:15" x14ac:dyDescent="0.2">
      <c r="A59">
        <v>99</v>
      </c>
      <c r="B59" t="s">
        <v>2117</v>
      </c>
      <c r="C59" t="s">
        <v>636</v>
      </c>
      <c r="D59" t="s">
        <v>1456</v>
      </c>
      <c r="E59" t="s">
        <v>1512</v>
      </c>
      <c r="F59">
        <v>1</v>
      </c>
      <c r="G59">
        <v>2200</v>
      </c>
      <c r="H59" t="s">
        <v>1819</v>
      </c>
      <c r="I59" t="s">
        <v>1819</v>
      </c>
      <c r="J59">
        <v>2200</v>
      </c>
      <c r="K59">
        <v>2200</v>
      </c>
      <c r="L59" t="s">
        <v>1610</v>
      </c>
      <c r="M59">
        <v>1</v>
      </c>
      <c r="N59" t="s">
        <v>2173</v>
      </c>
      <c r="O59" t="s">
        <v>1812</v>
      </c>
    </row>
    <row r="60" spans="1:15" x14ac:dyDescent="0.2">
      <c r="A60">
        <v>99</v>
      </c>
      <c r="B60" t="s">
        <v>2117</v>
      </c>
      <c r="C60" t="s">
        <v>636</v>
      </c>
      <c r="D60" t="s">
        <v>1397</v>
      </c>
      <c r="E60" t="s">
        <v>146</v>
      </c>
      <c r="F60">
        <v>1</v>
      </c>
      <c r="G60">
        <v>5000</v>
      </c>
      <c r="H60" t="s">
        <v>1819</v>
      </c>
      <c r="I60" t="s">
        <v>1819</v>
      </c>
      <c r="J60">
        <v>5000</v>
      </c>
      <c r="K60">
        <v>5000</v>
      </c>
      <c r="L60" t="s">
        <v>1610</v>
      </c>
      <c r="M60">
        <v>1</v>
      </c>
      <c r="N60" t="s">
        <v>2169</v>
      </c>
      <c r="O60" t="s">
        <v>1812</v>
      </c>
    </row>
    <row r="61" spans="1:15" x14ac:dyDescent="0.2">
      <c r="A61">
        <v>99</v>
      </c>
      <c r="B61" t="s">
        <v>2117</v>
      </c>
      <c r="C61" t="s">
        <v>636</v>
      </c>
      <c r="D61" t="s">
        <v>1393</v>
      </c>
      <c r="E61" t="s">
        <v>562</v>
      </c>
      <c r="F61">
        <v>1</v>
      </c>
      <c r="G61">
        <v>5000</v>
      </c>
      <c r="H61" t="s">
        <v>1819</v>
      </c>
      <c r="I61" t="s">
        <v>1819</v>
      </c>
      <c r="J61">
        <v>5000</v>
      </c>
      <c r="K61">
        <v>5000</v>
      </c>
      <c r="L61" t="s">
        <v>1610</v>
      </c>
      <c r="M61">
        <v>1</v>
      </c>
      <c r="N61" t="s">
        <v>2168</v>
      </c>
      <c r="O61" t="s">
        <v>1812</v>
      </c>
    </row>
    <row r="62" spans="1:15" x14ac:dyDescent="0.2">
      <c r="A62">
        <v>99</v>
      </c>
      <c r="B62" t="s">
        <v>2117</v>
      </c>
      <c r="C62" t="s">
        <v>636</v>
      </c>
      <c r="D62" t="s">
        <v>1403</v>
      </c>
      <c r="E62" t="s">
        <v>2170</v>
      </c>
      <c r="F62">
        <v>1</v>
      </c>
      <c r="G62">
        <v>5000</v>
      </c>
      <c r="H62" t="s">
        <v>1819</v>
      </c>
      <c r="I62" t="s">
        <v>1819</v>
      </c>
      <c r="J62">
        <v>5000</v>
      </c>
      <c r="K62">
        <v>5000</v>
      </c>
      <c r="L62" t="s">
        <v>1610</v>
      </c>
      <c r="M62">
        <v>1</v>
      </c>
      <c r="N62" t="s">
        <v>2171</v>
      </c>
      <c r="O62" t="s">
        <v>1812</v>
      </c>
    </row>
    <row r="63" spans="1:15" x14ac:dyDescent="0.2">
      <c r="A63">
        <v>99</v>
      </c>
      <c r="B63" t="s">
        <v>2117</v>
      </c>
      <c r="C63" t="s">
        <v>636</v>
      </c>
      <c r="D63" t="s">
        <v>1460</v>
      </c>
      <c r="E63" t="s">
        <v>2174</v>
      </c>
      <c r="F63">
        <v>1</v>
      </c>
      <c r="G63">
        <v>1500</v>
      </c>
      <c r="H63" t="s">
        <v>1819</v>
      </c>
      <c r="I63" t="s">
        <v>1819</v>
      </c>
      <c r="J63">
        <v>1500</v>
      </c>
      <c r="K63">
        <v>1500</v>
      </c>
      <c r="L63" t="s">
        <v>1610</v>
      </c>
      <c r="M63">
        <v>1</v>
      </c>
      <c r="N63" t="s">
        <v>2175</v>
      </c>
      <c r="O63" t="s">
        <v>1812</v>
      </c>
    </row>
    <row r="64" spans="1:15" x14ac:dyDescent="0.2">
      <c r="A64">
        <v>99</v>
      </c>
      <c r="B64" t="s">
        <v>2117</v>
      </c>
      <c r="C64" t="s">
        <v>638</v>
      </c>
      <c r="D64" t="s">
        <v>4803</v>
      </c>
      <c r="E64" t="s">
        <v>4804</v>
      </c>
      <c r="F64">
        <v>5989</v>
      </c>
      <c r="G64">
        <v>23.5</v>
      </c>
      <c r="H64" t="s">
        <v>1781</v>
      </c>
      <c r="I64" t="s">
        <v>1153</v>
      </c>
      <c r="J64">
        <v>140741.5</v>
      </c>
      <c r="K64">
        <v>140741.5</v>
      </c>
      <c r="L64" t="s">
        <v>1618</v>
      </c>
      <c r="M64">
        <v>1</v>
      </c>
      <c r="N64" t="s">
        <v>4805</v>
      </c>
      <c r="O64" t="s">
        <v>2176</v>
      </c>
    </row>
    <row r="65" spans="1:15" x14ac:dyDescent="0.2">
      <c r="A65">
        <v>99</v>
      </c>
      <c r="B65" t="s">
        <v>2117</v>
      </c>
      <c r="C65" t="s">
        <v>638</v>
      </c>
      <c r="D65" t="s">
        <v>4806</v>
      </c>
      <c r="E65" t="s">
        <v>4807</v>
      </c>
      <c r="F65">
        <v>65</v>
      </c>
      <c r="G65">
        <v>240</v>
      </c>
      <c r="H65" t="s">
        <v>1781</v>
      </c>
      <c r="I65" t="s">
        <v>1153</v>
      </c>
      <c r="J65">
        <v>15600</v>
      </c>
      <c r="K65">
        <v>15600</v>
      </c>
      <c r="L65" t="s">
        <v>1618</v>
      </c>
      <c r="M65">
        <v>1</v>
      </c>
      <c r="N65" t="s">
        <v>4808</v>
      </c>
      <c r="O65" t="s">
        <v>2176</v>
      </c>
    </row>
    <row r="66" spans="1:15" x14ac:dyDescent="0.2">
      <c r="A66">
        <v>99</v>
      </c>
      <c r="B66" t="s">
        <v>2117</v>
      </c>
      <c r="C66" t="s">
        <v>643</v>
      </c>
      <c r="D66" t="s">
        <v>439</v>
      </c>
      <c r="E66" t="s">
        <v>1691</v>
      </c>
      <c r="F66">
        <v>24</v>
      </c>
      <c r="G66">
        <v>177.67</v>
      </c>
      <c r="H66" t="s">
        <v>1819</v>
      </c>
      <c r="I66" t="s">
        <v>1819</v>
      </c>
      <c r="J66">
        <v>4264.08</v>
      </c>
      <c r="K66">
        <v>4264.08</v>
      </c>
      <c r="L66" t="s">
        <v>1612</v>
      </c>
      <c r="M66">
        <v>1</v>
      </c>
      <c r="N66" t="s">
        <v>2177</v>
      </c>
      <c r="O66" t="s">
        <v>663</v>
      </c>
    </row>
    <row r="67" spans="1:15" x14ac:dyDescent="0.2">
      <c r="A67">
        <v>99</v>
      </c>
      <c r="B67" t="s">
        <v>2117</v>
      </c>
      <c r="C67" t="s">
        <v>643</v>
      </c>
      <c r="D67" t="s">
        <v>440</v>
      </c>
      <c r="E67" t="s">
        <v>553</v>
      </c>
      <c r="F67">
        <v>2</v>
      </c>
      <c r="G67">
        <v>3890</v>
      </c>
      <c r="H67" t="s">
        <v>1819</v>
      </c>
      <c r="I67" t="s">
        <v>1819</v>
      </c>
      <c r="J67">
        <v>7780</v>
      </c>
      <c r="K67">
        <v>7780</v>
      </c>
      <c r="L67" t="s">
        <v>1612</v>
      </c>
      <c r="M67">
        <v>1</v>
      </c>
      <c r="N67" t="s">
        <v>2178</v>
      </c>
      <c r="O67" t="s">
        <v>663</v>
      </c>
    </row>
    <row r="68" spans="1:15" x14ac:dyDescent="0.2">
      <c r="A68">
        <v>99</v>
      </c>
      <c r="B68" t="s">
        <v>2117</v>
      </c>
      <c r="C68" t="s">
        <v>643</v>
      </c>
      <c r="D68" t="s">
        <v>483</v>
      </c>
      <c r="E68" t="s">
        <v>1032</v>
      </c>
      <c r="F68">
        <v>1</v>
      </c>
      <c r="G68">
        <v>12150</v>
      </c>
      <c r="H68" t="s">
        <v>1819</v>
      </c>
      <c r="I68" t="s">
        <v>1819</v>
      </c>
      <c r="J68">
        <v>12150</v>
      </c>
      <c r="K68">
        <v>12150</v>
      </c>
      <c r="L68" t="s">
        <v>1612</v>
      </c>
      <c r="M68">
        <v>1</v>
      </c>
      <c r="N68" t="s">
        <v>2179</v>
      </c>
      <c r="O68" t="s">
        <v>663</v>
      </c>
    </row>
    <row r="69" spans="1:15" x14ac:dyDescent="0.2">
      <c r="A69">
        <v>99</v>
      </c>
      <c r="B69" t="s">
        <v>2117</v>
      </c>
      <c r="C69" t="s">
        <v>4809</v>
      </c>
      <c r="D69" t="s">
        <v>4810</v>
      </c>
      <c r="E69" t="s">
        <v>4811</v>
      </c>
      <c r="F69">
        <v>45</v>
      </c>
      <c r="G69">
        <v>90</v>
      </c>
      <c r="H69" t="s">
        <v>1781</v>
      </c>
      <c r="I69" t="s">
        <v>1819</v>
      </c>
      <c r="J69">
        <v>4050</v>
      </c>
      <c r="K69">
        <v>4050</v>
      </c>
      <c r="L69" t="s">
        <v>4812</v>
      </c>
      <c r="M69">
        <v>1</v>
      </c>
      <c r="N69" t="s">
        <v>4813</v>
      </c>
      <c r="O69" t="s">
        <v>4814</v>
      </c>
    </row>
    <row r="70" spans="1:15" x14ac:dyDescent="0.2">
      <c r="A70">
        <v>99</v>
      </c>
      <c r="B70" t="s">
        <v>2117</v>
      </c>
      <c r="C70" t="s">
        <v>4809</v>
      </c>
      <c r="D70" t="s">
        <v>4815</v>
      </c>
      <c r="E70" t="s">
        <v>4816</v>
      </c>
      <c r="F70">
        <v>45</v>
      </c>
      <c r="G70">
        <v>330</v>
      </c>
      <c r="H70" t="s">
        <v>1781</v>
      </c>
      <c r="I70" t="s">
        <v>1819</v>
      </c>
      <c r="J70">
        <v>14850</v>
      </c>
      <c r="K70">
        <v>14850</v>
      </c>
      <c r="L70" t="s">
        <v>4812</v>
      </c>
      <c r="M70">
        <v>1</v>
      </c>
      <c r="N70" t="s">
        <v>4817</v>
      </c>
      <c r="O70" t="s">
        <v>4814</v>
      </c>
    </row>
    <row r="71" spans="1:15" x14ac:dyDescent="0.2">
      <c r="A71">
        <v>99</v>
      </c>
      <c r="B71" t="s">
        <v>2117</v>
      </c>
      <c r="C71" t="s">
        <v>529</v>
      </c>
      <c r="D71" t="s">
        <v>1477</v>
      </c>
      <c r="E71" t="s">
        <v>11</v>
      </c>
      <c r="F71">
        <v>1</v>
      </c>
      <c r="G71">
        <v>4.5289000000000001</v>
      </c>
      <c r="H71" t="s">
        <v>1819</v>
      </c>
      <c r="I71" t="s">
        <v>1152</v>
      </c>
      <c r="J71">
        <v>4.5289000000000001</v>
      </c>
      <c r="K71">
        <v>96299.042346999995</v>
      </c>
      <c r="L71" t="s">
        <v>1464</v>
      </c>
      <c r="M71">
        <v>21263.23</v>
      </c>
      <c r="N71" t="s">
        <v>2184</v>
      </c>
      <c r="O71" t="s">
        <v>407</v>
      </c>
    </row>
    <row r="72" spans="1:15" x14ac:dyDescent="0.2">
      <c r="A72">
        <v>99</v>
      </c>
      <c r="B72" t="s">
        <v>2117</v>
      </c>
      <c r="C72" t="s">
        <v>529</v>
      </c>
      <c r="D72" t="s">
        <v>1320</v>
      </c>
      <c r="E72" t="s">
        <v>911</v>
      </c>
      <c r="F72">
        <v>1</v>
      </c>
      <c r="G72">
        <v>6.9408000000000003</v>
      </c>
      <c r="H72" t="s">
        <v>1819</v>
      </c>
      <c r="I72" t="s">
        <v>1152</v>
      </c>
      <c r="J72">
        <v>6.9408000000000003</v>
      </c>
      <c r="K72">
        <v>147583.826784</v>
      </c>
      <c r="L72" t="s">
        <v>1464</v>
      </c>
      <c r="M72">
        <v>21263.23</v>
      </c>
      <c r="N72" t="s">
        <v>2201</v>
      </c>
      <c r="O72" t="s">
        <v>407</v>
      </c>
    </row>
    <row r="73" spans="1:15" x14ac:dyDescent="0.2">
      <c r="A73">
        <v>99</v>
      </c>
      <c r="B73" t="s">
        <v>2117</v>
      </c>
      <c r="C73" t="s">
        <v>529</v>
      </c>
      <c r="D73" t="s">
        <v>1459</v>
      </c>
      <c r="E73" t="s">
        <v>2192</v>
      </c>
      <c r="F73">
        <v>1</v>
      </c>
      <c r="G73">
        <v>0</v>
      </c>
      <c r="H73" t="s">
        <v>1819</v>
      </c>
      <c r="I73" t="s">
        <v>1152</v>
      </c>
      <c r="J73">
        <v>0</v>
      </c>
      <c r="K73">
        <v>0</v>
      </c>
      <c r="L73" t="s">
        <v>1464</v>
      </c>
      <c r="M73">
        <v>21263.23</v>
      </c>
      <c r="N73" t="s">
        <v>2193</v>
      </c>
      <c r="O73" t="s">
        <v>407</v>
      </c>
    </row>
    <row r="74" spans="1:15" x14ac:dyDescent="0.2">
      <c r="A74">
        <v>99</v>
      </c>
      <c r="B74" t="s">
        <v>2117</v>
      </c>
      <c r="C74" t="s">
        <v>529</v>
      </c>
      <c r="D74" t="s">
        <v>1341</v>
      </c>
      <c r="E74" t="s">
        <v>825</v>
      </c>
      <c r="F74">
        <v>1</v>
      </c>
      <c r="G74">
        <v>0</v>
      </c>
      <c r="H74" t="s">
        <v>1819</v>
      </c>
      <c r="I74" t="s">
        <v>1152</v>
      </c>
      <c r="J74">
        <v>0</v>
      </c>
      <c r="K74">
        <v>0</v>
      </c>
      <c r="L74" t="s">
        <v>1464</v>
      </c>
      <c r="M74">
        <v>21263.23</v>
      </c>
      <c r="N74" t="s">
        <v>2196</v>
      </c>
      <c r="O74" t="s">
        <v>407</v>
      </c>
    </row>
    <row r="75" spans="1:15" x14ac:dyDescent="0.2">
      <c r="A75">
        <v>99</v>
      </c>
      <c r="B75" t="s">
        <v>2117</v>
      </c>
      <c r="C75" t="s">
        <v>529</v>
      </c>
      <c r="D75" t="s">
        <v>1345</v>
      </c>
      <c r="E75" t="s">
        <v>1849</v>
      </c>
      <c r="F75">
        <v>1</v>
      </c>
      <c r="G75">
        <v>0.56440000000000001</v>
      </c>
      <c r="H75" t="s">
        <v>1819</v>
      </c>
      <c r="I75" t="s">
        <v>1152</v>
      </c>
      <c r="J75">
        <v>0.56440000000000001</v>
      </c>
      <c r="K75">
        <v>12000.967011999999</v>
      </c>
      <c r="L75" t="s">
        <v>1464</v>
      </c>
      <c r="M75">
        <v>21263.23</v>
      </c>
      <c r="N75" t="s">
        <v>2197</v>
      </c>
      <c r="O75" t="s">
        <v>407</v>
      </c>
    </row>
    <row r="76" spans="1:15" x14ac:dyDescent="0.2">
      <c r="A76">
        <v>99</v>
      </c>
      <c r="B76" t="s">
        <v>2117</v>
      </c>
      <c r="C76" t="s">
        <v>529</v>
      </c>
      <c r="D76" t="s">
        <v>1338</v>
      </c>
      <c r="E76" t="s">
        <v>198</v>
      </c>
      <c r="F76">
        <v>1</v>
      </c>
      <c r="G76">
        <v>27.3</v>
      </c>
      <c r="H76" t="s">
        <v>1819</v>
      </c>
      <c r="I76" t="s">
        <v>1152</v>
      </c>
      <c r="J76">
        <v>27.3</v>
      </c>
      <c r="K76">
        <v>580486.179</v>
      </c>
      <c r="L76" t="s">
        <v>1464</v>
      </c>
      <c r="M76">
        <v>21263.23</v>
      </c>
      <c r="N76" t="s">
        <v>2195</v>
      </c>
      <c r="O76" t="s">
        <v>407</v>
      </c>
    </row>
    <row r="77" spans="1:15" x14ac:dyDescent="0.2">
      <c r="A77">
        <v>99</v>
      </c>
      <c r="B77" t="s">
        <v>2117</v>
      </c>
      <c r="C77" t="s">
        <v>529</v>
      </c>
      <c r="D77" t="s">
        <v>1386</v>
      </c>
      <c r="E77" t="s">
        <v>411</v>
      </c>
      <c r="F77">
        <v>1</v>
      </c>
      <c r="G77">
        <v>5.0701999999999998</v>
      </c>
      <c r="H77" t="s">
        <v>1819</v>
      </c>
      <c r="I77" t="s">
        <v>1152</v>
      </c>
      <c r="J77">
        <v>5.0701999999999998</v>
      </c>
      <c r="K77">
        <v>107808.828746</v>
      </c>
      <c r="L77" t="s">
        <v>1464</v>
      </c>
      <c r="M77">
        <v>21263.23</v>
      </c>
      <c r="N77" t="s">
        <v>2198</v>
      </c>
      <c r="O77" t="s">
        <v>407</v>
      </c>
    </row>
    <row r="78" spans="1:15" x14ac:dyDescent="0.2">
      <c r="A78">
        <v>99</v>
      </c>
      <c r="B78" t="s">
        <v>2117</v>
      </c>
      <c r="C78" t="s">
        <v>529</v>
      </c>
      <c r="D78" t="s">
        <v>1335</v>
      </c>
      <c r="E78" t="s">
        <v>705</v>
      </c>
      <c r="F78">
        <v>1</v>
      </c>
      <c r="G78">
        <v>0.75239999999999996</v>
      </c>
      <c r="H78" t="s">
        <v>1819</v>
      </c>
      <c r="I78" t="s">
        <v>1152</v>
      </c>
      <c r="J78">
        <v>0.75239999999999996</v>
      </c>
      <c r="K78">
        <v>15998.454252</v>
      </c>
      <c r="L78" t="s">
        <v>1464</v>
      </c>
      <c r="M78">
        <v>21263.23</v>
      </c>
      <c r="N78" t="s">
        <v>2194</v>
      </c>
      <c r="O78" t="s">
        <v>407</v>
      </c>
    </row>
    <row r="79" spans="1:15" x14ac:dyDescent="0.2">
      <c r="A79">
        <v>99</v>
      </c>
      <c r="B79" t="s">
        <v>2117</v>
      </c>
      <c r="C79" t="s">
        <v>529</v>
      </c>
      <c r="D79" t="s">
        <v>1324</v>
      </c>
      <c r="E79" t="s">
        <v>470</v>
      </c>
      <c r="F79">
        <v>1</v>
      </c>
      <c r="G79">
        <v>6.2694000000000001</v>
      </c>
      <c r="H79" t="s">
        <v>1819</v>
      </c>
      <c r="I79" t="s">
        <v>1152</v>
      </c>
      <c r="J79">
        <v>6.2694000000000001</v>
      </c>
      <c r="K79">
        <v>133307.694162</v>
      </c>
      <c r="L79" t="s">
        <v>1464</v>
      </c>
      <c r="M79">
        <v>21263.23</v>
      </c>
      <c r="N79" t="s">
        <v>2203</v>
      </c>
      <c r="O79" t="s">
        <v>407</v>
      </c>
    </row>
    <row r="80" spans="1:15" x14ac:dyDescent="0.2">
      <c r="A80">
        <v>99</v>
      </c>
      <c r="B80" t="s">
        <v>2117</v>
      </c>
      <c r="C80" t="s">
        <v>529</v>
      </c>
      <c r="D80" t="s">
        <v>1392</v>
      </c>
      <c r="E80" t="s">
        <v>1151</v>
      </c>
      <c r="F80">
        <v>1</v>
      </c>
      <c r="G80">
        <v>1.6931</v>
      </c>
      <c r="H80" t="s">
        <v>1819</v>
      </c>
      <c r="I80" t="s">
        <v>1152</v>
      </c>
      <c r="J80">
        <v>1.6931</v>
      </c>
      <c r="K80">
        <v>36000.774712999999</v>
      </c>
      <c r="L80" t="s">
        <v>1464</v>
      </c>
      <c r="M80">
        <v>21263.23</v>
      </c>
      <c r="N80" t="s">
        <v>2199</v>
      </c>
      <c r="O80" t="s">
        <v>407</v>
      </c>
    </row>
    <row r="81" spans="1:15" x14ac:dyDescent="0.2">
      <c r="A81">
        <v>99</v>
      </c>
      <c r="B81" t="s">
        <v>2117</v>
      </c>
      <c r="C81" t="s">
        <v>529</v>
      </c>
      <c r="D81" t="s">
        <v>1410</v>
      </c>
      <c r="E81" t="s">
        <v>1002</v>
      </c>
      <c r="F81">
        <v>1</v>
      </c>
      <c r="G81">
        <v>7.3228999999999997</v>
      </c>
      <c r="H81" t="s">
        <v>1819</v>
      </c>
      <c r="I81" t="s">
        <v>1152</v>
      </c>
      <c r="J81">
        <v>7.3228999999999997</v>
      </c>
      <c r="K81">
        <v>155708.50696699999</v>
      </c>
      <c r="L81" t="s">
        <v>1464</v>
      </c>
      <c r="M81">
        <v>21263.23</v>
      </c>
      <c r="N81" t="s">
        <v>2188</v>
      </c>
      <c r="O81" t="s">
        <v>407</v>
      </c>
    </row>
    <row r="82" spans="1:15" x14ac:dyDescent="0.2">
      <c r="A82">
        <v>99</v>
      </c>
      <c r="B82" t="s">
        <v>2117</v>
      </c>
      <c r="C82" t="s">
        <v>529</v>
      </c>
      <c r="D82" t="s">
        <v>1396</v>
      </c>
      <c r="E82" t="s">
        <v>960</v>
      </c>
      <c r="F82">
        <v>1</v>
      </c>
      <c r="G82">
        <v>11.734299999999999</v>
      </c>
      <c r="H82" t="s">
        <v>1819</v>
      </c>
      <c r="I82" t="s">
        <v>1152</v>
      </c>
      <c r="J82">
        <v>11.734299999999999</v>
      </c>
      <c r="K82">
        <v>249509.11978899999</v>
      </c>
      <c r="L82" t="s">
        <v>1464</v>
      </c>
      <c r="M82">
        <v>21263.23</v>
      </c>
      <c r="N82" t="s">
        <v>2186</v>
      </c>
      <c r="O82" t="s">
        <v>407</v>
      </c>
    </row>
    <row r="83" spans="1:15" x14ac:dyDescent="0.2">
      <c r="A83">
        <v>99</v>
      </c>
      <c r="B83" t="s">
        <v>2117</v>
      </c>
      <c r="C83" t="s">
        <v>529</v>
      </c>
      <c r="D83" t="s">
        <v>1480</v>
      </c>
      <c r="E83" t="s">
        <v>126</v>
      </c>
      <c r="F83">
        <v>1</v>
      </c>
      <c r="G83">
        <v>2.8218000000000001</v>
      </c>
      <c r="H83" t="s">
        <v>1819</v>
      </c>
      <c r="I83" t="s">
        <v>1152</v>
      </c>
      <c r="J83">
        <v>2.8218000000000001</v>
      </c>
      <c r="K83">
        <v>60000.582413999997</v>
      </c>
      <c r="L83" t="s">
        <v>1464</v>
      </c>
      <c r="M83">
        <v>21263.23</v>
      </c>
      <c r="N83" t="s">
        <v>2185</v>
      </c>
      <c r="O83" t="s">
        <v>407</v>
      </c>
    </row>
    <row r="84" spans="1:15" x14ac:dyDescent="0.2">
      <c r="A84">
        <v>99</v>
      </c>
      <c r="B84" t="s">
        <v>2117</v>
      </c>
      <c r="C84" t="s">
        <v>529</v>
      </c>
      <c r="D84" t="s">
        <v>1414</v>
      </c>
      <c r="E84" t="s">
        <v>2189</v>
      </c>
      <c r="F84">
        <v>1</v>
      </c>
      <c r="G84">
        <v>0.84650000000000003</v>
      </c>
      <c r="H84" t="s">
        <v>1819</v>
      </c>
      <c r="I84" t="s">
        <v>1152</v>
      </c>
      <c r="J84">
        <v>0.84650000000000003</v>
      </c>
      <c r="K84">
        <v>17999.324195000001</v>
      </c>
      <c r="L84" t="s">
        <v>1464</v>
      </c>
      <c r="M84">
        <v>21263.23</v>
      </c>
      <c r="N84" t="s">
        <v>2190</v>
      </c>
      <c r="O84" t="s">
        <v>407</v>
      </c>
    </row>
    <row r="85" spans="1:15" x14ac:dyDescent="0.2">
      <c r="A85">
        <v>99</v>
      </c>
      <c r="B85" t="s">
        <v>2117</v>
      </c>
      <c r="C85" t="s">
        <v>529</v>
      </c>
      <c r="D85" t="s">
        <v>1328</v>
      </c>
      <c r="E85" t="s">
        <v>315</v>
      </c>
      <c r="F85">
        <v>1</v>
      </c>
      <c r="G85">
        <v>10.3865</v>
      </c>
      <c r="H85" t="s">
        <v>1819</v>
      </c>
      <c r="I85" t="s">
        <v>1152</v>
      </c>
      <c r="J85">
        <v>10.3865</v>
      </c>
      <c r="K85">
        <v>220850.53839500001</v>
      </c>
      <c r="L85" t="s">
        <v>1464</v>
      </c>
      <c r="M85">
        <v>21263.23</v>
      </c>
      <c r="N85" t="s">
        <v>2204</v>
      </c>
      <c r="O85" t="s">
        <v>407</v>
      </c>
    </row>
    <row r="86" spans="1:15" x14ac:dyDescent="0.2">
      <c r="A86">
        <v>99</v>
      </c>
      <c r="B86" t="s">
        <v>2117</v>
      </c>
      <c r="C86" t="s">
        <v>529</v>
      </c>
      <c r="D86" t="s">
        <v>1273</v>
      </c>
      <c r="E86" t="s">
        <v>1347</v>
      </c>
      <c r="F86">
        <v>1</v>
      </c>
      <c r="G86">
        <v>0</v>
      </c>
      <c r="H86" t="s">
        <v>1819</v>
      </c>
      <c r="I86" t="s">
        <v>1152</v>
      </c>
      <c r="J86">
        <v>0</v>
      </c>
      <c r="K86">
        <v>0</v>
      </c>
      <c r="L86" t="s">
        <v>1464</v>
      </c>
      <c r="M86">
        <v>21263.23</v>
      </c>
      <c r="N86" t="s">
        <v>2180</v>
      </c>
      <c r="O86" t="s">
        <v>407</v>
      </c>
    </row>
    <row r="87" spans="1:15" x14ac:dyDescent="0.2">
      <c r="A87">
        <v>99</v>
      </c>
      <c r="B87" t="s">
        <v>2117</v>
      </c>
      <c r="C87" t="s">
        <v>529</v>
      </c>
      <c r="D87" t="s">
        <v>1322</v>
      </c>
      <c r="E87" t="s">
        <v>437</v>
      </c>
      <c r="F87">
        <v>1</v>
      </c>
      <c r="G87">
        <v>4.3788999999999998</v>
      </c>
      <c r="H87" t="s">
        <v>1819</v>
      </c>
      <c r="I87" t="s">
        <v>1152</v>
      </c>
      <c r="J87">
        <v>4.3788999999999998</v>
      </c>
      <c r="K87">
        <v>93109.557847000004</v>
      </c>
      <c r="L87" t="s">
        <v>1464</v>
      </c>
      <c r="M87">
        <v>21263.23</v>
      </c>
      <c r="N87" t="s">
        <v>2202</v>
      </c>
      <c r="O87" t="s">
        <v>407</v>
      </c>
    </row>
    <row r="88" spans="1:15" x14ac:dyDescent="0.2">
      <c r="A88">
        <v>99</v>
      </c>
      <c r="B88" t="s">
        <v>2117</v>
      </c>
      <c r="C88" t="s">
        <v>529</v>
      </c>
      <c r="D88" t="s">
        <v>1331</v>
      </c>
      <c r="E88" t="s">
        <v>1825</v>
      </c>
      <c r="F88">
        <v>1</v>
      </c>
      <c r="G88">
        <v>2.0223</v>
      </c>
      <c r="H88" t="s">
        <v>1819</v>
      </c>
      <c r="I88" t="s">
        <v>1152</v>
      </c>
      <c r="J88">
        <v>2.0223</v>
      </c>
      <c r="K88">
        <v>43000.630029</v>
      </c>
      <c r="L88" t="s">
        <v>1464</v>
      </c>
      <c r="M88">
        <v>21263.23</v>
      </c>
      <c r="N88" t="s">
        <v>2205</v>
      </c>
      <c r="O88" t="s">
        <v>407</v>
      </c>
    </row>
    <row r="89" spans="1:15" x14ac:dyDescent="0.2">
      <c r="A89">
        <v>99</v>
      </c>
      <c r="B89" t="s">
        <v>2117</v>
      </c>
      <c r="C89" t="s">
        <v>529</v>
      </c>
      <c r="D89" t="s">
        <v>1286</v>
      </c>
      <c r="E89" t="s">
        <v>1730</v>
      </c>
      <c r="F89">
        <v>1</v>
      </c>
      <c r="G89">
        <v>2.7982999999999998</v>
      </c>
      <c r="H89" t="s">
        <v>1819</v>
      </c>
      <c r="I89" t="s">
        <v>1152</v>
      </c>
      <c r="J89">
        <v>2.7982999999999998</v>
      </c>
      <c r="K89">
        <v>59500.896508999998</v>
      </c>
      <c r="L89" t="s">
        <v>1464</v>
      </c>
      <c r="M89">
        <v>21263.23</v>
      </c>
      <c r="N89" t="s">
        <v>2182</v>
      </c>
      <c r="O89" t="s">
        <v>407</v>
      </c>
    </row>
    <row r="90" spans="1:15" x14ac:dyDescent="0.2">
      <c r="A90">
        <v>99</v>
      </c>
      <c r="B90" t="s">
        <v>2117</v>
      </c>
      <c r="C90" t="s">
        <v>529</v>
      </c>
      <c r="D90" t="s">
        <v>1402</v>
      </c>
      <c r="E90" t="s">
        <v>5</v>
      </c>
      <c r="F90">
        <v>1</v>
      </c>
      <c r="G90">
        <v>0.2606</v>
      </c>
      <c r="H90" t="s">
        <v>1819</v>
      </c>
      <c r="I90" t="s">
        <v>1152</v>
      </c>
      <c r="J90">
        <v>0.2606</v>
      </c>
      <c r="K90">
        <v>5541.1977379999998</v>
      </c>
      <c r="L90" t="s">
        <v>1464</v>
      </c>
      <c r="M90">
        <v>21263.23</v>
      </c>
      <c r="N90" t="s">
        <v>2187</v>
      </c>
      <c r="O90" t="s">
        <v>407</v>
      </c>
    </row>
    <row r="91" spans="1:15" x14ac:dyDescent="0.2">
      <c r="A91">
        <v>99</v>
      </c>
      <c r="B91" t="s">
        <v>2117</v>
      </c>
      <c r="C91" t="s">
        <v>529</v>
      </c>
      <c r="D91" t="s">
        <v>1290</v>
      </c>
      <c r="E91" t="s">
        <v>26</v>
      </c>
      <c r="F91">
        <v>1</v>
      </c>
      <c r="G91">
        <v>1.0817000000000001</v>
      </c>
      <c r="H91" t="s">
        <v>1819</v>
      </c>
      <c r="I91" t="s">
        <v>1152</v>
      </c>
      <c r="J91">
        <v>1.0817000000000001</v>
      </c>
      <c r="K91">
        <v>23000.435891000001</v>
      </c>
      <c r="L91" t="s">
        <v>1464</v>
      </c>
      <c r="M91">
        <v>21263.23</v>
      </c>
      <c r="N91" t="s">
        <v>2183</v>
      </c>
      <c r="O91" t="s">
        <v>407</v>
      </c>
    </row>
    <row r="92" spans="1:15" x14ac:dyDescent="0.2">
      <c r="A92">
        <v>99</v>
      </c>
      <c r="B92" t="s">
        <v>2117</v>
      </c>
      <c r="C92" t="s">
        <v>529</v>
      </c>
      <c r="D92" t="s">
        <v>1317</v>
      </c>
      <c r="E92" t="s">
        <v>1726</v>
      </c>
      <c r="F92">
        <v>1</v>
      </c>
      <c r="G92">
        <v>6.8620999999999999</v>
      </c>
      <c r="H92" t="s">
        <v>1819</v>
      </c>
      <c r="I92" t="s">
        <v>1152</v>
      </c>
      <c r="J92">
        <v>6.8620999999999999</v>
      </c>
      <c r="K92">
        <v>145910.41058299999</v>
      </c>
      <c r="L92" t="s">
        <v>1464</v>
      </c>
      <c r="M92">
        <v>21263.23</v>
      </c>
      <c r="N92" t="s">
        <v>2200</v>
      </c>
      <c r="O92" t="s">
        <v>407</v>
      </c>
    </row>
    <row r="93" spans="1:15" x14ac:dyDescent="0.2">
      <c r="A93">
        <v>99</v>
      </c>
      <c r="B93" t="s">
        <v>2117</v>
      </c>
      <c r="C93" t="s">
        <v>529</v>
      </c>
      <c r="D93" t="s">
        <v>1418</v>
      </c>
      <c r="E93" t="s">
        <v>1527</v>
      </c>
      <c r="F93">
        <v>1</v>
      </c>
      <c r="G93">
        <v>33.249400000000001</v>
      </c>
      <c r="H93" t="s">
        <v>1819</v>
      </c>
      <c r="I93" t="s">
        <v>1152</v>
      </c>
      <c r="J93">
        <v>33.249400000000001</v>
      </c>
      <c r="K93">
        <v>706989.63956200005</v>
      </c>
      <c r="L93" t="s">
        <v>1464</v>
      </c>
      <c r="M93">
        <v>21263.23</v>
      </c>
      <c r="N93" t="s">
        <v>2191</v>
      </c>
      <c r="O93" t="s">
        <v>407</v>
      </c>
    </row>
    <row r="94" spans="1:15" x14ac:dyDescent="0.2">
      <c r="A94">
        <v>99</v>
      </c>
      <c r="B94" t="s">
        <v>2117</v>
      </c>
      <c r="C94" t="s">
        <v>529</v>
      </c>
      <c r="D94" t="s">
        <v>1281</v>
      </c>
      <c r="E94" t="s">
        <v>1710</v>
      </c>
      <c r="F94">
        <v>1</v>
      </c>
      <c r="G94">
        <v>1.9517</v>
      </c>
      <c r="H94" t="s">
        <v>1819</v>
      </c>
      <c r="I94" t="s">
        <v>1152</v>
      </c>
      <c r="J94">
        <v>1.9517</v>
      </c>
      <c r="K94">
        <v>41499.445991000001</v>
      </c>
      <c r="L94" t="s">
        <v>1464</v>
      </c>
      <c r="M94">
        <v>21263.23</v>
      </c>
      <c r="N94" t="s">
        <v>2181</v>
      </c>
      <c r="O94" t="s">
        <v>407</v>
      </c>
    </row>
    <row r="95" spans="1:15" x14ac:dyDescent="0.2">
      <c r="A95">
        <v>99</v>
      </c>
      <c r="B95" t="s">
        <v>2117</v>
      </c>
      <c r="C95" t="s">
        <v>427</v>
      </c>
      <c r="D95" t="s">
        <v>1150</v>
      </c>
      <c r="E95" t="s">
        <v>1491</v>
      </c>
      <c r="F95">
        <v>1</v>
      </c>
      <c r="G95">
        <v>0</v>
      </c>
      <c r="H95" t="s">
        <v>1819</v>
      </c>
      <c r="I95" t="s">
        <v>1819</v>
      </c>
      <c r="J95">
        <v>0</v>
      </c>
      <c r="K95">
        <v>0</v>
      </c>
      <c r="L95" t="s">
        <v>1327</v>
      </c>
      <c r="M95">
        <v>1</v>
      </c>
      <c r="N95" t="s">
        <v>2211</v>
      </c>
      <c r="O95" t="s">
        <v>1235</v>
      </c>
    </row>
    <row r="96" spans="1:15" x14ac:dyDescent="0.2">
      <c r="A96">
        <v>99</v>
      </c>
      <c r="B96" t="s">
        <v>2117</v>
      </c>
      <c r="C96" t="s">
        <v>427</v>
      </c>
      <c r="D96" t="s">
        <v>1154</v>
      </c>
      <c r="E96" t="s">
        <v>1641</v>
      </c>
      <c r="F96">
        <v>1</v>
      </c>
      <c r="G96">
        <v>0</v>
      </c>
      <c r="H96" t="s">
        <v>1819</v>
      </c>
      <c r="I96" t="s">
        <v>1819</v>
      </c>
      <c r="J96">
        <v>0</v>
      </c>
      <c r="K96">
        <v>0</v>
      </c>
      <c r="L96" t="s">
        <v>1327</v>
      </c>
      <c r="M96">
        <v>1</v>
      </c>
      <c r="N96" t="s">
        <v>2212</v>
      </c>
      <c r="O96" t="s">
        <v>1235</v>
      </c>
    </row>
    <row r="97" spans="1:15" x14ac:dyDescent="0.2">
      <c r="A97">
        <v>99</v>
      </c>
      <c r="B97" t="s">
        <v>2117</v>
      </c>
      <c r="C97" t="s">
        <v>427</v>
      </c>
      <c r="D97" t="s">
        <v>1142</v>
      </c>
      <c r="E97" t="s">
        <v>815</v>
      </c>
      <c r="F97">
        <v>1</v>
      </c>
      <c r="G97">
        <v>73948.639999999999</v>
      </c>
      <c r="H97" t="s">
        <v>1819</v>
      </c>
      <c r="I97" t="s">
        <v>1819</v>
      </c>
      <c r="J97">
        <v>73948.639999999999</v>
      </c>
      <c r="K97">
        <v>73948.639999999999</v>
      </c>
      <c r="L97" t="s">
        <v>1327</v>
      </c>
      <c r="M97">
        <v>1</v>
      </c>
      <c r="N97" t="s">
        <v>2208</v>
      </c>
      <c r="O97" t="s">
        <v>1235</v>
      </c>
    </row>
    <row r="98" spans="1:15" x14ac:dyDescent="0.2">
      <c r="A98">
        <v>99</v>
      </c>
      <c r="B98" t="s">
        <v>2117</v>
      </c>
      <c r="C98" t="s">
        <v>427</v>
      </c>
      <c r="D98" t="s">
        <v>1156</v>
      </c>
      <c r="E98" t="s">
        <v>35</v>
      </c>
      <c r="F98">
        <v>1</v>
      </c>
      <c r="G98">
        <v>0</v>
      </c>
      <c r="H98" t="s">
        <v>1819</v>
      </c>
      <c r="I98" t="s">
        <v>1819</v>
      </c>
      <c r="J98">
        <v>0</v>
      </c>
      <c r="K98">
        <v>0</v>
      </c>
      <c r="L98" t="s">
        <v>1327</v>
      </c>
      <c r="M98">
        <v>1</v>
      </c>
      <c r="N98" t="s">
        <v>2213</v>
      </c>
      <c r="O98" t="s">
        <v>1235</v>
      </c>
    </row>
    <row r="99" spans="1:15" x14ac:dyDescent="0.2">
      <c r="A99">
        <v>99</v>
      </c>
      <c r="B99" t="s">
        <v>2117</v>
      </c>
      <c r="C99" t="s">
        <v>427</v>
      </c>
      <c r="D99" t="s">
        <v>1138</v>
      </c>
      <c r="E99" t="s">
        <v>485</v>
      </c>
      <c r="F99">
        <v>1</v>
      </c>
      <c r="G99">
        <v>0</v>
      </c>
      <c r="H99" t="s">
        <v>1819</v>
      </c>
      <c r="I99" t="s">
        <v>1819</v>
      </c>
      <c r="J99">
        <v>0</v>
      </c>
      <c r="K99">
        <v>0</v>
      </c>
      <c r="L99" t="s">
        <v>1327</v>
      </c>
      <c r="M99">
        <v>1</v>
      </c>
      <c r="N99" t="s">
        <v>2207</v>
      </c>
      <c r="O99" t="s">
        <v>1235</v>
      </c>
    </row>
    <row r="100" spans="1:15" x14ac:dyDescent="0.2">
      <c r="A100">
        <v>99</v>
      </c>
      <c r="B100" t="s">
        <v>2117</v>
      </c>
      <c r="C100" t="s">
        <v>427</v>
      </c>
      <c r="D100" t="s">
        <v>1148</v>
      </c>
      <c r="E100" t="s">
        <v>1922</v>
      </c>
      <c r="F100">
        <v>1</v>
      </c>
      <c r="G100">
        <v>0</v>
      </c>
      <c r="H100" t="s">
        <v>1819</v>
      </c>
      <c r="I100" t="s">
        <v>1819</v>
      </c>
      <c r="J100">
        <v>0</v>
      </c>
      <c r="K100">
        <v>0</v>
      </c>
      <c r="L100" t="s">
        <v>1327</v>
      </c>
      <c r="M100">
        <v>1</v>
      </c>
      <c r="N100" t="s">
        <v>2210</v>
      </c>
      <c r="O100" t="s">
        <v>1235</v>
      </c>
    </row>
    <row r="101" spans="1:15" x14ac:dyDescent="0.2">
      <c r="A101">
        <v>99</v>
      </c>
      <c r="B101" t="s">
        <v>2117</v>
      </c>
      <c r="C101" t="s">
        <v>427</v>
      </c>
      <c r="D101" t="s">
        <v>1213</v>
      </c>
      <c r="E101" t="s">
        <v>1445</v>
      </c>
      <c r="F101">
        <v>1</v>
      </c>
      <c r="G101">
        <v>40654</v>
      </c>
      <c r="H101" t="s">
        <v>1819</v>
      </c>
      <c r="I101" t="s">
        <v>1819</v>
      </c>
      <c r="J101">
        <v>40654</v>
      </c>
      <c r="K101">
        <v>40654</v>
      </c>
      <c r="L101" t="s">
        <v>1327</v>
      </c>
      <c r="M101">
        <v>1</v>
      </c>
      <c r="N101" t="s">
        <v>2214</v>
      </c>
      <c r="O101" t="s">
        <v>1235</v>
      </c>
    </row>
    <row r="102" spans="1:15" x14ac:dyDescent="0.2">
      <c r="A102">
        <v>99</v>
      </c>
      <c r="B102" t="s">
        <v>2117</v>
      </c>
      <c r="C102" t="s">
        <v>427</v>
      </c>
      <c r="D102" t="s">
        <v>1146</v>
      </c>
      <c r="E102" t="s">
        <v>1363</v>
      </c>
      <c r="F102">
        <v>1</v>
      </c>
      <c r="G102">
        <v>78004.88</v>
      </c>
      <c r="H102" t="s">
        <v>1819</v>
      </c>
      <c r="I102" t="s">
        <v>1819</v>
      </c>
      <c r="J102">
        <v>78004.88</v>
      </c>
      <c r="K102">
        <v>78004.88</v>
      </c>
      <c r="L102" t="s">
        <v>1327</v>
      </c>
      <c r="M102">
        <v>1</v>
      </c>
      <c r="N102" t="s">
        <v>2209</v>
      </c>
      <c r="O102" t="s">
        <v>1235</v>
      </c>
    </row>
    <row r="103" spans="1:15" x14ac:dyDescent="0.2">
      <c r="A103">
        <v>99</v>
      </c>
      <c r="B103" t="s">
        <v>2117</v>
      </c>
      <c r="C103" t="s">
        <v>427</v>
      </c>
      <c r="D103" t="s">
        <v>1218</v>
      </c>
      <c r="E103" t="s">
        <v>2215</v>
      </c>
      <c r="F103">
        <v>1</v>
      </c>
      <c r="G103">
        <v>0</v>
      </c>
      <c r="H103" t="s">
        <v>1819</v>
      </c>
      <c r="I103" t="s">
        <v>1819</v>
      </c>
      <c r="J103">
        <v>0</v>
      </c>
      <c r="K103">
        <v>0</v>
      </c>
      <c r="L103" t="s">
        <v>1327</v>
      </c>
      <c r="M103">
        <v>1</v>
      </c>
      <c r="N103" t="s">
        <v>2216</v>
      </c>
      <c r="O103" t="s">
        <v>1235</v>
      </c>
    </row>
    <row r="104" spans="1:15" x14ac:dyDescent="0.2">
      <c r="A104">
        <v>99</v>
      </c>
      <c r="B104" t="s">
        <v>2117</v>
      </c>
      <c r="C104" t="s">
        <v>427</v>
      </c>
      <c r="D104" t="s">
        <v>1137</v>
      </c>
      <c r="E104" t="s">
        <v>1704</v>
      </c>
      <c r="F104">
        <v>1</v>
      </c>
      <c r="G104">
        <v>0</v>
      </c>
      <c r="H104" t="s">
        <v>1819</v>
      </c>
      <c r="I104" t="s">
        <v>1819</v>
      </c>
      <c r="J104">
        <v>0</v>
      </c>
      <c r="K104">
        <v>0</v>
      </c>
      <c r="L104" t="s">
        <v>1327</v>
      </c>
      <c r="M104">
        <v>1</v>
      </c>
      <c r="N104" t="s">
        <v>2206</v>
      </c>
      <c r="O104" t="s">
        <v>1235</v>
      </c>
    </row>
    <row r="105" spans="1:15" x14ac:dyDescent="0.2">
      <c r="A105">
        <v>99</v>
      </c>
      <c r="B105" t="s">
        <v>2117</v>
      </c>
      <c r="C105" t="s">
        <v>318</v>
      </c>
      <c r="D105" t="s">
        <v>1012</v>
      </c>
      <c r="E105" t="s">
        <v>304</v>
      </c>
      <c r="F105">
        <v>1</v>
      </c>
      <c r="G105">
        <v>5000</v>
      </c>
      <c r="H105" t="s">
        <v>1819</v>
      </c>
      <c r="I105" t="s">
        <v>1819</v>
      </c>
      <c r="J105">
        <v>5000</v>
      </c>
      <c r="K105">
        <v>5000</v>
      </c>
      <c r="L105" t="s">
        <v>1225</v>
      </c>
      <c r="M105">
        <v>1</v>
      </c>
      <c r="N105" t="s">
        <v>2222</v>
      </c>
      <c r="O105" t="s">
        <v>1531</v>
      </c>
    </row>
    <row r="106" spans="1:15" x14ac:dyDescent="0.2">
      <c r="A106">
        <v>99</v>
      </c>
      <c r="B106" t="s">
        <v>2117</v>
      </c>
      <c r="C106" t="s">
        <v>318</v>
      </c>
      <c r="D106" t="s">
        <v>1021</v>
      </c>
      <c r="E106" t="s">
        <v>1590</v>
      </c>
      <c r="F106">
        <v>1</v>
      </c>
      <c r="G106">
        <v>1000</v>
      </c>
      <c r="H106" t="s">
        <v>1819</v>
      </c>
      <c r="I106" t="s">
        <v>1819</v>
      </c>
      <c r="J106">
        <v>1000</v>
      </c>
      <c r="K106">
        <v>1000</v>
      </c>
      <c r="L106" t="s">
        <v>1225</v>
      </c>
      <c r="M106">
        <v>1</v>
      </c>
      <c r="N106" t="s">
        <v>2225</v>
      </c>
      <c r="O106" t="s">
        <v>1531</v>
      </c>
    </row>
    <row r="107" spans="1:15" x14ac:dyDescent="0.2">
      <c r="A107">
        <v>99</v>
      </c>
      <c r="B107" t="s">
        <v>2117</v>
      </c>
      <c r="C107" t="s">
        <v>318</v>
      </c>
      <c r="D107" t="s">
        <v>1005</v>
      </c>
      <c r="E107" t="s">
        <v>1440</v>
      </c>
      <c r="F107">
        <v>1</v>
      </c>
      <c r="G107">
        <v>500000</v>
      </c>
      <c r="H107" t="s">
        <v>1819</v>
      </c>
      <c r="I107" t="s">
        <v>1819</v>
      </c>
      <c r="J107">
        <v>500000</v>
      </c>
      <c r="K107">
        <v>500000</v>
      </c>
      <c r="L107" t="s">
        <v>1225</v>
      </c>
      <c r="M107">
        <v>1</v>
      </c>
      <c r="N107" t="s">
        <v>2218</v>
      </c>
      <c r="O107" t="s">
        <v>1531</v>
      </c>
    </row>
    <row r="108" spans="1:15" x14ac:dyDescent="0.2">
      <c r="A108">
        <v>99</v>
      </c>
      <c r="B108" t="s">
        <v>2117</v>
      </c>
      <c r="C108" t="s">
        <v>318</v>
      </c>
      <c r="D108" t="s">
        <v>1024</v>
      </c>
      <c r="E108" t="s">
        <v>1292</v>
      </c>
      <c r="F108">
        <v>1</v>
      </c>
      <c r="G108">
        <v>2000</v>
      </c>
      <c r="H108" t="s">
        <v>1819</v>
      </c>
      <c r="I108" t="s">
        <v>1819</v>
      </c>
      <c r="J108">
        <v>2000</v>
      </c>
      <c r="K108">
        <v>2000</v>
      </c>
      <c r="L108" t="s">
        <v>1225</v>
      </c>
      <c r="M108">
        <v>1</v>
      </c>
      <c r="N108" t="s">
        <v>2226</v>
      </c>
      <c r="O108" t="s">
        <v>1531</v>
      </c>
    </row>
    <row r="109" spans="1:15" x14ac:dyDescent="0.2">
      <c r="A109">
        <v>99</v>
      </c>
      <c r="B109" t="s">
        <v>2117</v>
      </c>
      <c r="C109" t="s">
        <v>318</v>
      </c>
      <c r="D109" t="s">
        <v>1236</v>
      </c>
      <c r="E109" t="s">
        <v>358</v>
      </c>
      <c r="F109">
        <v>1</v>
      </c>
      <c r="G109">
        <v>20000</v>
      </c>
      <c r="H109" t="s">
        <v>1819</v>
      </c>
      <c r="I109" t="s">
        <v>1819</v>
      </c>
      <c r="J109">
        <v>20000</v>
      </c>
      <c r="K109">
        <v>20000</v>
      </c>
      <c r="L109" t="s">
        <v>1225</v>
      </c>
      <c r="M109">
        <v>1</v>
      </c>
      <c r="N109" t="s">
        <v>2217</v>
      </c>
      <c r="O109" t="s">
        <v>1531</v>
      </c>
    </row>
    <row r="110" spans="1:15" x14ac:dyDescent="0.2">
      <c r="A110">
        <v>99</v>
      </c>
      <c r="B110" t="s">
        <v>2117</v>
      </c>
      <c r="C110" t="s">
        <v>318</v>
      </c>
      <c r="D110" t="s">
        <v>1007</v>
      </c>
      <c r="E110" t="s">
        <v>2219</v>
      </c>
      <c r="F110">
        <v>1</v>
      </c>
      <c r="G110">
        <v>2500</v>
      </c>
      <c r="H110" t="s">
        <v>1819</v>
      </c>
      <c r="I110" t="s">
        <v>1819</v>
      </c>
      <c r="J110">
        <v>2500</v>
      </c>
      <c r="K110">
        <v>2500</v>
      </c>
      <c r="L110" t="s">
        <v>1225</v>
      </c>
      <c r="M110">
        <v>1</v>
      </c>
      <c r="N110" t="s">
        <v>2220</v>
      </c>
      <c r="O110" t="s">
        <v>1531</v>
      </c>
    </row>
    <row r="111" spans="1:15" x14ac:dyDescent="0.2">
      <c r="A111">
        <v>99</v>
      </c>
      <c r="B111" t="s">
        <v>2117</v>
      </c>
      <c r="C111" t="s">
        <v>318</v>
      </c>
      <c r="D111" t="s">
        <v>1019</v>
      </c>
      <c r="E111" t="s">
        <v>1490</v>
      </c>
      <c r="F111">
        <v>1</v>
      </c>
      <c r="G111">
        <v>0</v>
      </c>
      <c r="H111" t="s">
        <v>1819</v>
      </c>
      <c r="I111" t="s">
        <v>1819</v>
      </c>
      <c r="J111">
        <v>0</v>
      </c>
      <c r="K111">
        <v>0</v>
      </c>
      <c r="L111" t="s">
        <v>1225</v>
      </c>
      <c r="M111">
        <v>1</v>
      </c>
      <c r="N111" t="s">
        <v>2224</v>
      </c>
      <c r="O111" t="s">
        <v>1531</v>
      </c>
    </row>
    <row r="112" spans="1:15" x14ac:dyDescent="0.2">
      <c r="A112">
        <v>99</v>
      </c>
      <c r="B112" t="s">
        <v>2117</v>
      </c>
      <c r="C112" t="s">
        <v>318</v>
      </c>
      <c r="D112" t="s">
        <v>1008</v>
      </c>
      <c r="E112" t="s">
        <v>97</v>
      </c>
      <c r="F112">
        <v>1</v>
      </c>
      <c r="G112">
        <v>83241.03</v>
      </c>
      <c r="H112" t="s">
        <v>1819</v>
      </c>
      <c r="I112" t="s">
        <v>1819</v>
      </c>
      <c r="J112">
        <v>83241.03</v>
      </c>
      <c r="K112">
        <v>83241.03</v>
      </c>
      <c r="L112" t="s">
        <v>1225</v>
      </c>
      <c r="M112">
        <v>1</v>
      </c>
      <c r="N112" t="s">
        <v>2221</v>
      </c>
      <c r="O112" t="s">
        <v>1531</v>
      </c>
    </row>
    <row r="113" spans="1:15" x14ac:dyDescent="0.2">
      <c r="A113">
        <v>99</v>
      </c>
      <c r="B113" t="s">
        <v>2117</v>
      </c>
      <c r="C113" t="s">
        <v>318</v>
      </c>
      <c r="D113" t="s">
        <v>1018</v>
      </c>
      <c r="E113" t="s">
        <v>847</v>
      </c>
      <c r="F113">
        <v>1</v>
      </c>
      <c r="G113">
        <v>5000</v>
      </c>
      <c r="H113" t="s">
        <v>1819</v>
      </c>
      <c r="I113" t="s">
        <v>1819</v>
      </c>
      <c r="J113">
        <v>5000</v>
      </c>
      <c r="K113">
        <v>5000</v>
      </c>
      <c r="L113" t="s">
        <v>1225</v>
      </c>
      <c r="M113">
        <v>1</v>
      </c>
      <c r="N113" t="s">
        <v>2223</v>
      </c>
      <c r="O113" t="s">
        <v>1531</v>
      </c>
    </row>
    <row r="114" spans="1:15" x14ac:dyDescent="0.2">
      <c r="A114">
        <v>99</v>
      </c>
      <c r="B114" t="s">
        <v>2117</v>
      </c>
      <c r="C114" t="s">
        <v>710</v>
      </c>
      <c r="D114" t="s">
        <v>448</v>
      </c>
      <c r="E114" t="s">
        <v>187</v>
      </c>
      <c r="F114">
        <v>0</v>
      </c>
      <c r="G114">
        <v>0</v>
      </c>
      <c r="H114" t="s">
        <v>1781</v>
      </c>
      <c r="I114" t="s">
        <v>1819</v>
      </c>
      <c r="J114">
        <v>0</v>
      </c>
      <c r="K114">
        <v>0</v>
      </c>
      <c r="L114" t="s">
        <v>1179</v>
      </c>
      <c r="M114">
        <v>1</v>
      </c>
      <c r="N114" t="s">
        <v>2231</v>
      </c>
      <c r="O114" t="s">
        <v>2228</v>
      </c>
    </row>
    <row r="115" spans="1:15" x14ac:dyDescent="0.2">
      <c r="A115">
        <v>99</v>
      </c>
      <c r="B115" t="s">
        <v>2117</v>
      </c>
      <c r="C115" t="s">
        <v>710</v>
      </c>
      <c r="D115" t="s">
        <v>482</v>
      </c>
      <c r="E115" t="s">
        <v>1506</v>
      </c>
      <c r="F115">
        <v>2</v>
      </c>
      <c r="G115">
        <v>6082.9750000000004</v>
      </c>
      <c r="H115" t="s">
        <v>1781</v>
      </c>
      <c r="I115" t="s">
        <v>1819</v>
      </c>
      <c r="J115">
        <v>12165.95</v>
      </c>
      <c r="K115">
        <v>12165.95</v>
      </c>
      <c r="L115" t="s">
        <v>1179</v>
      </c>
      <c r="M115">
        <v>1</v>
      </c>
      <c r="N115" t="s">
        <v>2234</v>
      </c>
      <c r="O115" t="s">
        <v>2228</v>
      </c>
    </row>
    <row r="116" spans="1:15" x14ac:dyDescent="0.2">
      <c r="A116">
        <v>99</v>
      </c>
      <c r="B116" t="s">
        <v>2117</v>
      </c>
      <c r="C116" t="s">
        <v>710</v>
      </c>
      <c r="D116" t="s">
        <v>450</v>
      </c>
      <c r="E116" t="s">
        <v>560</v>
      </c>
      <c r="F116">
        <v>1</v>
      </c>
      <c r="G116">
        <v>839.98</v>
      </c>
      <c r="H116" t="s">
        <v>1781</v>
      </c>
      <c r="I116" t="s">
        <v>1819</v>
      </c>
      <c r="J116">
        <v>839.98</v>
      </c>
      <c r="K116">
        <v>839.98</v>
      </c>
      <c r="L116" t="s">
        <v>1179</v>
      </c>
      <c r="M116">
        <v>1</v>
      </c>
      <c r="N116" t="s">
        <v>2232</v>
      </c>
      <c r="O116" t="s">
        <v>2228</v>
      </c>
    </row>
    <row r="117" spans="1:15" x14ac:dyDescent="0.2">
      <c r="A117">
        <v>99</v>
      </c>
      <c r="B117" t="s">
        <v>2117</v>
      </c>
      <c r="C117" t="s">
        <v>710</v>
      </c>
      <c r="D117" t="s">
        <v>447</v>
      </c>
      <c r="E117" t="s">
        <v>1684</v>
      </c>
      <c r="F117">
        <v>4</v>
      </c>
      <c r="G117">
        <v>2000</v>
      </c>
      <c r="H117" t="s">
        <v>1781</v>
      </c>
      <c r="I117" t="s">
        <v>1819</v>
      </c>
      <c r="J117">
        <v>8000</v>
      </c>
      <c r="K117">
        <v>8000</v>
      </c>
      <c r="L117" t="s">
        <v>1179</v>
      </c>
      <c r="M117">
        <v>1</v>
      </c>
      <c r="N117" t="s">
        <v>2230</v>
      </c>
      <c r="O117" t="s">
        <v>2228</v>
      </c>
    </row>
    <row r="118" spans="1:15" x14ac:dyDescent="0.2">
      <c r="A118">
        <v>99</v>
      </c>
      <c r="B118" t="s">
        <v>2117</v>
      </c>
      <c r="C118" t="s">
        <v>710</v>
      </c>
      <c r="D118" t="s">
        <v>443</v>
      </c>
      <c r="E118" t="s">
        <v>459</v>
      </c>
      <c r="F118">
        <v>1</v>
      </c>
      <c r="G118">
        <v>1599</v>
      </c>
      <c r="H118" t="s">
        <v>1781</v>
      </c>
      <c r="I118" t="s">
        <v>1819</v>
      </c>
      <c r="J118">
        <v>1599</v>
      </c>
      <c r="K118">
        <v>1599</v>
      </c>
      <c r="L118" t="s">
        <v>1179</v>
      </c>
      <c r="M118">
        <v>1</v>
      </c>
      <c r="N118" t="s">
        <v>2229</v>
      </c>
      <c r="O118" t="s">
        <v>2228</v>
      </c>
    </row>
    <row r="119" spans="1:15" x14ac:dyDescent="0.2">
      <c r="A119">
        <v>99</v>
      </c>
      <c r="B119" t="s">
        <v>2117</v>
      </c>
      <c r="C119" t="s">
        <v>710</v>
      </c>
      <c r="D119" t="s">
        <v>478</v>
      </c>
      <c r="E119" t="s">
        <v>64</v>
      </c>
      <c r="F119">
        <v>1</v>
      </c>
      <c r="G119">
        <v>15000</v>
      </c>
      <c r="H119" t="s">
        <v>1819</v>
      </c>
      <c r="I119" t="s">
        <v>1819</v>
      </c>
      <c r="J119">
        <v>15000</v>
      </c>
      <c r="K119">
        <v>15000</v>
      </c>
      <c r="L119" t="s">
        <v>1179</v>
      </c>
      <c r="M119">
        <v>1</v>
      </c>
      <c r="N119" t="s">
        <v>2233</v>
      </c>
      <c r="O119" t="s">
        <v>2228</v>
      </c>
    </row>
    <row r="120" spans="1:15" x14ac:dyDescent="0.2">
      <c r="A120">
        <v>99</v>
      </c>
      <c r="B120" t="s">
        <v>2117</v>
      </c>
      <c r="C120" t="s">
        <v>710</v>
      </c>
      <c r="D120" t="s">
        <v>442</v>
      </c>
      <c r="E120" t="s">
        <v>1427</v>
      </c>
      <c r="F120">
        <v>14</v>
      </c>
      <c r="G120">
        <v>6535.5</v>
      </c>
      <c r="H120" t="s">
        <v>1819</v>
      </c>
      <c r="I120" t="s">
        <v>1819</v>
      </c>
      <c r="J120">
        <v>91497</v>
      </c>
      <c r="K120">
        <v>91497</v>
      </c>
      <c r="L120" t="s">
        <v>1179</v>
      </c>
      <c r="M120">
        <v>1</v>
      </c>
      <c r="N120" t="s">
        <v>2227</v>
      </c>
      <c r="O120" t="s">
        <v>2228</v>
      </c>
    </row>
    <row r="121" spans="1:15" x14ac:dyDescent="0.2">
      <c r="A121">
        <v>99</v>
      </c>
      <c r="B121" t="s">
        <v>2117</v>
      </c>
      <c r="C121" t="s">
        <v>712</v>
      </c>
      <c r="D121" t="s">
        <v>384</v>
      </c>
      <c r="E121" t="s">
        <v>1162</v>
      </c>
      <c r="F121">
        <v>1</v>
      </c>
      <c r="G121">
        <v>1200</v>
      </c>
      <c r="H121" t="s">
        <v>1819</v>
      </c>
      <c r="I121" t="s">
        <v>1170</v>
      </c>
      <c r="J121">
        <v>1200</v>
      </c>
      <c r="K121">
        <v>26400</v>
      </c>
      <c r="L121" t="s">
        <v>1182</v>
      </c>
      <c r="M121">
        <v>22</v>
      </c>
      <c r="N121" t="s">
        <v>2242</v>
      </c>
      <c r="O121" t="s">
        <v>630</v>
      </c>
    </row>
    <row r="122" spans="1:15" x14ac:dyDescent="0.2">
      <c r="A122">
        <v>99</v>
      </c>
      <c r="B122" t="s">
        <v>2117</v>
      </c>
      <c r="C122" t="s">
        <v>712</v>
      </c>
      <c r="D122" t="s">
        <v>327</v>
      </c>
      <c r="E122" t="s">
        <v>1645</v>
      </c>
      <c r="F122">
        <v>1</v>
      </c>
      <c r="G122">
        <v>100</v>
      </c>
      <c r="H122" t="s">
        <v>1819</v>
      </c>
      <c r="I122" t="s">
        <v>1170</v>
      </c>
      <c r="J122">
        <v>100</v>
      </c>
      <c r="K122">
        <v>2200</v>
      </c>
      <c r="L122" t="s">
        <v>1182</v>
      </c>
      <c r="M122">
        <v>22</v>
      </c>
      <c r="N122" t="s">
        <v>2235</v>
      </c>
      <c r="O122" t="s">
        <v>630</v>
      </c>
    </row>
    <row r="123" spans="1:15" x14ac:dyDescent="0.2">
      <c r="A123">
        <v>99</v>
      </c>
      <c r="B123" t="s">
        <v>2117</v>
      </c>
      <c r="C123" t="s">
        <v>712</v>
      </c>
      <c r="D123" t="s">
        <v>333</v>
      </c>
      <c r="E123" t="s">
        <v>1330</v>
      </c>
      <c r="F123">
        <v>1</v>
      </c>
      <c r="G123">
        <v>400</v>
      </c>
      <c r="H123" t="s">
        <v>1819</v>
      </c>
      <c r="I123" t="s">
        <v>1170</v>
      </c>
      <c r="J123">
        <v>400</v>
      </c>
      <c r="K123">
        <v>8800</v>
      </c>
      <c r="L123" t="s">
        <v>1182</v>
      </c>
      <c r="M123">
        <v>22</v>
      </c>
      <c r="N123" t="s">
        <v>2236</v>
      </c>
      <c r="O123" t="s">
        <v>630</v>
      </c>
    </row>
    <row r="124" spans="1:15" x14ac:dyDescent="0.2">
      <c r="A124">
        <v>99</v>
      </c>
      <c r="B124" t="s">
        <v>2117</v>
      </c>
      <c r="C124" t="s">
        <v>712</v>
      </c>
      <c r="D124" t="s">
        <v>338</v>
      </c>
      <c r="E124" t="s">
        <v>1964</v>
      </c>
      <c r="F124">
        <v>1</v>
      </c>
      <c r="G124">
        <v>800</v>
      </c>
      <c r="H124" t="s">
        <v>1819</v>
      </c>
      <c r="I124" t="s">
        <v>1170</v>
      </c>
      <c r="J124">
        <v>800</v>
      </c>
      <c r="K124">
        <v>17600</v>
      </c>
      <c r="L124" t="s">
        <v>1182</v>
      </c>
      <c r="M124">
        <v>22</v>
      </c>
      <c r="N124" t="s">
        <v>2237</v>
      </c>
      <c r="O124" t="s">
        <v>630</v>
      </c>
    </row>
    <row r="125" spans="1:15" x14ac:dyDescent="0.2">
      <c r="A125">
        <v>99</v>
      </c>
      <c r="B125" t="s">
        <v>2117</v>
      </c>
      <c r="C125" t="s">
        <v>712</v>
      </c>
      <c r="D125" t="s">
        <v>349</v>
      </c>
      <c r="E125" t="s">
        <v>1350</v>
      </c>
      <c r="F125">
        <v>1</v>
      </c>
      <c r="G125">
        <v>3000</v>
      </c>
      <c r="H125" t="s">
        <v>2240</v>
      </c>
      <c r="I125" t="s">
        <v>1170</v>
      </c>
      <c r="J125">
        <v>3000</v>
      </c>
      <c r="K125">
        <v>66000</v>
      </c>
      <c r="L125" t="s">
        <v>1182</v>
      </c>
      <c r="M125">
        <v>22</v>
      </c>
      <c r="N125" t="s">
        <v>2241</v>
      </c>
      <c r="O125" t="s">
        <v>630</v>
      </c>
    </row>
    <row r="126" spans="1:15" x14ac:dyDescent="0.2">
      <c r="A126">
        <v>99</v>
      </c>
      <c r="B126" t="s">
        <v>2117</v>
      </c>
      <c r="C126" t="s">
        <v>712</v>
      </c>
      <c r="D126" t="s">
        <v>342</v>
      </c>
      <c r="E126" t="s">
        <v>378</v>
      </c>
      <c r="F126">
        <v>1</v>
      </c>
      <c r="G126">
        <v>179.8</v>
      </c>
      <c r="H126" t="s">
        <v>1819</v>
      </c>
      <c r="I126" t="s">
        <v>1170</v>
      </c>
      <c r="J126">
        <v>179.8</v>
      </c>
      <c r="K126">
        <v>3955.6</v>
      </c>
      <c r="L126" t="s">
        <v>1182</v>
      </c>
      <c r="M126">
        <v>22</v>
      </c>
      <c r="N126" t="s">
        <v>2239</v>
      </c>
      <c r="O126" t="s">
        <v>630</v>
      </c>
    </row>
    <row r="127" spans="1:15" x14ac:dyDescent="0.2">
      <c r="A127">
        <v>99</v>
      </c>
      <c r="B127" t="s">
        <v>2117</v>
      </c>
      <c r="C127" t="s">
        <v>712</v>
      </c>
      <c r="D127" t="s">
        <v>391</v>
      </c>
      <c r="E127" t="s">
        <v>771</v>
      </c>
      <c r="F127">
        <v>1</v>
      </c>
      <c r="G127">
        <v>800</v>
      </c>
      <c r="H127" t="s">
        <v>1819</v>
      </c>
      <c r="I127" t="s">
        <v>1170</v>
      </c>
      <c r="J127">
        <v>800</v>
      </c>
      <c r="K127">
        <v>17600</v>
      </c>
      <c r="L127" t="s">
        <v>1182</v>
      </c>
      <c r="M127">
        <v>22</v>
      </c>
      <c r="N127" t="s">
        <v>2243</v>
      </c>
      <c r="O127" t="s">
        <v>630</v>
      </c>
    </row>
    <row r="128" spans="1:15" x14ac:dyDescent="0.2">
      <c r="A128">
        <v>99</v>
      </c>
      <c r="B128" t="s">
        <v>2117</v>
      </c>
      <c r="C128" t="s">
        <v>712</v>
      </c>
      <c r="D128" t="s">
        <v>340</v>
      </c>
      <c r="E128" t="s">
        <v>866</v>
      </c>
      <c r="F128">
        <v>1</v>
      </c>
      <c r="G128">
        <v>1000</v>
      </c>
      <c r="H128" t="s">
        <v>1819</v>
      </c>
      <c r="I128" t="s">
        <v>1170</v>
      </c>
      <c r="J128">
        <v>1000</v>
      </c>
      <c r="K128">
        <v>22000</v>
      </c>
      <c r="L128" t="s">
        <v>1182</v>
      </c>
      <c r="M128">
        <v>22</v>
      </c>
      <c r="N128" t="s">
        <v>2238</v>
      </c>
      <c r="O128" t="s">
        <v>630</v>
      </c>
    </row>
    <row r="129" spans="1:15" x14ac:dyDescent="0.2">
      <c r="A129">
        <v>99</v>
      </c>
      <c r="B129" t="s">
        <v>2117</v>
      </c>
      <c r="C129" t="s">
        <v>714</v>
      </c>
      <c r="D129" t="s">
        <v>1228</v>
      </c>
      <c r="E129" t="s">
        <v>1904</v>
      </c>
      <c r="F129">
        <v>1</v>
      </c>
      <c r="G129">
        <v>28166.666700000002</v>
      </c>
      <c r="H129" t="s">
        <v>1819</v>
      </c>
      <c r="I129" t="s">
        <v>1170</v>
      </c>
      <c r="J129">
        <v>28166.666700000002</v>
      </c>
      <c r="K129">
        <v>1014000.0012000001</v>
      </c>
      <c r="L129" t="s">
        <v>1183</v>
      </c>
      <c r="M129">
        <v>36</v>
      </c>
      <c r="N129" t="s">
        <v>2246</v>
      </c>
      <c r="O129" t="s">
        <v>843</v>
      </c>
    </row>
    <row r="130" spans="1:15" x14ac:dyDescent="0.2">
      <c r="A130">
        <v>99</v>
      </c>
      <c r="B130" t="s">
        <v>2117</v>
      </c>
      <c r="C130" t="s">
        <v>714</v>
      </c>
      <c r="D130" t="s">
        <v>346</v>
      </c>
      <c r="E130" t="s">
        <v>416</v>
      </c>
      <c r="F130">
        <v>1</v>
      </c>
      <c r="G130">
        <v>162.6388</v>
      </c>
      <c r="H130" t="s">
        <v>1819</v>
      </c>
      <c r="I130" t="s">
        <v>1170</v>
      </c>
      <c r="J130">
        <v>162.6388</v>
      </c>
      <c r="K130">
        <v>5854.9967999999999</v>
      </c>
      <c r="L130" t="s">
        <v>1183</v>
      </c>
      <c r="M130">
        <v>36</v>
      </c>
      <c r="N130" t="s">
        <v>2245</v>
      </c>
      <c r="O130" t="s">
        <v>843</v>
      </c>
    </row>
    <row r="131" spans="1:15" x14ac:dyDescent="0.2">
      <c r="A131">
        <v>99</v>
      </c>
      <c r="B131" t="s">
        <v>2117</v>
      </c>
      <c r="C131" t="s">
        <v>714</v>
      </c>
      <c r="D131" t="s">
        <v>329</v>
      </c>
      <c r="E131" t="s">
        <v>41</v>
      </c>
      <c r="F131">
        <v>1</v>
      </c>
      <c r="G131">
        <v>1128</v>
      </c>
      <c r="H131" t="s">
        <v>1819</v>
      </c>
      <c r="I131" t="s">
        <v>1170</v>
      </c>
      <c r="J131">
        <v>1128</v>
      </c>
      <c r="K131">
        <v>40608</v>
      </c>
      <c r="L131" t="s">
        <v>1183</v>
      </c>
      <c r="M131">
        <v>36</v>
      </c>
      <c r="N131" t="s">
        <v>2244</v>
      </c>
      <c r="O131" t="s">
        <v>843</v>
      </c>
    </row>
    <row r="132" spans="1:15" x14ac:dyDescent="0.2">
      <c r="A132">
        <v>99</v>
      </c>
      <c r="B132" t="s">
        <v>2117</v>
      </c>
      <c r="C132" t="s">
        <v>715</v>
      </c>
      <c r="D132" t="s">
        <v>91</v>
      </c>
      <c r="E132" t="s">
        <v>154</v>
      </c>
      <c r="F132">
        <v>1</v>
      </c>
      <c r="G132">
        <v>7500</v>
      </c>
      <c r="H132" t="s">
        <v>1170</v>
      </c>
      <c r="I132" t="s">
        <v>1170</v>
      </c>
      <c r="J132">
        <v>7500</v>
      </c>
      <c r="K132">
        <v>165000</v>
      </c>
      <c r="L132" t="s">
        <v>1187</v>
      </c>
      <c r="M132">
        <v>22</v>
      </c>
      <c r="N132" t="s">
        <v>2247</v>
      </c>
      <c r="O132" t="s">
        <v>154</v>
      </c>
    </row>
    <row r="133" spans="1:15" x14ac:dyDescent="0.2">
      <c r="A133">
        <v>99</v>
      </c>
      <c r="B133" t="s">
        <v>2117</v>
      </c>
      <c r="C133" t="s">
        <v>4818</v>
      </c>
      <c r="D133" t="s">
        <v>4819</v>
      </c>
      <c r="E133" t="s">
        <v>4820</v>
      </c>
      <c r="F133">
        <v>1</v>
      </c>
      <c r="G133">
        <v>24500</v>
      </c>
      <c r="H133" t="s">
        <v>1170</v>
      </c>
      <c r="I133" t="s">
        <v>1170</v>
      </c>
      <c r="J133">
        <v>24500</v>
      </c>
      <c r="K133">
        <v>147000</v>
      </c>
      <c r="L133" t="s">
        <v>4821</v>
      </c>
      <c r="M133">
        <v>6</v>
      </c>
      <c r="N133" t="s">
        <v>4822</v>
      </c>
      <c r="O133" t="s">
        <v>4823</v>
      </c>
    </row>
    <row r="134" spans="1:15" x14ac:dyDescent="0.2">
      <c r="A134">
        <v>99</v>
      </c>
      <c r="B134" t="s">
        <v>2117</v>
      </c>
      <c r="C134" t="s">
        <v>724</v>
      </c>
      <c r="D134" t="s">
        <v>969</v>
      </c>
      <c r="E134" t="s">
        <v>765</v>
      </c>
      <c r="F134">
        <v>2</v>
      </c>
      <c r="G134">
        <v>650</v>
      </c>
      <c r="H134" t="s">
        <v>1819</v>
      </c>
      <c r="I134" t="s">
        <v>1170</v>
      </c>
      <c r="J134">
        <v>1300</v>
      </c>
      <c r="K134">
        <v>28600</v>
      </c>
      <c r="L134" t="s">
        <v>1194</v>
      </c>
      <c r="M134">
        <v>22</v>
      </c>
      <c r="N134" t="s">
        <v>2248</v>
      </c>
      <c r="O134" t="s">
        <v>2249</v>
      </c>
    </row>
    <row r="135" spans="1:15" x14ac:dyDescent="0.2">
      <c r="A135">
        <v>99</v>
      </c>
      <c r="B135" t="s">
        <v>2117</v>
      </c>
      <c r="C135" t="s">
        <v>727</v>
      </c>
      <c r="D135" t="s">
        <v>385</v>
      </c>
      <c r="E135" t="s">
        <v>2250</v>
      </c>
      <c r="F135">
        <v>1</v>
      </c>
      <c r="G135">
        <v>700</v>
      </c>
      <c r="H135" t="s">
        <v>1819</v>
      </c>
      <c r="I135" t="s">
        <v>1819</v>
      </c>
      <c r="J135">
        <v>700</v>
      </c>
      <c r="K135">
        <v>2100</v>
      </c>
      <c r="L135" t="s">
        <v>1206</v>
      </c>
      <c r="M135">
        <v>3</v>
      </c>
      <c r="N135" t="s">
        <v>2251</v>
      </c>
      <c r="O135" t="s">
        <v>2250</v>
      </c>
    </row>
    <row r="136" spans="1:15" x14ac:dyDescent="0.2">
      <c r="A136">
        <v>99</v>
      </c>
      <c r="B136" t="s">
        <v>2117</v>
      </c>
      <c r="C136" t="s">
        <v>730</v>
      </c>
      <c r="D136" t="s">
        <v>387</v>
      </c>
      <c r="E136" t="s">
        <v>2252</v>
      </c>
      <c r="F136">
        <v>1</v>
      </c>
      <c r="G136">
        <v>1300</v>
      </c>
      <c r="H136" t="s">
        <v>1819</v>
      </c>
      <c r="I136" t="s">
        <v>1819</v>
      </c>
      <c r="J136">
        <v>1300</v>
      </c>
      <c r="K136">
        <v>3900</v>
      </c>
      <c r="L136" t="s">
        <v>1212</v>
      </c>
      <c r="M136">
        <v>3</v>
      </c>
      <c r="N136" t="s">
        <v>2253</v>
      </c>
      <c r="O136" t="s">
        <v>2252</v>
      </c>
    </row>
    <row r="137" spans="1:15" x14ac:dyDescent="0.2">
      <c r="A137">
        <v>99</v>
      </c>
      <c r="B137" t="s">
        <v>2117</v>
      </c>
      <c r="C137" t="s">
        <v>798</v>
      </c>
      <c r="D137" t="s">
        <v>388</v>
      </c>
      <c r="E137" t="s">
        <v>2254</v>
      </c>
      <c r="F137">
        <v>6</v>
      </c>
      <c r="G137">
        <v>450</v>
      </c>
      <c r="H137" t="s">
        <v>1819</v>
      </c>
      <c r="I137" t="s">
        <v>1819</v>
      </c>
      <c r="J137">
        <v>2700</v>
      </c>
      <c r="K137">
        <v>8100</v>
      </c>
      <c r="L137" t="s">
        <v>1253</v>
      </c>
      <c r="M137">
        <v>3</v>
      </c>
      <c r="N137" t="s">
        <v>2255</v>
      </c>
      <c r="O137" t="s">
        <v>2254</v>
      </c>
    </row>
    <row r="138" spans="1:15" x14ac:dyDescent="0.2">
      <c r="A138">
        <v>99</v>
      </c>
      <c r="B138" t="s">
        <v>2117</v>
      </c>
      <c r="C138" t="s">
        <v>592</v>
      </c>
      <c r="D138" t="s">
        <v>1463</v>
      </c>
      <c r="E138" t="s">
        <v>134</v>
      </c>
      <c r="F138">
        <v>1</v>
      </c>
      <c r="G138">
        <v>5541</v>
      </c>
      <c r="H138" t="s">
        <v>1819</v>
      </c>
      <c r="I138" t="s">
        <v>1819</v>
      </c>
      <c r="J138">
        <v>5541</v>
      </c>
      <c r="K138">
        <v>5541</v>
      </c>
      <c r="L138" t="s">
        <v>1053</v>
      </c>
      <c r="M138">
        <v>1</v>
      </c>
      <c r="N138" t="s">
        <v>2256</v>
      </c>
      <c r="O138" t="s">
        <v>1305</v>
      </c>
    </row>
    <row r="139" spans="1:15" x14ac:dyDescent="0.2">
      <c r="A139">
        <v>99</v>
      </c>
      <c r="B139" t="s">
        <v>2117</v>
      </c>
      <c r="C139" t="s">
        <v>595</v>
      </c>
      <c r="D139" t="s">
        <v>207</v>
      </c>
      <c r="E139" t="s">
        <v>2257</v>
      </c>
      <c r="F139">
        <v>1</v>
      </c>
      <c r="G139">
        <v>22200</v>
      </c>
      <c r="H139" t="s">
        <v>1819</v>
      </c>
      <c r="I139" t="s">
        <v>1819</v>
      </c>
      <c r="J139">
        <v>22200</v>
      </c>
      <c r="K139">
        <v>22200</v>
      </c>
      <c r="L139" t="s">
        <v>1076</v>
      </c>
      <c r="M139">
        <v>1</v>
      </c>
      <c r="N139" t="s">
        <v>2258</v>
      </c>
      <c r="O139" t="s">
        <v>839</v>
      </c>
    </row>
    <row r="140" spans="1:15" x14ac:dyDescent="0.2">
      <c r="A140">
        <v>99</v>
      </c>
      <c r="B140" t="s">
        <v>2117</v>
      </c>
      <c r="C140" t="s">
        <v>598</v>
      </c>
      <c r="D140" t="s">
        <v>277</v>
      </c>
      <c r="E140" t="s">
        <v>2285</v>
      </c>
      <c r="F140">
        <v>1</v>
      </c>
      <c r="G140">
        <v>29851.86</v>
      </c>
      <c r="H140" t="s">
        <v>1819</v>
      </c>
      <c r="I140" t="s">
        <v>1819</v>
      </c>
      <c r="J140">
        <v>29851.86</v>
      </c>
      <c r="K140">
        <v>29851.86</v>
      </c>
      <c r="L140" t="s">
        <v>1058</v>
      </c>
      <c r="M140">
        <v>1</v>
      </c>
      <c r="N140" t="s">
        <v>2286</v>
      </c>
      <c r="O140" t="s">
        <v>501</v>
      </c>
    </row>
    <row r="141" spans="1:15" x14ac:dyDescent="0.2">
      <c r="A141">
        <v>99</v>
      </c>
      <c r="B141" t="s">
        <v>2117</v>
      </c>
      <c r="C141" t="s">
        <v>598</v>
      </c>
      <c r="D141" t="s">
        <v>275</v>
      </c>
      <c r="E141" t="s">
        <v>2283</v>
      </c>
      <c r="F141">
        <v>1</v>
      </c>
      <c r="G141">
        <v>18721.22</v>
      </c>
      <c r="H141" t="s">
        <v>1819</v>
      </c>
      <c r="I141" t="s">
        <v>1819</v>
      </c>
      <c r="J141">
        <v>18721.22</v>
      </c>
      <c r="K141">
        <v>18721.22</v>
      </c>
      <c r="L141" t="s">
        <v>1058</v>
      </c>
      <c r="M141">
        <v>1</v>
      </c>
      <c r="N141" t="s">
        <v>2284</v>
      </c>
      <c r="O141" t="s">
        <v>501</v>
      </c>
    </row>
    <row r="142" spans="1:15" x14ac:dyDescent="0.2">
      <c r="A142">
        <v>99</v>
      </c>
      <c r="B142" t="s">
        <v>2117</v>
      </c>
      <c r="C142" t="s">
        <v>598</v>
      </c>
      <c r="D142" t="s">
        <v>229</v>
      </c>
      <c r="E142" t="s">
        <v>2264</v>
      </c>
      <c r="F142">
        <v>3</v>
      </c>
      <c r="G142">
        <v>10200.25</v>
      </c>
      <c r="H142" t="s">
        <v>1152</v>
      </c>
      <c r="I142" t="s">
        <v>1819</v>
      </c>
      <c r="J142">
        <v>30600.75</v>
      </c>
      <c r="K142">
        <v>30600.75</v>
      </c>
      <c r="L142" t="s">
        <v>1058</v>
      </c>
      <c r="M142">
        <v>1</v>
      </c>
      <c r="N142" t="s">
        <v>2265</v>
      </c>
      <c r="O142" t="s">
        <v>501</v>
      </c>
    </row>
    <row r="143" spans="1:15" x14ac:dyDescent="0.2">
      <c r="A143">
        <v>99</v>
      </c>
      <c r="B143" t="s">
        <v>2117</v>
      </c>
      <c r="C143" t="s">
        <v>598</v>
      </c>
      <c r="D143" t="s">
        <v>269</v>
      </c>
      <c r="E143" t="s">
        <v>2268</v>
      </c>
      <c r="F143">
        <v>68.08</v>
      </c>
      <c r="G143">
        <v>1913.24</v>
      </c>
      <c r="H143" t="s">
        <v>1152</v>
      </c>
      <c r="I143" t="s">
        <v>1819</v>
      </c>
      <c r="J143">
        <v>130253.3792</v>
      </c>
      <c r="K143">
        <v>130253.3792</v>
      </c>
      <c r="L143" t="s">
        <v>1058</v>
      </c>
      <c r="M143">
        <v>1</v>
      </c>
      <c r="N143" t="s">
        <v>2269</v>
      </c>
      <c r="O143" t="s">
        <v>501</v>
      </c>
    </row>
    <row r="144" spans="1:15" x14ac:dyDescent="0.2">
      <c r="A144">
        <v>99</v>
      </c>
      <c r="B144" t="s">
        <v>2117</v>
      </c>
      <c r="C144" t="s">
        <v>598</v>
      </c>
      <c r="D144" t="s">
        <v>273</v>
      </c>
      <c r="E144" t="s">
        <v>2280</v>
      </c>
      <c r="F144">
        <v>75.900000000000006</v>
      </c>
      <c r="G144">
        <v>2446.6</v>
      </c>
      <c r="H144" t="s">
        <v>1152</v>
      </c>
      <c r="I144" t="s">
        <v>1819</v>
      </c>
      <c r="J144">
        <v>185696.94</v>
      </c>
      <c r="K144">
        <v>185696.94</v>
      </c>
      <c r="L144" t="s">
        <v>1058</v>
      </c>
      <c r="M144">
        <v>1</v>
      </c>
      <c r="N144" t="s">
        <v>2281</v>
      </c>
      <c r="O144" t="s">
        <v>501</v>
      </c>
    </row>
    <row r="145" spans="1:15" x14ac:dyDescent="0.2">
      <c r="A145">
        <v>99</v>
      </c>
      <c r="B145" t="s">
        <v>2117</v>
      </c>
      <c r="C145" t="s">
        <v>598</v>
      </c>
      <c r="D145" t="s">
        <v>280</v>
      </c>
      <c r="E145" t="s">
        <v>2270</v>
      </c>
      <c r="F145">
        <v>1</v>
      </c>
      <c r="G145">
        <v>18721.22</v>
      </c>
      <c r="H145" t="s">
        <v>1819</v>
      </c>
      <c r="I145" t="s">
        <v>1819</v>
      </c>
      <c r="J145">
        <v>18721.22</v>
      </c>
      <c r="K145">
        <v>18721.22</v>
      </c>
      <c r="L145" t="s">
        <v>1058</v>
      </c>
      <c r="M145">
        <v>1</v>
      </c>
      <c r="N145" t="s">
        <v>2271</v>
      </c>
      <c r="O145" t="s">
        <v>501</v>
      </c>
    </row>
    <row r="146" spans="1:15" x14ac:dyDescent="0.2">
      <c r="A146">
        <v>99</v>
      </c>
      <c r="B146" t="s">
        <v>2117</v>
      </c>
      <c r="C146" t="s">
        <v>598</v>
      </c>
      <c r="D146" t="s">
        <v>272</v>
      </c>
      <c r="E146" t="s">
        <v>2278</v>
      </c>
      <c r="F146">
        <v>53.55</v>
      </c>
      <c r="G146">
        <v>1251.32</v>
      </c>
      <c r="H146" t="s">
        <v>1152</v>
      </c>
      <c r="I146" t="s">
        <v>1819</v>
      </c>
      <c r="J146">
        <v>67008.186000000002</v>
      </c>
      <c r="K146">
        <v>67008.186000000002</v>
      </c>
      <c r="L146" t="s">
        <v>1058</v>
      </c>
      <c r="M146">
        <v>1</v>
      </c>
      <c r="N146" t="s">
        <v>2279</v>
      </c>
      <c r="O146" t="s">
        <v>501</v>
      </c>
    </row>
    <row r="147" spans="1:15" x14ac:dyDescent="0.2">
      <c r="A147">
        <v>99</v>
      </c>
      <c r="B147" t="s">
        <v>2117</v>
      </c>
      <c r="C147" t="s">
        <v>598</v>
      </c>
      <c r="D147" t="s">
        <v>227</v>
      </c>
      <c r="E147" t="s">
        <v>2262</v>
      </c>
      <c r="F147">
        <v>88.99</v>
      </c>
      <c r="G147">
        <v>919.36</v>
      </c>
      <c r="H147" t="s">
        <v>1152</v>
      </c>
      <c r="I147" t="s">
        <v>1819</v>
      </c>
      <c r="J147">
        <v>81813.846399999995</v>
      </c>
      <c r="K147">
        <v>81813.846399999995</v>
      </c>
      <c r="L147" t="s">
        <v>1058</v>
      </c>
      <c r="M147">
        <v>1</v>
      </c>
      <c r="N147" t="s">
        <v>2263</v>
      </c>
      <c r="O147" t="s">
        <v>501</v>
      </c>
    </row>
    <row r="148" spans="1:15" x14ac:dyDescent="0.2">
      <c r="A148">
        <v>99</v>
      </c>
      <c r="B148" t="s">
        <v>2117</v>
      </c>
      <c r="C148" t="s">
        <v>598</v>
      </c>
      <c r="D148" t="s">
        <v>283</v>
      </c>
      <c r="E148" t="s">
        <v>2272</v>
      </c>
      <c r="F148">
        <v>1</v>
      </c>
      <c r="G148">
        <v>1600</v>
      </c>
      <c r="H148" t="s">
        <v>1819</v>
      </c>
      <c r="I148" t="s">
        <v>1819</v>
      </c>
      <c r="J148">
        <v>1600</v>
      </c>
      <c r="K148">
        <v>1600</v>
      </c>
      <c r="L148" t="s">
        <v>1058</v>
      </c>
      <c r="M148">
        <v>1</v>
      </c>
      <c r="N148" t="s">
        <v>2273</v>
      </c>
      <c r="O148" t="s">
        <v>501</v>
      </c>
    </row>
    <row r="149" spans="1:15" x14ac:dyDescent="0.2">
      <c r="A149">
        <v>99</v>
      </c>
      <c r="B149" t="s">
        <v>2117</v>
      </c>
      <c r="C149" t="s">
        <v>598</v>
      </c>
      <c r="D149" t="s">
        <v>221</v>
      </c>
      <c r="E149" t="s">
        <v>2260</v>
      </c>
      <c r="F149">
        <v>93.68</v>
      </c>
      <c r="G149">
        <v>2139.52</v>
      </c>
      <c r="H149" t="s">
        <v>1152</v>
      </c>
      <c r="I149" t="s">
        <v>1819</v>
      </c>
      <c r="J149">
        <v>200430.23360000001</v>
      </c>
      <c r="K149">
        <v>200430.23360000001</v>
      </c>
      <c r="L149" t="s">
        <v>1058</v>
      </c>
      <c r="M149">
        <v>1</v>
      </c>
      <c r="N149" t="s">
        <v>2261</v>
      </c>
      <c r="O149" t="s">
        <v>501</v>
      </c>
    </row>
    <row r="150" spans="1:15" x14ac:dyDescent="0.2">
      <c r="A150">
        <v>99</v>
      </c>
      <c r="B150" t="s">
        <v>2117</v>
      </c>
      <c r="C150" t="s">
        <v>598</v>
      </c>
      <c r="D150" t="s">
        <v>270</v>
      </c>
      <c r="E150" t="s">
        <v>2276</v>
      </c>
      <c r="F150">
        <v>2.27</v>
      </c>
      <c r="G150">
        <v>2656.64</v>
      </c>
      <c r="H150" t="s">
        <v>1152</v>
      </c>
      <c r="I150" t="s">
        <v>1819</v>
      </c>
      <c r="J150">
        <v>6030.5727999999999</v>
      </c>
      <c r="K150">
        <v>6030.5727999999999</v>
      </c>
      <c r="L150" t="s">
        <v>1058</v>
      </c>
      <c r="M150">
        <v>1</v>
      </c>
      <c r="N150" t="s">
        <v>2277</v>
      </c>
      <c r="O150" t="s">
        <v>501</v>
      </c>
    </row>
    <row r="151" spans="1:15" x14ac:dyDescent="0.2">
      <c r="A151">
        <v>99</v>
      </c>
      <c r="B151" t="s">
        <v>2117</v>
      </c>
      <c r="C151" t="s">
        <v>598</v>
      </c>
      <c r="D151" t="s">
        <v>480</v>
      </c>
      <c r="E151" t="s">
        <v>1617</v>
      </c>
      <c r="F151">
        <v>1</v>
      </c>
      <c r="G151">
        <v>85000</v>
      </c>
      <c r="H151" t="s">
        <v>1819</v>
      </c>
      <c r="I151" t="s">
        <v>1819</v>
      </c>
      <c r="J151">
        <v>85000</v>
      </c>
      <c r="K151">
        <v>85000</v>
      </c>
      <c r="L151" t="s">
        <v>1058</v>
      </c>
      <c r="M151">
        <v>1</v>
      </c>
      <c r="N151" t="s">
        <v>2259</v>
      </c>
      <c r="O151" t="s">
        <v>501</v>
      </c>
    </row>
    <row r="152" spans="1:15" x14ac:dyDescent="0.2">
      <c r="A152">
        <v>99</v>
      </c>
      <c r="B152" t="s">
        <v>2117</v>
      </c>
      <c r="C152" t="s">
        <v>598</v>
      </c>
      <c r="D152" t="s">
        <v>285</v>
      </c>
      <c r="E152" t="s">
        <v>2274</v>
      </c>
      <c r="F152">
        <v>16</v>
      </c>
      <c r="G152">
        <v>332.12</v>
      </c>
      <c r="H152" t="s">
        <v>1153</v>
      </c>
      <c r="I152" t="s">
        <v>1819</v>
      </c>
      <c r="J152">
        <v>5313.92</v>
      </c>
      <c r="K152">
        <v>5313.92</v>
      </c>
      <c r="L152" t="s">
        <v>1058</v>
      </c>
      <c r="M152">
        <v>1</v>
      </c>
      <c r="N152" t="s">
        <v>2275</v>
      </c>
      <c r="O152" t="s">
        <v>501</v>
      </c>
    </row>
    <row r="153" spans="1:15" x14ac:dyDescent="0.2">
      <c r="A153">
        <v>99</v>
      </c>
      <c r="B153" t="s">
        <v>2117</v>
      </c>
      <c r="C153" t="s">
        <v>598</v>
      </c>
      <c r="D153" t="s">
        <v>231</v>
      </c>
      <c r="E153" t="s">
        <v>2266</v>
      </c>
      <c r="F153">
        <v>48.22</v>
      </c>
      <c r="G153">
        <v>1910.56</v>
      </c>
      <c r="H153" t="s">
        <v>1152</v>
      </c>
      <c r="I153" t="s">
        <v>1819</v>
      </c>
      <c r="J153">
        <v>92127.203200000004</v>
      </c>
      <c r="K153">
        <v>92127.203200000004</v>
      </c>
      <c r="L153" t="s">
        <v>1058</v>
      </c>
      <c r="M153">
        <v>1</v>
      </c>
      <c r="N153" t="s">
        <v>2267</v>
      </c>
      <c r="O153" t="s">
        <v>501</v>
      </c>
    </row>
    <row r="154" spans="1:15" x14ac:dyDescent="0.2">
      <c r="A154">
        <v>99</v>
      </c>
      <c r="B154" t="s">
        <v>2117</v>
      </c>
      <c r="C154" t="s">
        <v>598</v>
      </c>
      <c r="D154" t="s">
        <v>274</v>
      </c>
      <c r="E154" t="s">
        <v>777</v>
      </c>
      <c r="F154">
        <v>1</v>
      </c>
      <c r="G154">
        <v>12000</v>
      </c>
      <c r="H154" t="s">
        <v>1819</v>
      </c>
      <c r="I154" t="s">
        <v>1819</v>
      </c>
      <c r="J154">
        <v>12000</v>
      </c>
      <c r="K154">
        <v>12000</v>
      </c>
      <c r="L154" t="s">
        <v>1058</v>
      </c>
      <c r="M154">
        <v>1</v>
      </c>
      <c r="N154" t="s">
        <v>2282</v>
      </c>
      <c r="O154" t="s">
        <v>501</v>
      </c>
    </row>
    <row r="155" spans="1:15" x14ac:dyDescent="0.2">
      <c r="A155">
        <v>99</v>
      </c>
      <c r="B155" t="s">
        <v>2117</v>
      </c>
      <c r="C155" t="s">
        <v>600</v>
      </c>
      <c r="D155" t="s">
        <v>659</v>
      </c>
      <c r="E155" t="s">
        <v>572</v>
      </c>
      <c r="F155">
        <v>1.8</v>
      </c>
      <c r="G155">
        <v>2320.7800000000002</v>
      </c>
      <c r="H155" t="s">
        <v>1170</v>
      </c>
      <c r="I155" t="s">
        <v>1170</v>
      </c>
      <c r="J155">
        <v>4177.4040000000005</v>
      </c>
      <c r="K155">
        <v>91902.888000000006</v>
      </c>
      <c r="L155" t="s">
        <v>1201</v>
      </c>
      <c r="M155">
        <v>22</v>
      </c>
      <c r="N155" t="s">
        <v>2287</v>
      </c>
      <c r="O155" t="s">
        <v>1131</v>
      </c>
    </row>
    <row r="156" spans="1:15" x14ac:dyDescent="0.2">
      <c r="A156">
        <v>99</v>
      </c>
      <c r="B156" t="s">
        <v>2117</v>
      </c>
      <c r="C156" t="s">
        <v>600</v>
      </c>
      <c r="D156" t="s">
        <v>498</v>
      </c>
      <c r="E156" t="s">
        <v>773</v>
      </c>
      <c r="F156">
        <v>1.2</v>
      </c>
      <c r="G156">
        <v>4177.4040000000005</v>
      </c>
      <c r="H156" t="s">
        <v>84</v>
      </c>
      <c r="I156" t="s">
        <v>1170</v>
      </c>
      <c r="J156">
        <v>5012.8847999999998</v>
      </c>
      <c r="K156">
        <v>110283.4656</v>
      </c>
      <c r="L156" t="s">
        <v>1201</v>
      </c>
      <c r="M156">
        <v>22</v>
      </c>
      <c r="N156" t="s">
        <v>2288</v>
      </c>
      <c r="O156" t="s">
        <v>1131</v>
      </c>
    </row>
    <row r="157" spans="1:15" x14ac:dyDescent="0.2">
      <c r="A157">
        <v>99</v>
      </c>
      <c r="B157" t="s">
        <v>2117</v>
      </c>
      <c r="C157" t="s">
        <v>603</v>
      </c>
      <c r="D157" t="s">
        <v>211</v>
      </c>
      <c r="E157" t="s">
        <v>2289</v>
      </c>
      <c r="F157">
        <v>1</v>
      </c>
      <c r="G157">
        <v>50000</v>
      </c>
      <c r="H157" t="s">
        <v>1819</v>
      </c>
      <c r="I157" t="s">
        <v>1819</v>
      </c>
      <c r="J157">
        <v>50000</v>
      </c>
      <c r="K157">
        <v>50000</v>
      </c>
      <c r="L157" t="s">
        <v>1062</v>
      </c>
      <c r="M157">
        <v>1</v>
      </c>
      <c r="N157" t="s">
        <v>2290</v>
      </c>
      <c r="O157" t="s">
        <v>2291</v>
      </c>
    </row>
    <row r="158" spans="1:15" x14ac:dyDescent="0.2">
      <c r="A158">
        <v>99</v>
      </c>
      <c r="B158" t="s">
        <v>2117</v>
      </c>
      <c r="C158" t="s">
        <v>607</v>
      </c>
      <c r="D158" t="s">
        <v>131</v>
      </c>
      <c r="E158" t="s">
        <v>1358</v>
      </c>
      <c r="F158">
        <v>1</v>
      </c>
      <c r="G158">
        <v>2800</v>
      </c>
      <c r="H158" t="s">
        <v>1170</v>
      </c>
      <c r="I158" t="s">
        <v>1170</v>
      </c>
      <c r="J158">
        <v>2800</v>
      </c>
      <c r="K158">
        <v>61600</v>
      </c>
      <c r="L158" t="s">
        <v>1190</v>
      </c>
      <c r="M158">
        <v>22</v>
      </c>
      <c r="N158" t="s">
        <v>2292</v>
      </c>
      <c r="O158" t="s">
        <v>2293</v>
      </c>
    </row>
    <row r="159" spans="1:15" x14ac:dyDescent="0.2">
      <c r="A159">
        <v>99</v>
      </c>
      <c r="B159" t="s">
        <v>2117</v>
      </c>
      <c r="C159" t="s">
        <v>610</v>
      </c>
      <c r="D159" t="s">
        <v>332</v>
      </c>
      <c r="E159" t="s">
        <v>1523</v>
      </c>
      <c r="F159">
        <v>1</v>
      </c>
      <c r="G159">
        <v>1600</v>
      </c>
      <c r="H159" t="s">
        <v>1170</v>
      </c>
      <c r="I159" t="s">
        <v>1170</v>
      </c>
      <c r="J159">
        <v>1600</v>
      </c>
      <c r="K159">
        <v>35200</v>
      </c>
      <c r="L159" t="s">
        <v>1066</v>
      </c>
      <c r="M159">
        <v>22</v>
      </c>
      <c r="N159" t="s">
        <v>2294</v>
      </c>
      <c r="O159" t="s">
        <v>2295</v>
      </c>
    </row>
    <row r="160" spans="1:15" x14ac:dyDescent="0.2">
      <c r="A160">
        <v>99</v>
      </c>
      <c r="B160" t="s">
        <v>2117</v>
      </c>
      <c r="C160" t="s">
        <v>612</v>
      </c>
      <c r="D160" t="s">
        <v>336</v>
      </c>
      <c r="E160" t="s">
        <v>1023</v>
      </c>
      <c r="F160">
        <v>4</v>
      </c>
      <c r="G160">
        <v>490</v>
      </c>
      <c r="H160" t="s">
        <v>1170</v>
      </c>
      <c r="I160" t="s">
        <v>1170</v>
      </c>
      <c r="J160">
        <v>1960</v>
      </c>
      <c r="K160">
        <v>43120</v>
      </c>
      <c r="L160" t="s">
        <v>1069</v>
      </c>
      <c r="M160">
        <v>22</v>
      </c>
      <c r="N160" t="s">
        <v>2296</v>
      </c>
      <c r="O160" t="s">
        <v>2297</v>
      </c>
    </row>
    <row r="161" spans="1:15" x14ac:dyDescent="0.2">
      <c r="A161">
        <v>99</v>
      </c>
      <c r="B161" t="s">
        <v>2117</v>
      </c>
      <c r="C161" t="s">
        <v>615</v>
      </c>
      <c r="D161" t="s">
        <v>339</v>
      </c>
      <c r="E161" t="s">
        <v>390</v>
      </c>
      <c r="F161">
        <v>1</v>
      </c>
      <c r="G161">
        <v>500</v>
      </c>
      <c r="H161" t="s">
        <v>1170</v>
      </c>
      <c r="I161" t="s">
        <v>1170</v>
      </c>
      <c r="J161">
        <v>500</v>
      </c>
      <c r="K161">
        <v>6000</v>
      </c>
      <c r="L161" t="s">
        <v>1071</v>
      </c>
      <c r="M161">
        <v>12</v>
      </c>
      <c r="N161" t="s">
        <v>2298</v>
      </c>
      <c r="O161" t="s">
        <v>2299</v>
      </c>
    </row>
    <row r="162" spans="1:15" x14ac:dyDescent="0.2">
      <c r="A162">
        <v>99</v>
      </c>
      <c r="B162" t="s">
        <v>2117</v>
      </c>
      <c r="C162" t="s">
        <v>669</v>
      </c>
      <c r="D162" t="s">
        <v>344</v>
      </c>
      <c r="E162" t="s">
        <v>1745</v>
      </c>
      <c r="F162">
        <v>1</v>
      </c>
      <c r="G162">
        <v>1490</v>
      </c>
      <c r="H162" t="s">
        <v>1170</v>
      </c>
      <c r="I162" t="s">
        <v>1170</v>
      </c>
      <c r="J162">
        <v>1490</v>
      </c>
      <c r="K162">
        <v>35760</v>
      </c>
      <c r="L162" t="s">
        <v>1073</v>
      </c>
      <c r="M162">
        <v>24</v>
      </c>
      <c r="N162" t="s">
        <v>2300</v>
      </c>
      <c r="O162" t="s">
        <v>2301</v>
      </c>
    </row>
    <row r="163" spans="1:15" x14ac:dyDescent="0.2">
      <c r="A163">
        <v>99</v>
      </c>
      <c r="B163" t="s">
        <v>2117</v>
      </c>
      <c r="C163" t="s">
        <v>488</v>
      </c>
      <c r="D163" t="s">
        <v>1947</v>
      </c>
      <c r="E163" t="s">
        <v>2308</v>
      </c>
      <c r="F163">
        <v>1.2273000000000001</v>
      </c>
      <c r="G163">
        <v>26.4</v>
      </c>
      <c r="H163" t="s">
        <v>153</v>
      </c>
      <c r="I163" t="s">
        <v>1152</v>
      </c>
      <c r="J163">
        <v>32.40072</v>
      </c>
      <c r="K163">
        <v>44370.841997000003</v>
      </c>
      <c r="L163" t="s">
        <v>910</v>
      </c>
      <c r="M163">
        <v>1369.44</v>
      </c>
      <c r="N163" t="s">
        <v>2309</v>
      </c>
      <c r="O163" t="s">
        <v>1511</v>
      </c>
    </row>
    <row r="164" spans="1:15" x14ac:dyDescent="0.2">
      <c r="A164">
        <v>99</v>
      </c>
      <c r="B164" t="s">
        <v>2117</v>
      </c>
      <c r="C164" t="s">
        <v>488</v>
      </c>
      <c r="D164" t="s">
        <v>1971</v>
      </c>
      <c r="E164" t="s">
        <v>1147</v>
      </c>
      <c r="F164">
        <v>0</v>
      </c>
      <c r="G164">
        <v>28.81</v>
      </c>
      <c r="H164" t="s">
        <v>742</v>
      </c>
      <c r="I164" t="s">
        <v>1152</v>
      </c>
      <c r="J164">
        <v>0</v>
      </c>
      <c r="K164">
        <v>0</v>
      </c>
      <c r="L164" t="s">
        <v>910</v>
      </c>
      <c r="M164">
        <v>1369.44</v>
      </c>
      <c r="N164" t="s">
        <v>2312</v>
      </c>
      <c r="O164" t="s">
        <v>1511</v>
      </c>
    </row>
    <row r="165" spans="1:15" x14ac:dyDescent="0.2">
      <c r="A165">
        <v>99</v>
      </c>
      <c r="B165" t="s">
        <v>2117</v>
      </c>
      <c r="C165" t="s">
        <v>488</v>
      </c>
      <c r="D165" t="s">
        <v>794</v>
      </c>
      <c r="E165" t="s">
        <v>446</v>
      </c>
      <c r="F165">
        <v>0.18970000000000001</v>
      </c>
      <c r="G165">
        <v>11.1343</v>
      </c>
      <c r="H165" t="s">
        <v>151</v>
      </c>
      <c r="I165" t="s">
        <v>1152</v>
      </c>
      <c r="J165">
        <v>2.11217671</v>
      </c>
      <c r="K165">
        <v>2892.4992739999998</v>
      </c>
      <c r="L165" t="s">
        <v>910</v>
      </c>
      <c r="M165">
        <v>1369.44</v>
      </c>
      <c r="N165" t="s">
        <v>2318</v>
      </c>
      <c r="O165" t="s">
        <v>1511</v>
      </c>
    </row>
    <row r="166" spans="1:15" x14ac:dyDescent="0.2">
      <c r="A166">
        <v>99</v>
      </c>
      <c r="B166" t="s">
        <v>2117</v>
      </c>
      <c r="C166" t="s">
        <v>488</v>
      </c>
      <c r="D166" t="s">
        <v>933</v>
      </c>
      <c r="E166" t="s">
        <v>2322</v>
      </c>
      <c r="F166">
        <v>0.6</v>
      </c>
      <c r="G166">
        <v>45</v>
      </c>
      <c r="H166" t="s">
        <v>1152</v>
      </c>
      <c r="I166" t="s">
        <v>1152</v>
      </c>
      <c r="J166">
        <v>27</v>
      </c>
      <c r="K166">
        <v>36974.879999999997</v>
      </c>
      <c r="L166" t="s">
        <v>910</v>
      </c>
      <c r="M166">
        <v>1369.44</v>
      </c>
      <c r="N166" t="s">
        <v>2323</v>
      </c>
      <c r="O166" t="s">
        <v>1511</v>
      </c>
    </row>
    <row r="167" spans="1:15" x14ac:dyDescent="0.2">
      <c r="A167">
        <v>99</v>
      </c>
      <c r="B167" t="s">
        <v>2117</v>
      </c>
      <c r="C167" t="s">
        <v>488</v>
      </c>
      <c r="D167" t="s">
        <v>1952</v>
      </c>
      <c r="E167" t="s">
        <v>2315</v>
      </c>
      <c r="F167">
        <v>0.58530000000000004</v>
      </c>
      <c r="G167">
        <v>52.51</v>
      </c>
      <c r="H167" t="s">
        <v>1152</v>
      </c>
      <c r="I167" t="s">
        <v>1152</v>
      </c>
      <c r="J167">
        <v>30.734103000000001</v>
      </c>
      <c r="K167">
        <v>42088.510011999999</v>
      </c>
      <c r="L167" t="s">
        <v>910</v>
      </c>
      <c r="M167">
        <v>1369.44</v>
      </c>
      <c r="N167" t="s">
        <v>2316</v>
      </c>
      <c r="O167" t="s">
        <v>1511</v>
      </c>
    </row>
    <row r="168" spans="1:15" x14ac:dyDescent="0.2">
      <c r="A168">
        <v>99</v>
      </c>
      <c r="B168" t="s">
        <v>2117</v>
      </c>
      <c r="C168" t="s">
        <v>488</v>
      </c>
      <c r="D168" t="s">
        <v>1379</v>
      </c>
      <c r="E168" t="s">
        <v>1626</v>
      </c>
      <c r="F168">
        <v>6.9999999999999999E-4</v>
      </c>
      <c r="G168">
        <v>116.09</v>
      </c>
      <c r="H168" t="s">
        <v>1153</v>
      </c>
      <c r="I168" t="s">
        <v>1152</v>
      </c>
      <c r="J168">
        <v>8.1263000000000002E-2</v>
      </c>
      <c r="K168">
        <v>111.284803</v>
      </c>
      <c r="L168" t="s">
        <v>910</v>
      </c>
      <c r="M168">
        <v>1369.44</v>
      </c>
      <c r="N168" t="s">
        <v>2304</v>
      </c>
      <c r="O168" t="s">
        <v>1511</v>
      </c>
    </row>
    <row r="169" spans="1:15" x14ac:dyDescent="0.2">
      <c r="A169">
        <v>99</v>
      </c>
      <c r="B169" t="s">
        <v>2117</v>
      </c>
      <c r="C169" t="s">
        <v>488</v>
      </c>
      <c r="D169" t="s">
        <v>324</v>
      </c>
      <c r="E169" t="s">
        <v>2306</v>
      </c>
      <c r="F169">
        <v>1</v>
      </c>
      <c r="G169">
        <v>18.329999999999998</v>
      </c>
      <c r="H169" t="s">
        <v>153</v>
      </c>
      <c r="I169" t="s">
        <v>1152</v>
      </c>
      <c r="J169">
        <v>18.329999999999998</v>
      </c>
      <c r="K169">
        <v>25101.835200000001</v>
      </c>
      <c r="L169" t="s">
        <v>910</v>
      </c>
      <c r="M169">
        <v>1369.44</v>
      </c>
      <c r="N169" t="s">
        <v>2307</v>
      </c>
      <c r="O169" t="s">
        <v>1511</v>
      </c>
    </row>
    <row r="170" spans="1:15" x14ac:dyDescent="0.2">
      <c r="A170">
        <v>99</v>
      </c>
      <c r="B170" t="s">
        <v>2117</v>
      </c>
      <c r="C170" t="s">
        <v>488</v>
      </c>
      <c r="D170" t="s">
        <v>936</v>
      </c>
      <c r="E170" t="s">
        <v>2324</v>
      </c>
      <c r="F170">
        <v>0.4</v>
      </c>
      <c r="G170">
        <v>45</v>
      </c>
      <c r="H170" t="s">
        <v>1152</v>
      </c>
      <c r="I170" t="s">
        <v>1152</v>
      </c>
      <c r="J170">
        <v>18</v>
      </c>
      <c r="K170">
        <v>24649.919999999998</v>
      </c>
      <c r="L170" t="s">
        <v>910</v>
      </c>
      <c r="M170">
        <v>1369.44</v>
      </c>
      <c r="N170" t="s">
        <v>2325</v>
      </c>
      <c r="O170" t="s">
        <v>1511</v>
      </c>
    </row>
    <row r="171" spans="1:15" x14ac:dyDescent="0.2">
      <c r="A171">
        <v>99</v>
      </c>
      <c r="B171" t="s">
        <v>2117</v>
      </c>
      <c r="C171" t="s">
        <v>488</v>
      </c>
      <c r="D171" t="s">
        <v>547</v>
      </c>
      <c r="E171" t="s">
        <v>2320</v>
      </c>
      <c r="F171">
        <v>0</v>
      </c>
      <c r="G171">
        <v>13.51</v>
      </c>
      <c r="H171" t="s">
        <v>151</v>
      </c>
      <c r="I171" t="s">
        <v>1152</v>
      </c>
      <c r="J171">
        <v>0</v>
      </c>
      <c r="K171">
        <v>0</v>
      </c>
      <c r="L171" t="s">
        <v>910</v>
      </c>
      <c r="M171">
        <v>1369.44</v>
      </c>
      <c r="N171" t="s">
        <v>2321</v>
      </c>
      <c r="O171" t="s">
        <v>1511</v>
      </c>
    </row>
    <row r="172" spans="1:15" x14ac:dyDescent="0.2">
      <c r="A172">
        <v>99</v>
      </c>
      <c r="B172" t="s">
        <v>2117</v>
      </c>
      <c r="C172" t="s">
        <v>488</v>
      </c>
      <c r="D172" t="s">
        <v>1258</v>
      </c>
      <c r="E172" t="s">
        <v>1526</v>
      </c>
      <c r="F172">
        <v>1E-3</v>
      </c>
      <c r="G172">
        <v>148</v>
      </c>
      <c r="H172" t="s">
        <v>1153</v>
      </c>
      <c r="I172" t="s">
        <v>1152</v>
      </c>
      <c r="J172">
        <v>0.14799999999999999</v>
      </c>
      <c r="K172">
        <v>202.67712</v>
      </c>
      <c r="L172" t="s">
        <v>910</v>
      </c>
      <c r="M172">
        <v>1369.44</v>
      </c>
      <c r="N172" t="s">
        <v>2305</v>
      </c>
      <c r="O172" t="s">
        <v>1511</v>
      </c>
    </row>
    <row r="173" spans="1:15" x14ac:dyDescent="0.2">
      <c r="A173">
        <v>99</v>
      </c>
      <c r="B173" t="s">
        <v>2117</v>
      </c>
      <c r="C173" t="s">
        <v>488</v>
      </c>
      <c r="D173" t="s">
        <v>120</v>
      </c>
      <c r="E173" t="s">
        <v>597</v>
      </c>
      <c r="F173">
        <v>0</v>
      </c>
      <c r="G173">
        <v>1.52</v>
      </c>
      <c r="H173" t="s">
        <v>742</v>
      </c>
      <c r="I173" t="s">
        <v>1152</v>
      </c>
      <c r="J173">
        <v>0</v>
      </c>
      <c r="K173">
        <v>0</v>
      </c>
      <c r="L173" t="s">
        <v>910</v>
      </c>
      <c r="M173">
        <v>1369.44</v>
      </c>
      <c r="N173" t="s">
        <v>2314</v>
      </c>
      <c r="O173" t="s">
        <v>1511</v>
      </c>
    </row>
    <row r="174" spans="1:15" x14ac:dyDescent="0.2">
      <c r="A174">
        <v>99</v>
      </c>
      <c r="B174" t="s">
        <v>2117</v>
      </c>
      <c r="C174" t="s">
        <v>488</v>
      </c>
      <c r="D174" t="s">
        <v>1061</v>
      </c>
      <c r="E174" t="s">
        <v>1950</v>
      </c>
      <c r="F174">
        <v>4.2799999999999998E-2</v>
      </c>
      <c r="G174">
        <v>10.52</v>
      </c>
      <c r="H174" t="s">
        <v>1052</v>
      </c>
      <c r="I174" t="s">
        <v>1152</v>
      </c>
      <c r="J174">
        <v>0.45025599999999999</v>
      </c>
      <c r="K174">
        <v>616.59857699999998</v>
      </c>
      <c r="L174" t="s">
        <v>910</v>
      </c>
      <c r="M174">
        <v>1369.44</v>
      </c>
      <c r="N174" t="s">
        <v>2302</v>
      </c>
      <c r="O174" t="s">
        <v>1511</v>
      </c>
    </row>
    <row r="175" spans="1:15" x14ac:dyDescent="0.2">
      <c r="A175">
        <v>99</v>
      </c>
      <c r="B175" t="s">
        <v>2117</v>
      </c>
      <c r="C175" t="s">
        <v>488</v>
      </c>
      <c r="D175" t="s">
        <v>1654</v>
      </c>
      <c r="E175" t="s">
        <v>1551</v>
      </c>
      <c r="F175">
        <v>0.25609999999999999</v>
      </c>
      <c r="G175">
        <v>0.7974</v>
      </c>
      <c r="H175" t="s">
        <v>1052</v>
      </c>
      <c r="I175" t="s">
        <v>1152</v>
      </c>
      <c r="J175">
        <v>0.20421413999999999</v>
      </c>
      <c r="K175">
        <v>279.65901200000002</v>
      </c>
      <c r="L175" t="s">
        <v>910</v>
      </c>
      <c r="M175">
        <v>1369.44</v>
      </c>
      <c r="N175" t="s">
        <v>2303</v>
      </c>
      <c r="O175" t="s">
        <v>1511</v>
      </c>
    </row>
    <row r="176" spans="1:15" x14ac:dyDescent="0.2">
      <c r="A176">
        <v>99</v>
      </c>
      <c r="B176" t="s">
        <v>2117</v>
      </c>
      <c r="C176" t="s">
        <v>488</v>
      </c>
      <c r="D176" t="s">
        <v>944</v>
      </c>
      <c r="E176" t="s">
        <v>1601</v>
      </c>
      <c r="F176">
        <v>0.56910000000000005</v>
      </c>
      <c r="G176">
        <v>19.170000000000002</v>
      </c>
      <c r="H176" t="s">
        <v>151</v>
      </c>
      <c r="I176" t="s">
        <v>1152</v>
      </c>
      <c r="J176">
        <v>10.909647</v>
      </c>
      <c r="K176">
        <v>14940.106988</v>
      </c>
      <c r="L176" t="s">
        <v>910</v>
      </c>
      <c r="M176">
        <v>1369.44</v>
      </c>
      <c r="N176" t="s">
        <v>2317</v>
      </c>
      <c r="O176" t="s">
        <v>1511</v>
      </c>
    </row>
    <row r="177" spans="1:15" x14ac:dyDescent="0.2">
      <c r="A177">
        <v>99</v>
      </c>
      <c r="B177" t="s">
        <v>2117</v>
      </c>
      <c r="C177" t="s">
        <v>488</v>
      </c>
      <c r="D177" t="s">
        <v>801</v>
      </c>
      <c r="E177" t="s">
        <v>402</v>
      </c>
      <c r="F177">
        <v>2.5000000000000001E-3</v>
      </c>
      <c r="G177">
        <v>10.3</v>
      </c>
      <c r="H177" t="s">
        <v>151</v>
      </c>
      <c r="I177" t="s">
        <v>1152</v>
      </c>
      <c r="J177">
        <v>2.5749999999999999E-2</v>
      </c>
      <c r="K177">
        <v>35.263080000000002</v>
      </c>
      <c r="L177" t="s">
        <v>910</v>
      </c>
      <c r="M177">
        <v>1369.44</v>
      </c>
      <c r="N177" t="s">
        <v>2319</v>
      </c>
      <c r="O177" t="s">
        <v>1511</v>
      </c>
    </row>
    <row r="178" spans="1:15" x14ac:dyDescent="0.2">
      <c r="A178">
        <v>99</v>
      </c>
      <c r="B178" t="s">
        <v>2117</v>
      </c>
      <c r="C178" t="s">
        <v>488</v>
      </c>
      <c r="D178" t="s">
        <v>498</v>
      </c>
      <c r="E178" t="s">
        <v>773</v>
      </c>
      <c r="F178">
        <v>1.2</v>
      </c>
      <c r="G178">
        <v>13.047599999999999</v>
      </c>
      <c r="H178" t="s">
        <v>84</v>
      </c>
      <c r="I178" t="s">
        <v>1152</v>
      </c>
      <c r="J178">
        <v>15.657120000000001</v>
      </c>
      <c r="K178">
        <v>21441.486412999999</v>
      </c>
      <c r="L178" t="s">
        <v>910</v>
      </c>
      <c r="M178">
        <v>1369.44</v>
      </c>
      <c r="N178" t="s">
        <v>2310</v>
      </c>
      <c r="O178" t="s">
        <v>1511</v>
      </c>
    </row>
    <row r="179" spans="1:15" x14ac:dyDescent="0.2">
      <c r="A179">
        <v>99</v>
      </c>
      <c r="B179" t="s">
        <v>2117</v>
      </c>
      <c r="C179" t="s">
        <v>488</v>
      </c>
      <c r="D179" t="s">
        <v>66</v>
      </c>
      <c r="E179" t="s">
        <v>617</v>
      </c>
      <c r="F179">
        <v>0</v>
      </c>
      <c r="G179">
        <v>5.45</v>
      </c>
      <c r="H179" t="s">
        <v>764</v>
      </c>
      <c r="I179" t="s">
        <v>1152</v>
      </c>
      <c r="J179">
        <v>0</v>
      </c>
      <c r="K179">
        <v>0</v>
      </c>
      <c r="L179" t="s">
        <v>910</v>
      </c>
      <c r="M179">
        <v>1369.44</v>
      </c>
      <c r="N179" t="s">
        <v>2313</v>
      </c>
      <c r="O179" t="s">
        <v>1511</v>
      </c>
    </row>
    <row r="180" spans="1:15" x14ac:dyDescent="0.2">
      <c r="A180">
        <v>99</v>
      </c>
      <c r="B180" t="s">
        <v>2117</v>
      </c>
      <c r="C180" t="s">
        <v>488</v>
      </c>
      <c r="D180" t="s">
        <v>1970</v>
      </c>
      <c r="E180" t="s">
        <v>1166</v>
      </c>
      <c r="F180">
        <v>0</v>
      </c>
      <c r="G180">
        <v>30.29</v>
      </c>
      <c r="H180" t="s">
        <v>764</v>
      </c>
      <c r="I180" t="s">
        <v>1152</v>
      </c>
      <c r="J180">
        <v>0</v>
      </c>
      <c r="K180">
        <v>0</v>
      </c>
      <c r="L180" t="s">
        <v>910</v>
      </c>
      <c r="M180">
        <v>1369.44</v>
      </c>
      <c r="N180" t="s">
        <v>2311</v>
      </c>
      <c r="O180" t="s">
        <v>1511</v>
      </c>
    </row>
    <row r="181" spans="1:15" x14ac:dyDescent="0.2">
      <c r="A181">
        <v>99</v>
      </c>
      <c r="B181" t="s">
        <v>2117</v>
      </c>
      <c r="C181" t="s">
        <v>491</v>
      </c>
      <c r="D181" t="s">
        <v>877</v>
      </c>
      <c r="E181" t="s">
        <v>2332</v>
      </c>
      <c r="F181">
        <v>1.67</v>
      </c>
      <c r="G181">
        <v>0.55000000000000004</v>
      </c>
      <c r="H181" t="s">
        <v>1781</v>
      </c>
      <c r="I181" t="s">
        <v>153</v>
      </c>
      <c r="J181">
        <v>0.91849999999999998</v>
      </c>
      <c r="K181">
        <v>571.30700000000002</v>
      </c>
      <c r="L181" t="s">
        <v>1074</v>
      </c>
      <c r="M181">
        <v>622</v>
      </c>
      <c r="N181" t="s">
        <v>2333</v>
      </c>
      <c r="O181" t="s">
        <v>2328</v>
      </c>
    </row>
    <row r="182" spans="1:15" x14ac:dyDescent="0.2">
      <c r="A182">
        <v>99</v>
      </c>
      <c r="B182" t="s">
        <v>2117</v>
      </c>
      <c r="C182" t="s">
        <v>491</v>
      </c>
      <c r="D182" t="s">
        <v>1009</v>
      </c>
      <c r="E182" t="s">
        <v>672</v>
      </c>
      <c r="F182">
        <v>9.9000000000000005E-2</v>
      </c>
      <c r="G182">
        <v>16.489999999999998</v>
      </c>
      <c r="H182" t="s">
        <v>151</v>
      </c>
      <c r="I182" t="s">
        <v>153</v>
      </c>
      <c r="J182">
        <v>1.6325099999999999</v>
      </c>
      <c r="K182">
        <v>1015.4212199999999</v>
      </c>
      <c r="L182" t="s">
        <v>1074</v>
      </c>
      <c r="M182">
        <v>622</v>
      </c>
      <c r="N182" t="s">
        <v>2334</v>
      </c>
      <c r="O182" t="s">
        <v>2328</v>
      </c>
    </row>
    <row r="183" spans="1:15" x14ac:dyDescent="0.2">
      <c r="A183">
        <v>99</v>
      </c>
      <c r="B183" t="s">
        <v>2117</v>
      </c>
      <c r="C183" t="s">
        <v>491</v>
      </c>
      <c r="D183" t="s">
        <v>498</v>
      </c>
      <c r="E183" t="s">
        <v>773</v>
      </c>
      <c r="F183">
        <v>1.2</v>
      </c>
      <c r="G183">
        <v>2.3123</v>
      </c>
      <c r="H183" t="s">
        <v>84</v>
      </c>
      <c r="I183" t="s">
        <v>153</v>
      </c>
      <c r="J183">
        <v>2.7747600000000001</v>
      </c>
      <c r="K183">
        <v>1725.9007200000001</v>
      </c>
      <c r="L183" t="s">
        <v>1074</v>
      </c>
      <c r="M183">
        <v>622</v>
      </c>
      <c r="N183" t="s">
        <v>2329</v>
      </c>
      <c r="O183" t="s">
        <v>2328</v>
      </c>
    </row>
    <row r="184" spans="1:15" x14ac:dyDescent="0.2">
      <c r="A184">
        <v>99</v>
      </c>
      <c r="B184" t="s">
        <v>2117</v>
      </c>
      <c r="C184" t="s">
        <v>491</v>
      </c>
      <c r="D184" t="s">
        <v>801</v>
      </c>
      <c r="E184" t="s">
        <v>402</v>
      </c>
      <c r="F184">
        <v>6.6000000000000003E-2</v>
      </c>
      <c r="G184">
        <v>10.3</v>
      </c>
      <c r="H184" t="s">
        <v>151</v>
      </c>
      <c r="I184" t="s">
        <v>153</v>
      </c>
      <c r="J184">
        <v>0.67979999999999996</v>
      </c>
      <c r="K184">
        <v>422.8356</v>
      </c>
      <c r="L184" t="s">
        <v>1074</v>
      </c>
      <c r="M184">
        <v>622</v>
      </c>
      <c r="N184" t="s">
        <v>2335</v>
      </c>
      <c r="O184" t="s">
        <v>2328</v>
      </c>
    </row>
    <row r="185" spans="1:15" x14ac:dyDescent="0.2">
      <c r="A185">
        <v>99</v>
      </c>
      <c r="B185" t="s">
        <v>2117</v>
      </c>
      <c r="C185" t="s">
        <v>491</v>
      </c>
      <c r="D185" t="s">
        <v>938</v>
      </c>
      <c r="E185" t="s">
        <v>2326</v>
      </c>
      <c r="F185">
        <v>1</v>
      </c>
      <c r="G185">
        <v>15</v>
      </c>
      <c r="H185" t="s">
        <v>153</v>
      </c>
      <c r="I185" t="s">
        <v>153</v>
      </c>
      <c r="J185">
        <v>15</v>
      </c>
      <c r="K185">
        <v>9330</v>
      </c>
      <c r="L185" t="s">
        <v>1074</v>
      </c>
      <c r="M185">
        <v>622</v>
      </c>
      <c r="N185" t="s">
        <v>2327</v>
      </c>
      <c r="O185" t="s">
        <v>2328</v>
      </c>
    </row>
    <row r="186" spans="1:15" x14ac:dyDescent="0.2">
      <c r="A186">
        <v>99</v>
      </c>
      <c r="B186" t="s">
        <v>2117</v>
      </c>
      <c r="C186" t="s">
        <v>491</v>
      </c>
      <c r="D186" t="s">
        <v>341</v>
      </c>
      <c r="E186" t="s">
        <v>2330</v>
      </c>
      <c r="F186">
        <v>1</v>
      </c>
      <c r="G186">
        <v>21.38</v>
      </c>
      <c r="H186" t="s">
        <v>153</v>
      </c>
      <c r="I186" t="s">
        <v>153</v>
      </c>
      <c r="J186">
        <v>21.38</v>
      </c>
      <c r="K186">
        <v>13298.36</v>
      </c>
      <c r="L186" t="s">
        <v>1074</v>
      </c>
      <c r="M186">
        <v>622</v>
      </c>
      <c r="N186" t="s">
        <v>2331</v>
      </c>
      <c r="O186" t="s">
        <v>2328</v>
      </c>
    </row>
    <row r="187" spans="1:15" x14ac:dyDescent="0.2">
      <c r="A187">
        <v>99</v>
      </c>
      <c r="B187" t="s">
        <v>2117</v>
      </c>
      <c r="C187" t="s">
        <v>577</v>
      </c>
      <c r="D187" t="s">
        <v>1232</v>
      </c>
      <c r="E187" t="s">
        <v>1169</v>
      </c>
      <c r="F187">
        <v>1</v>
      </c>
      <c r="G187">
        <v>6.5976999999999997</v>
      </c>
      <c r="H187" t="s">
        <v>1152</v>
      </c>
      <c r="I187" t="s">
        <v>1152</v>
      </c>
      <c r="J187">
        <v>6.5976999999999997</v>
      </c>
      <c r="K187">
        <v>316201.3702</v>
      </c>
      <c r="L187" t="s">
        <v>993</v>
      </c>
      <c r="M187">
        <v>47926</v>
      </c>
      <c r="N187" t="s">
        <v>2336</v>
      </c>
      <c r="O187" t="s">
        <v>1169</v>
      </c>
    </row>
    <row r="188" spans="1:15" x14ac:dyDescent="0.2">
      <c r="A188">
        <v>99</v>
      </c>
      <c r="B188" t="s">
        <v>2117</v>
      </c>
      <c r="C188" t="s">
        <v>579</v>
      </c>
      <c r="D188" t="s">
        <v>1230</v>
      </c>
      <c r="E188" t="s">
        <v>662</v>
      </c>
      <c r="F188">
        <v>1</v>
      </c>
      <c r="G188">
        <v>6.7129000000000003</v>
      </c>
      <c r="H188" t="s">
        <v>1152</v>
      </c>
      <c r="I188" t="s">
        <v>1152</v>
      </c>
      <c r="J188">
        <v>6.7129000000000003</v>
      </c>
      <c r="K188">
        <v>321722.44540000003</v>
      </c>
      <c r="L188" t="s">
        <v>998</v>
      </c>
      <c r="M188">
        <v>47926</v>
      </c>
      <c r="N188" t="s">
        <v>2337</v>
      </c>
      <c r="O188" t="s">
        <v>1469</v>
      </c>
    </row>
    <row r="189" spans="1:15" x14ac:dyDescent="0.2">
      <c r="A189">
        <v>99</v>
      </c>
      <c r="B189" t="s">
        <v>2117</v>
      </c>
      <c r="C189" t="s">
        <v>475</v>
      </c>
      <c r="D189" t="s">
        <v>547</v>
      </c>
      <c r="E189" t="s">
        <v>2320</v>
      </c>
      <c r="F189">
        <v>0</v>
      </c>
      <c r="G189">
        <v>13.51</v>
      </c>
      <c r="H189" t="s">
        <v>151</v>
      </c>
      <c r="I189" t="s">
        <v>153</v>
      </c>
      <c r="J189">
        <v>0</v>
      </c>
      <c r="K189">
        <v>0</v>
      </c>
      <c r="L189" t="s">
        <v>990</v>
      </c>
      <c r="M189">
        <v>580</v>
      </c>
      <c r="N189" t="s">
        <v>2355</v>
      </c>
      <c r="O189" t="s">
        <v>1902</v>
      </c>
    </row>
    <row r="190" spans="1:15" x14ac:dyDescent="0.2">
      <c r="A190">
        <v>99</v>
      </c>
      <c r="B190" t="s">
        <v>2117</v>
      </c>
      <c r="C190" t="s">
        <v>475</v>
      </c>
      <c r="D190" t="s">
        <v>1047</v>
      </c>
      <c r="E190" t="s">
        <v>1127</v>
      </c>
      <c r="F190">
        <v>0.11609999999999999</v>
      </c>
      <c r="G190">
        <v>13.77</v>
      </c>
      <c r="H190" t="s">
        <v>1052</v>
      </c>
      <c r="I190" t="s">
        <v>153</v>
      </c>
      <c r="J190">
        <v>1.598697</v>
      </c>
      <c r="K190">
        <v>927.24426000000005</v>
      </c>
      <c r="L190" t="s">
        <v>990</v>
      </c>
      <c r="M190">
        <v>580</v>
      </c>
      <c r="N190" t="s">
        <v>2338</v>
      </c>
      <c r="O190" t="s">
        <v>1902</v>
      </c>
    </row>
    <row r="191" spans="1:15" x14ac:dyDescent="0.2">
      <c r="A191">
        <v>99</v>
      </c>
      <c r="B191" t="s">
        <v>2117</v>
      </c>
      <c r="C191" t="s">
        <v>475</v>
      </c>
      <c r="D191" t="s">
        <v>1971</v>
      </c>
      <c r="E191" t="s">
        <v>1147</v>
      </c>
      <c r="F191">
        <v>0</v>
      </c>
      <c r="G191">
        <v>28.81</v>
      </c>
      <c r="H191" t="s">
        <v>742</v>
      </c>
      <c r="I191" t="s">
        <v>153</v>
      </c>
      <c r="J191">
        <v>0</v>
      </c>
      <c r="K191">
        <v>0</v>
      </c>
      <c r="L191" t="s">
        <v>990</v>
      </c>
      <c r="M191">
        <v>580</v>
      </c>
      <c r="N191" t="s">
        <v>2347</v>
      </c>
      <c r="O191" t="s">
        <v>1902</v>
      </c>
    </row>
    <row r="192" spans="1:15" x14ac:dyDescent="0.2">
      <c r="A192">
        <v>99</v>
      </c>
      <c r="B192" t="s">
        <v>2117</v>
      </c>
      <c r="C192" t="s">
        <v>475</v>
      </c>
      <c r="D192" t="s">
        <v>1947</v>
      </c>
      <c r="E192" t="s">
        <v>2308</v>
      </c>
      <c r="F192">
        <v>0.41249999999999998</v>
      </c>
      <c r="G192">
        <v>26.4</v>
      </c>
      <c r="H192" t="s">
        <v>153</v>
      </c>
      <c r="I192" t="s">
        <v>153</v>
      </c>
      <c r="J192">
        <v>10.89</v>
      </c>
      <c r="K192">
        <v>6316.2</v>
      </c>
      <c r="L192" t="s">
        <v>990</v>
      </c>
      <c r="M192">
        <v>580</v>
      </c>
      <c r="N192" t="s">
        <v>2350</v>
      </c>
      <c r="O192" t="s">
        <v>1902</v>
      </c>
    </row>
    <row r="193" spans="1:15" x14ac:dyDescent="0.2">
      <c r="A193">
        <v>99</v>
      </c>
      <c r="B193" t="s">
        <v>2117</v>
      </c>
      <c r="C193" t="s">
        <v>475</v>
      </c>
      <c r="D193" t="s">
        <v>794</v>
      </c>
      <c r="E193" t="s">
        <v>446</v>
      </c>
      <c r="F193">
        <v>0.40479999999999999</v>
      </c>
      <c r="G193">
        <v>11.1343</v>
      </c>
      <c r="H193" t="s">
        <v>151</v>
      </c>
      <c r="I193" t="s">
        <v>153</v>
      </c>
      <c r="J193">
        <v>4.5071646400000001</v>
      </c>
      <c r="K193">
        <v>2614.155491</v>
      </c>
      <c r="L193" t="s">
        <v>990</v>
      </c>
      <c r="M193">
        <v>580</v>
      </c>
      <c r="N193" t="s">
        <v>2353</v>
      </c>
      <c r="O193" t="s">
        <v>1902</v>
      </c>
    </row>
    <row r="194" spans="1:15" x14ac:dyDescent="0.2">
      <c r="A194">
        <v>99</v>
      </c>
      <c r="B194" t="s">
        <v>2117</v>
      </c>
      <c r="C194" t="s">
        <v>475</v>
      </c>
      <c r="D194" t="s">
        <v>1379</v>
      </c>
      <c r="E194" t="s">
        <v>1626</v>
      </c>
      <c r="F194">
        <v>2.7000000000000001E-3</v>
      </c>
      <c r="G194">
        <v>116.09</v>
      </c>
      <c r="H194" t="s">
        <v>1153</v>
      </c>
      <c r="I194" t="s">
        <v>153</v>
      </c>
      <c r="J194">
        <v>0.31344300000000003</v>
      </c>
      <c r="K194">
        <v>181.79694000000001</v>
      </c>
      <c r="L194" t="s">
        <v>990</v>
      </c>
      <c r="M194">
        <v>580</v>
      </c>
      <c r="N194" t="s">
        <v>2340</v>
      </c>
      <c r="O194" t="s">
        <v>1902</v>
      </c>
    </row>
    <row r="195" spans="1:15" x14ac:dyDescent="0.2">
      <c r="A195">
        <v>99</v>
      </c>
      <c r="B195" t="s">
        <v>2117</v>
      </c>
      <c r="C195" t="s">
        <v>475</v>
      </c>
      <c r="D195" t="s">
        <v>1970</v>
      </c>
      <c r="E195" t="s">
        <v>1166</v>
      </c>
      <c r="F195">
        <v>0</v>
      </c>
      <c r="G195">
        <v>30.29</v>
      </c>
      <c r="H195" t="s">
        <v>764</v>
      </c>
      <c r="I195" t="s">
        <v>153</v>
      </c>
      <c r="J195">
        <v>0</v>
      </c>
      <c r="K195">
        <v>0</v>
      </c>
      <c r="L195" t="s">
        <v>990</v>
      </c>
      <c r="M195">
        <v>580</v>
      </c>
      <c r="N195" t="s">
        <v>2346</v>
      </c>
      <c r="O195" t="s">
        <v>1902</v>
      </c>
    </row>
    <row r="196" spans="1:15" x14ac:dyDescent="0.2">
      <c r="A196">
        <v>99</v>
      </c>
      <c r="B196" t="s">
        <v>2117</v>
      </c>
      <c r="C196" t="s">
        <v>475</v>
      </c>
      <c r="D196" t="s">
        <v>326</v>
      </c>
      <c r="E196" t="s">
        <v>436</v>
      </c>
      <c r="F196">
        <v>0.55000000000000004</v>
      </c>
      <c r="G196">
        <v>12.49</v>
      </c>
      <c r="H196" t="s">
        <v>153</v>
      </c>
      <c r="I196" t="s">
        <v>153</v>
      </c>
      <c r="J196">
        <v>6.8695000000000004</v>
      </c>
      <c r="K196">
        <v>3984.31</v>
      </c>
      <c r="L196" t="s">
        <v>990</v>
      </c>
      <c r="M196">
        <v>580</v>
      </c>
      <c r="N196" t="s">
        <v>2342</v>
      </c>
      <c r="O196" t="s">
        <v>1902</v>
      </c>
    </row>
    <row r="197" spans="1:15" x14ac:dyDescent="0.2">
      <c r="A197">
        <v>99</v>
      </c>
      <c r="B197" t="s">
        <v>2117</v>
      </c>
      <c r="C197" t="s">
        <v>475</v>
      </c>
      <c r="D197" t="s">
        <v>498</v>
      </c>
      <c r="E197" t="s">
        <v>773</v>
      </c>
      <c r="F197">
        <v>1.2</v>
      </c>
      <c r="G197">
        <v>20.121400000000001</v>
      </c>
      <c r="H197" t="s">
        <v>84</v>
      </c>
      <c r="I197" t="s">
        <v>153</v>
      </c>
      <c r="J197">
        <v>24.145679999999999</v>
      </c>
      <c r="K197">
        <v>14004.4944</v>
      </c>
      <c r="L197" t="s">
        <v>990</v>
      </c>
      <c r="M197">
        <v>580</v>
      </c>
      <c r="N197" t="s">
        <v>2345</v>
      </c>
      <c r="O197" t="s">
        <v>1902</v>
      </c>
    </row>
    <row r="198" spans="1:15" x14ac:dyDescent="0.2">
      <c r="A198">
        <v>99</v>
      </c>
      <c r="B198" t="s">
        <v>2117</v>
      </c>
      <c r="C198" t="s">
        <v>475</v>
      </c>
      <c r="D198" t="s">
        <v>66</v>
      </c>
      <c r="E198" t="s">
        <v>617</v>
      </c>
      <c r="F198">
        <v>0</v>
      </c>
      <c r="G198">
        <v>5.45</v>
      </c>
      <c r="H198" t="s">
        <v>764</v>
      </c>
      <c r="I198" t="s">
        <v>153</v>
      </c>
      <c r="J198">
        <v>0</v>
      </c>
      <c r="K198">
        <v>0</v>
      </c>
      <c r="L198" t="s">
        <v>990</v>
      </c>
      <c r="M198">
        <v>580</v>
      </c>
      <c r="N198" t="s">
        <v>2348</v>
      </c>
      <c r="O198" t="s">
        <v>1902</v>
      </c>
    </row>
    <row r="199" spans="1:15" x14ac:dyDescent="0.2">
      <c r="A199">
        <v>99</v>
      </c>
      <c r="B199" t="s">
        <v>2117</v>
      </c>
      <c r="C199" t="s">
        <v>475</v>
      </c>
      <c r="D199" t="s">
        <v>801</v>
      </c>
      <c r="E199" t="s">
        <v>402</v>
      </c>
      <c r="F199">
        <v>9.7000000000000003E-3</v>
      </c>
      <c r="G199">
        <v>10.3</v>
      </c>
      <c r="H199" t="s">
        <v>151</v>
      </c>
      <c r="I199" t="s">
        <v>153</v>
      </c>
      <c r="J199">
        <v>9.9909999999999999E-2</v>
      </c>
      <c r="K199">
        <v>57.947800000000001</v>
      </c>
      <c r="L199" t="s">
        <v>990</v>
      </c>
      <c r="M199">
        <v>580</v>
      </c>
      <c r="N199" t="s">
        <v>2354</v>
      </c>
      <c r="O199" t="s">
        <v>1902</v>
      </c>
    </row>
    <row r="200" spans="1:15" x14ac:dyDescent="0.2">
      <c r="A200">
        <v>99</v>
      </c>
      <c r="B200" t="s">
        <v>2117</v>
      </c>
      <c r="C200" t="s">
        <v>475</v>
      </c>
      <c r="D200" t="s">
        <v>80</v>
      </c>
      <c r="E200" t="s">
        <v>2343</v>
      </c>
      <c r="F200">
        <v>0.74450000000000005</v>
      </c>
      <c r="G200">
        <v>7.34</v>
      </c>
      <c r="H200" t="s">
        <v>153</v>
      </c>
      <c r="I200" t="s">
        <v>153</v>
      </c>
      <c r="J200">
        <v>5.4646299999999997</v>
      </c>
      <c r="K200">
        <v>3169.4854</v>
      </c>
      <c r="L200" t="s">
        <v>990</v>
      </c>
      <c r="M200">
        <v>580</v>
      </c>
      <c r="N200" t="s">
        <v>2344</v>
      </c>
      <c r="O200" t="s">
        <v>1902</v>
      </c>
    </row>
    <row r="201" spans="1:15" x14ac:dyDescent="0.2">
      <c r="A201">
        <v>99</v>
      </c>
      <c r="B201" t="s">
        <v>2117</v>
      </c>
      <c r="C201" t="s">
        <v>475</v>
      </c>
      <c r="D201" t="s">
        <v>944</v>
      </c>
      <c r="E201" t="s">
        <v>1601</v>
      </c>
      <c r="F201">
        <v>0.80930000000000002</v>
      </c>
      <c r="G201">
        <v>19.170000000000002</v>
      </c>
      <c r="H201" t="s">
        <v>151</v>
      </c>
      <c r="I201" t="s">
        <v>153</v>
      </c>
      <c r="J201">
        <v>15.514281</v>
      </c>
      <c r="K201">
        <v>8998.28298</v>
      </c>
      <c r="L201" t="s">
        <v>990</v>
      </c>
      <c r="M201">
        <v>580</v>
      </c>
      <c r="N201" t="s">
        <v>2352</v>
      </c>
      <c r="O201" t="s">
        <v>1902</v>
      </c>
    </row>
    <row r="202" spans="1:15" x14ac:dyDescent="0.2">
      <c r="A202">
        <v>99</v>
      </c>
      <c r="B202" t="s">
        <v>2117</v>
      </c>
      <c r="C202" t="s">
        <v>475</v>
      </c>
      <c r="D202" t="s">
        <v>1654</v>
      </c>
      <c r="E202" t="s">
        <v>1551</v>
      </c>
      <c r="F202">
        <v>0.9819</v>
      </c>
      <c r="G202">
        <v>0.7974</v>
      </c>
      <c r="H202" t="s">
        <v>1052</v>
      </c>
      <c r="I202" t="s">
        <v>153</v>
      </c>
      <c r="J202">
        <v>0.78296706000000005</v>
      </c>
      <c r="K202">
        <v>454.12089500000002</v>
      </c>
      <c r="L202" t="s">
        <v>990</v>
      </c>
      <c r="M202">
        <v>580</v>
      </c>
      <c r="N202" t="s">
        <v>2339</v>
      </c>
      <c r="O202" t="s">
        <v>1902</v>
      </c>
    </row>
    <row r="203" spans="1:15" x14ac:dyDescent="0.2">
      <c r="A203">
        <v>99</v>
      </c>
      <c r="B203" t="s">
        <v>2117</v>
      </c>
      <c r="C203" t="s">
        <v>475</v>
      </c>
      <c r="D203" t="s">
        <v>120</v>
      </c>
      <c r="E203" t="s">
        <v>597</v>
      </c>
      <c r="F203">
        <v>0</v>
      </c>
      <c r="G203">
        <v>1.52</v>
      </c>
      <c r="H203" t="s">
        <v>742</v>
      </c>
      <c r="I203" t="s">
        <v>153</v>
      </c>
      <c r="J203">
        <v>0</v>
      </c>
      <c r="K203">
        <v>0</v>
      </c>
      <c r="L203" t="s">
        <v>990</v>
      </c>
      <c r="M203">
        <v>580</v>
      </c>
      <c r="N203" t="s">
        <v>2349</v>
      </c>
      <c r="O203" t="s">
        <v>1902</v>
      </c>
    </row>
    <row r="204" spans="1:15" x14ac:dyDescent="0.2">
      <c r="A204">
        <v>99</v>
      </c>
      <c r="B204" t="s">
        <v>2117</v>
      </c>
      <c r="C204" t="s">
        <v>475</v>
      </c>
      <c r="D204" t="s">
        <v>836</v>
      </c>
      <c r="E204" t="s">
        <v>195</v>
      </c>
      <c r="F204">
        <v>2.5600000000000001E-2</v>
      </c>
      <c r="G204">
        <v>25.039400000000001</v>
      </c>
      <c r="H204" t="s">
        <v>152</v>
      </c>
      <c r="I204" t="s">
        <v>153</v>
      </c>
      <c r="J204">
        <v>0.64100864000000002</v>
      </c>
      <c r="K204">
        <v>371.785011</v>
      </c>
      <c r="L204" t="s">
        <v>990</v>
      </c>
      <c r="M204">
        <v>580</v>
      </c>
      <c r="N204" t="s">
        <v>2351</v>
      </c>
      <c r="O204" t="s">
        <v>1902</v>
      </c>
    </row>
    <row r="205" spans="1:15" x14ac:dyDescent="0.2">
      <c r="A205">
        <v>99</v>
      </c>
      <c r="B205" t="s">
        <v>2117</v>
      </c>
      <c r="C205" t="s">
        <v>475</v>
      </c>
      <c r="D205" t="s">
        <v>1258</v>
      </c>
      <c r="E205" t="s">
        <v>1526</v>
      </c>
      <c r="F205">
        <v>3.8E-3</v>
      </c>
      <c r="G205">
        <v>148</v>
      </c>
      <c r="H205" t="s">
        <v>1153</v>
      </c>
      <c r="I205" t="s">
        <v>153</v>
      </c>
      <c r="J205">
        <v>0.56240000000000001</v>
      </c>
      <c r="K205">
        <v>326.19200000000001</v>
      </c>
      <c r="L205" t="s">
        <v>990</v>
      </c>
      <c r="M205">
        <v>580</v>
      </c>
      <c r="N205" t="s">
        <v>2341</v>
      </c>
      <c r="O205" t="s">
        <v>1902</v>
      </c>
    </row>
    <row r="206" spans="1:15" x14ac:dyDescent="0.2">
      <c r="A206">
        <v>99</v>
      </c>
      <c r="B206" t="s">
        <v>2117</v>
      </c>
      <c r="C206" t="s">
        <v>476</v>
      </c>
      <c r="D206" t="s">
        <v>1093</v>
      </c>
      <c r="E206" t="s">
        <v>956</v>
      </c>
      <c r="F206">
        <v>1</v>
      </c>
      <c r="G206">
        <v>13500</v>
      </c>
      <c r="H206" t="s">
        <v>1170</v>
      </c>
      <c r="I206" t="s">
        <v>1170</v>
      </c>
      <c r="J206">
        <v>13500</v>
      </c>
      <c r="K206">
        <v>243000</v>
      </c>
      <c r="L206" t="s">
        <v>995</v>
      </c>
      <c r="M206">
        <v>18</v>
      </c>
      <c r="N206" t="s">
        <v>2356</v>
      </c>
      <c r="O206" t="s">
        <v>1749</v>
      </c>
    </row>
    <row r="207" spans="1:15" x14ac:dyDescent="0.2">
      <c r="A207">
        <v>99</v>
      </c>
      <c r="B207" t="s">
        <v>2117</v>
      </c>
      <c r="C207" t="s">
        <v>456</v>
      </c>
      <c r="D207" t="s">
        <v>113</v>
      </c>
      <c r="E207" t="s">
        <v>432</v>
      </c>
      <c r="F207">
        <v>2.0909</v>
      </c>
      <c r="G207">
        <v>29500</v>
      </c>
      <c r="H207" t="s">
        <v>1170</v>
      </c>
      <c r="I207" t="s">
        <v>1170</v>
      </c>
      <c r="J207">
        <v>61681.55</v>
      </c>
      <c r="K207">
        <v>1356994.1</v>
      </c>
      <c r="L207" t="s">
        <v>1725</v>
      </c>
      <c r="M207">
        <v>22</v>
      </c>
      <c r="N207" t="s">
        <v>2357</v>
      </c>
      <c r="O207" t="s">
        <v>1926</v>
      </c>
    </row>
    <row r="208" spans="1:15" x14ac:dyDescent="0.2">
      <c r="A208">
        <v>99</v>
      </c>
      <c r="B208" t="s">
        <v>2117</v>
      </c>
      <c r="C208" t="s">
        <v>461</v>
      </c>
      <c r="D208" t="s">
        <v>119</v>
      </c>
      <c r="E208" t="s">
        <v>894</v>
      </c>
      <c r="F208">
        <v>4.1818</v>
      </c>
      <c r="G208">
        <v>28500</v>
      </c>
      <c r="H208" t="s">
        <v>1170</v>
      </c>
      <c r="I208" t="s">
        <v>1170</v>
      </c>
      <c r="J208">
        <v>119181.3</v>
      </c>
      <c r="K208">
        <v>2621988.6</v>
      </c>
      <c r="L208" t="s">
        <v>1721</v>
      </c>
      <c r="M208">
        <v>22</v>
      </c>
      <c r="N208" t="s">
        <v>2358</v>
      </c>
      <c r="O208" t="s">
        <v>1168</v>
      </c>
    </row>
    <row r="209" spans="1:15" x14ac:dyDescent="0.2">
      <c r="A209">
        <v>99</v>
      </c>
      <c r="B209" t="s">
        <v>2117</v>
      </c>
      <c r="C209" t="s">
        <v>462</v>
      </c>
      <c r="D209" t="s">
        <v>125</v>
      </c>
      <c r="E209" t="s">
        <v>693</v>
      </c>
      <c r="F209">
        <v>3.0909</v>
      </c>
      <c r="G209">
        <v>38000</v>
      </c>
      <c r="H209" t="s">
        <v>1170</v>
      </c>
      <c r="I209" t="s">
        <v>1170</v>
      </c>
      <c r="J209">
        <v>117454.2</v>
      </c>
      <c r="K209">
        <v>2583992.4</v>
      </c>
      <c r="L209" t="s">
        <v>1729</v>
      </c>
      <c r="M209">
        <v>22</v>
      </c>
      <c r="N209" t="s">
        <v>2359</v>
      </c>
      <c r="O209" t="s">
        <v>2360</v>
      </c>
    </row>
    <row r="210" spans="1:15" x14ac:dyDescent="0.2">
      <c r="A210">
        <v>99</v>
      </c>
      <c r="B210" t="s">
        <v>2117</v>
      </c>
      <c r="C210" t="s">
        <v>467</v>
      </c>
      <c r="D210" t="s">
        <v>133</v>
      </c>
      <c r="E210" t="s">
        <v>587</v>
      </c>
      <c r="F210">
        <v>0.2727</v>
      </c>
      <c r="G210">
        <v>30000</v>
      </c>
      <c r="H210" t="s">
        <v>1170</v>
      </c>
      <c r="I210" t="s">
        <v>1170</v>
      </c>
      <c r="J210">
        <v>8181</v>
      </c>
      <c r="K210">
        <v>179982</v>
      </c>
      <c r="L210" t="s">
        <v>1733</v>
      </c>
      <c r="M210">
        <v>22</v>
      </c>
      <c r="N210" t="s">
        <v>2361</v>
      </c>
      <c r="O210" t="s">
        <v>1759</v>
      </c>
    </row>
    <row r="211" spans="1:15" x14ac:dyDescent="0.2">
      <c r="A211">
        <v>99</v>
      </c>
      <c r="B211" t="s">
        <v>2117</v>
      </c>
      <c r="C211" t="s">
        <v>487</v>
      </c>
      <c r="D211" t="s">
        <v>967</v>
      </c>
      <c r="E211" t="s">
        <v>1715</v>
      </c>
      <c r="F211">
        <v>0</v>
      </c>
      <c r="G211">
        <v>45000</v>
      </c>
      <c r="H211" t="s">
        <v>1819</v>
      </c>
      <c r="I211" t="s">
        <v>1170</v>
      </c>
      <c r="J211">
        <v>0</v>
      </c>
      <c r="K211">
        <v>0</v>
      </c>
      <c r="L211" t="s">
        <v>1570</v>
      </c>
      <c r="M211">
        <v>22</v>
      </c>
      <c r="N211" t="s">
        <v>2362</v>
      </c>
      <c r="O211" t="s">
        <v>2363</v>
      </c>
    </row>
    <row r="212" spans="1:15" x14ac:dyDescent="0.2">
      <c r="A212">
        <v>99</v>
      </c>
      <c r="B212" t="s">
        <v>2117</v>
      </c>
      <c r="C212" t="s">
        <v>490</v>
      </c>
      <c r="D212" t="s">
        <v>122</v>
      </c>
      <c r="E212" t="s">
        <v>289</v>
      </c>
      <c r="F212">
        <v>0</v>
      </c>
      <c r="G212">
        <v>12000</v>
      </c>
      <c r="H212" t="s">
        <v>1819</v>
      </c>
      <c r="I212" t="s">
        <v>1170</v>
      </c>
      <c r="J212">
        <v>0</v>
      </c>
      <c r="K212">
        <v>0</v>
      </c>
      <c r="L212" t="s">
        <v>1576</v>
      </c>
      <c r="M212">
        <v>22</v>
      </c>
      <c r="N212" t="s">
        <v>2364</v>
      </c>
      <c r="O212" t="s">
        <v>810</v>
      </c>
    </row>
    <row r="213" spans="1:15" x14ac:dyDescent="0.2">
      <c r="A213">
        <v>99</v>
      </c>
      <c r="B213" t="s">
        <v>2117</v>
      </c>
      <c r="C213" t="s">
        <v>4824</v>
      </c>
      <c r="D213" t="s">
        <v>4825</v>
      </c>
      <c r="E213" t="s">
        <v>4826</v>
      </c>
      <c r="F213">
        <v>1</v>
      </c>
      <c r="G213">
        <v>5000</v>
      </c>
      <c r="H213" t="s">
        <v>1170</v>
      </c>
      <c r="I213" t="s">
        <v>1170</v>
      </c>
      <c r="J213">
        <v>5000</v>
      </c>
      <c r="K213">
        <v>110000</v>
      </c>
      <c r="L213" t="s">
        <v>1736</v>
      </c>
      <c r="M213">
        <v>22</v>
      </c>
      <c r="N213" t="s">
        <v>4827</v>
      </c>
      <c r="O213" t="s">
        <v>4828</v>
      </c>
    </row>
    <row r="214" spans="1:15" x14ac:dyDescent="0.2">
      <c r="A214">
        <v>99</v>
      </c>
      <c r="B214" t="s">
        <v>2117</v>
      </c>
      <c r="C214" t="s">
        <v>4829</v>
      </c>
      <c r="D214" t="s">
        <v>4830</v>
      </c>
      <c r="E214" t="s">
        <v>4831</v>
      </c>
      <c r="F214">
        <v>0.95450000000000002</v>
      </c>
      <c r="G214">
        <v>9000</v>
      </c>
      <c r="H214" t="s">
        <v>1170</v>
      </c>
      <c r="I214" t="s">
        <v>1170</v>
      </c>
      <c r="J214">
        <v>8590.5</v>
      </c>
      <c r="K214">
        <v>188991</v>
      </c>
      <c r="L214" t="s">
        <v>1739</v>
      </c>
      <c r="M214">
        <v>22</v>
      </c>
      <c r="N214" t="s">
        <v>4832</v>
      </c>
      <c r="O214" t="s">
        <v>4833</v>
      </c>
    </row>
    <row r="215" spans="1:15" x14ac:dyDescent="0.2">
      <c r="A215">
        <v>99</v>
      </c>
      <c r="B215" t="s">
        <v>2117</v>
      </c>
      <c r="C215" t="s">
        <v>4834</v>
      </c>
      <c r="D215" t="s">
        <v>4835</v>
      </c>
      <c r="E215" t="s">
        <v>4836</v>
      </c>
      <c r="F215">
        <v>1</v>
      </c>
      <c r="G215">
        <v>330532.96999999997</v>
      </c>
      <c r="H215" t="s">
        <v>1781</v>
      </c>
      <c r="I215" t="s">
        <v>1819</v>
      </c>
      <c r="J215">
        <v>330532.96999999997</v>
      </c>
      <c r="K215">
        <v>330532.96999999997</v>
      </c>
      <c r="L215" t="s">
        <v>4837</v>
      </c>
      <c r="M215">
        <v>1</v>
      </c>
      <c r="N215" t="s">
        <v>4838</v>
      </c>
      <c r="O215" t="s">
        <v>4836</v>
      </c>
    </row>
    <row r="216" spans="1:15" x14ac:dyDescent="0.2">
      <c r="A216">
        <v>99</v>
      </c>
      <c r="B216" t="s">
        <v>2117</v>
      </c>
      <c r="C216" t="s">
        <v>4839</v>
      </c>
      <c r="D216" t="s">
        <v>4840</v>
      </c>
      <c r="E216" t="s">
        <v>4841</v>
      </c>
      <c r="F216">
        <v>1</v>
      </c>
      <c r="G216">
        <v>25000</v>
      </c>
      <c r="H216" t="s">
        <v>1170</v>
      </c>
      <c r="I216" t="s">
        <v>1170</v>
      </c>
      <c r="J216">
        <v>25000</v>
      </c>
      <c r="K216">
        <v>550000</v>
      </c>
      <c r="L216" t="s">
        <v>4842</v>
      </c>
      <c r="M216">
        <v>22</v>
      </c>
      <c r="N216" t="s">
        <v>4843</v>
      </c>
      <c r="O216" t="s">
        <v>4844</v>
      </c>
    </row>
    <row r="217" spans="1:15" x14ac:dyDescent="0.2">
      <c r="A217">
        <v>99</v>
      </c>
      <c r="B217" t="s">
        <v>2117</v>
      </c>
      <c r="C217" t="s">
        <v>354</v>
      </c>
      <c r="D217" t="s">
        <v>132</v>
      </c>
      <c r="E217" t="s">
        <v>1395</v>
      </c>
      <c r="F217">
        <v>1</v>
      </c>
      <c r="G217">
        <v>60</v>
      </c>
      <c r="H217" t="s">
        <v>1819</v>
      </c>
      <c r="I217" t="s">
        <v>1152</v>
      </c>
      <c r="J217">
        <v>60</v>
      </c>
      <c r="K217">
        <v>1275793.8</v>
      </c>
      <c r="L217" t="s">
        <v>916</v>
      </c>
      <c r="M217">
        <v>21263.23</v>
      </c>
      <c r="N217" t="s">
        <v>2365</v>
      </c>
      <c r="O217" t="s">
        <v>243</v>
      </c>
    </row>
    <row r="218" spans="1:15" x14ac:dyDescent="0.2">
      <c r="A218">
        <v>99</v>
      </c>
      <c r="B218" t="s">
        <v>2117</v>
      </c>
      <c r="C218" t="s">
        <v>354</v>
      </c>
      <c r="D218" t="s">
        <v>1735</v>
      </c>
      <c r="E218" t="s">
        <v>700</v>
      </c>
      <c r="F218">
        <v>1</v>
      </c>
      <c r="G218">
        <v>12</v>
      </c>
      <c r="H218" t="s">
        <v>1819</v>
      </c>
      <c r="I218" t="s">
        <v>1152</v>
      </c>
      <c r="J218">
        <v>12</v>
      </c>
      <c r="K218">
        <v>255158.76</v>
      </c>
      <c r="L218" t="s">
        <v>916</v>
      </c>
      <c r="M218">
        <v>21263.23</v>
      </c>
      <c r="N218" t="s">
        <v>2366</v>
      </c>
      <c r="O218" t="s">
        <v>243</v>
      </c>
    </row>
    <row r="219" spans="1:15" x14ac:dyDescent="0.2">
      <c r="A219">
        <v>99</v>
      </c>
      <c r="B219" t="s">
        <v>2117</v>
      </c>
      <c r="C219" t="s">
        <v>356</v>
      </c>
      <c r="D219" t="s">
        <v>1738</v>
      </c>
      <c r="E219" t="s">
        <v>2367</v>
      </c>
      <c r="F219">
        <v>1</v>
      </c>
      <c r="G219">
        <v>10</v>
      </c>
      <c r="H219" t="s">
        <v>1819</v>
      </c>
      <c r="I219" t="s">
        <v>1170</v>
      </c>
      <c r="J219">
        <v>10</v>
      </c>
      <c r="K219">
        <v>212632.3</v>
      </c>
      <c r="L219" t="s">
        <v>920</v>
      </c>
      <c r="M219">
        <v>21263.23</v>
      </c>
      <c r="N219" t="s">
        <v>2368</v>
      </c>
      <c r="O219" t="s">
        <v>2369</v>
      </c>
    </row>
    <row r="220" spans="1:15" x14ac:dyDescent="0.2">
      <c r="A220">
        <v>99</v>
      </c>
      <c r="B220" t="s">
        <v>2117</v>
      </c>
      <c r="C220" t="s">
        <v>317</v>
      </c>
      <c r="D220" t="s">
        <v>1844</v>
      </c>
      <c r="E220" t="s">
        <v>2373</v>
      </c>
      <c r="F220">
        <v>1</v>
      </c>
      <c r="G220">
        <v>4.4691999999999998</v>
      </c>
      <c r="H220" t="s">
        <v>1152</v>
      </c>
      <c r="I220" t="s">
        <v>1152</v>
      </c>
      <c r="J220">
        <v>4.4691999999999998</v>
      </c>
      <c r="K220">
        <v>141643.38128100001</v>
      </c>
      <c r="L220" t="s">
        <v>999</v>
      </c>
      <c r="M220">
        <v>31693.229500000001</v>
      </c>
      <c r="N220" t="s">
        <v>2374</v>
      </c>
      <c r="O220" t="s">
        <v>2371</v>
      </c>
    </row>
    <row r="221" spans="1:15" x14ac:dyDescent="0.2">
      <c r="A221">
        <v>99</v>
      </c>
      <c r="B221" t="s">
        <v>2117</v>
      </c>
      <c r="C221" t="s">
        <v>317</v>
      </c>
      <c r="D221" t="s">
        <v>239</v>
      </c>
      <c r="E221" t="s">
        <v>2378</v>
      </c>
      <c r="F221">
        <v>0</v>
      </c>
      <c r="G221">
        <v>65.73</v>
      </c>
      <c r="H221" t="s">
        <v>742</v>
      </c>
      <c r="I221" t="s">
        <v>1152</v>
      </c>
      <c r="J221">
        <v>0</v>
      </c>
      <c r="K221">
        <v>0</v>
      </c>
      <c r="L221" t="s">
        <v>999</v>
      </c>
      <c r="M221">
        <v>31693.229500000001</v>
      </c>
      <c r="N221" t="s">
        <v>2379</v>
      </c>
      <c r="O221" t="s">
        <v>2371</v>
      </c>
    </row>
    <row r="222" spans="1:15" x14ac:dyDescent="0.2">
      <c r="A222">
        <v>99</v>
      </c>
      <c r="B222" t="s">
        <v>2117</v>
      </c>
      <c r="C222" t="s">
        <v>317</v>
      </c>
      <c r="D222" t="s">
        <v>238</v>
      </c>
      <c r="E222" t="s">
        <v>2376</v>
      </c>
      <c r="F222">
        <v>0</v>
      </c>
      <c r="G222">
        <v>138.31</v>
      </c>
      <c r="H222" t="s">
        <v>764</v>
      </c>
      <c r="I222" t="s">
        <v>1152</v>
      </c>
      <c r="J222">
        <v>0</v>
      </c>
      <c r="K222">
        <v>0</v>
      </c>
      <c r="L222" t="s">
        <v>999</v>
      </c>
      <c r="M222">
        <v>31693.229500000001</v>
      </c>
      <c r="N222" t="s">
        <v>2377</v>
      </c>
      <c r="O222" t="s">
        <v>2371</v>
      </c>
    </row>
    <row r="223" spans="1:15" x14ac:dyDescent="0.2">
      <c r="A223">
        <v>99</v>
      </c>
      <c r="B223" t="s">
        <v>2117</v>
      </c>
      <c r="C223" t="s">
        <v>317</v>
      </c>
      <c r="D223" t="s">
        <v>801</v>
      </c>
      <c r="E223" t="s">
        <v>402</v>
      </c>
      <c r="F223">
        <v>0</v>
      </c>
      <c r="G223">
        <v>10.3</v>
      </c>
      <c r="H223" t="s">
        <v>151</v>
      </c>
      <c r="I223" t="s">
        <v>1152</v>
      </c>
      <c r="J223">
        <v>0</v>
      </c>
      <c r="K223">
        <v>0</v>
      </c>
      <c r="L223" t="s">
        <v>999</v>
      </c>
      <c r="M223">
        <v>31693.229500000001</v>
      </c>
      <c r="N223" t="s">
        <v>2372</v>
      </c>
      <c r="O223" t="s">
        <v>2371</v>
      </c>
    </row>
    <row r="224" spans="1:15" x14ac:dyDescent="0.2">
      <c r="A224">
        <v>99</v>
      </c>
      <c r="B224" t="s">
        <v>2117</v>
      </c>
      <c r="C224" t="s">
        <v>317</v>
      </c>
      <c r="D224" t="s">
        <v>1004</v>
      </c>
      <c r="E224" t="s">
        <v>1963</v>
      </c>
      <c r="F224">
        <v>0</v>
      </c>
      <c r="G224">
        <v>10.62</v>
      </c>
      <c r="H224" t="s">
        <v>151</v>
      </c>
      <c r="I224" t="s">
        <v>1152</v>
      </c>
      <c r="J224">
        <v>0</v>
      </c>
      <c r="K224">
        <v>0</v>
      </c>
      <c r="L224" t="s">
        <v>999</v>
      </c>
      <c r="M224">
        <v>31693.229500000001</v>
      </c>
      <c r="N224" t="s">
        <v>2370</v>
      </c>
      <c r="O224" t="s">
        <v>2371</v>
      </c>
    </row>
    <row r="225" spans="1:15" x14ac:dyDescent="0.2">
      <c r="A225">
        <v>99</v>
      </c>
      <c r="B225" t="s">
        <v>2117</v>
      </c>
      <c r="C225" t="s">
        <v>317</v>
      </c>
      <c r="D225" t="s">
        <v>498</v>
      </c>
      <c r="E225" t="s">
        <v>773</v>
      </c>
      <c r="F225">
        <v>1.2</v>
      </c>
      <c r="G225">
        <v>0</v>
      </c>
      <c r="H225" t="s">
        <v>84</v>
      </c>
      <c r="I225" t="s">
        <v>1152</v>
      </c>
      <c r="J225">
        <v>0</v>
      </c>
      <c r="K225">
        <v>0</v>
      </c>
      <c r="L225" t="s">
        <v>999</v>
      </c>
      <c r="M225">
        <v>31693.229500000001</v>
      </c>
      <c r="N225" t="s">
        <v>2375</v>
      </c>
      <c r="O225" t="s">
        <v>2371</v>
      </c>
    </row>
    <row r="226" spans="1:15" x14ac:dyDescent="0.2">
      <c r="A226">
        <v>99</v>
      </c>
      <c r="B226" t="s">
        <v>2117</v>
      </c>
      <c r="C226" t="s">
        <v>323</v>
      </c>
      <c r="D226" t="s">
        <v>1798</v>
      </c>
      <c r="E226" t="s">
        <v>2382</v>
      </c>
      <c r="F226">
        <v>1</v>
      </c>
      <c r="G226">
        <v>2.5099999999999998</v>
      </c>
      <c r="H226" t="s">
        <v>1153</v>
      </c>
      <c r="I226" t="s">
        <v>1153</v>
      </c>
      <c r="J226">
        <v>2.5099999999999998</v>
      </c>
      <c r="K226">
        <v>20683.001647000001</v>
      </c>
      <c r="L226" t="s">
        <v>1000</v>
      </c>
      <c r="M226">
        <v>8240.2397000000001</v>
      </c>
      <c r="N226" t="s">
        <v>2383</v>
      </c>
      <c r="O226" t="s">
        <v>881</v>
      </c>
    </row>
    <row r="227" spans="1:15" x14ac:dyDescent="0.2">
      <c r="A227">
        <v>99</v>
      </c>
      <c r="B227" t="s">
        <v>2117</v>
      </c>
      <c r="C227" t="s">
        <v>323</v>
      </c>
      <c r="D227" t="s">
        <v>1792</v>
      </c>
      <c r="E227" t="s">
        <v>1084</v>
      </c>
      <c r="F227">
        <v>1</v>
      </c>
      <c r="G227">
        <v>2.86</v>
      </c>
      <c r="H227" t="s">
        <v>1153</v>
      </c>
      <c r="I227" t="s">
        <v>1153</v>
      </c>
      <c r="J227">
        <v>2.86</v>
      </c>
      <c r="K227">
        <v>23567.085542000001</v>
      </c>
      <c r="L227" t="s">
        <v>1000</v>
      </c>
      <c r="M227">
        <v>8240.2397000000001</v>
      </c>
      <c r="N227" t="s">
        <v>2381</v>
      </c>
      <c r="O227" t="s">
        <v>881</v>
      </c>
    </row>
    <row r="228" spans="1:15" x14ac:dyDescent="0.2">
      <c r="A228">
        <v>99</v>
      </c>
      <c r="B228" t="s">
        <v>2117</v>
      </c>
      <c r="C228" t="s">
        <v>323</v>
      </c>
      <c r="D228" t="s">
        <v>1790</v>
      </c>
      <c r="E228" t="s">
        <v>1046</v>
      </c>
      <c r="F228">
        <v>1</v>
      </c>
      <c r="G228">
        <v>3.26</v>
      </c>
      <c r="H228" t="s">
        <v>1153</v>
      </c>
      <c r="I228" t="s">
        <v>1153</v>
      </c>
      <c r="J228">
        <v>3.26</v>
      </c>
      <c r="K228">
        <v>26863.181422000001</v>
      </c>
      <c r="L228" t="s">
        <v>1000</v>
      </c>
      <c r="M228">
        <v>8240.2397000000001</v>
      </c>
      <c r="N228" t="s">
        <v>2380</v>
      </c>
      <c r="O228" t="s">
        <v>881</v>
      </c>
    </row>
    <row r="229" spans="1:15" x14ac:dyDescent="0.2">
      <c r="A229">
        <v>99</v>
      </c>
      <c r="B229" t="s">
        <v>2117</v>
      </c>
      <c r="C229" t="s">
        <v>190</v>
      </c>
      <c r="D229" t="s">
        <v>1833</v>
      </c>
      <c r="E229" t="s">
        <v>2388</v>
      </c>
      <c r="F229">
        <v>3000</v>
      </c>
      <c r="G229">
        <v>65.798400000000001</v>
      </c>
      <c r="H229" t="s">
        <v>1153</v>
      </c>
      <c r="I229" t="s">
        <v>1819</v>
      </c>
      <c r="J229">
        <v>197395.20000000001</v>
      </c>
      <c r="K229">
        <v>197395.20000000001</v>
      </c>
      <c r="L229" t="s">
        <v>850</v>
      </c>
      <c r="M229">
        <v>1</v>
      </c>
      <c r="N229" t="s">
        <v>2389</v>
      </c>
      <c r="O229" t="s">
        <v>647</v>
      </c>
    </row>
    <row r="230" spans="1:15" x14ac:dyDescent="0.2">
      <c r="A230">
        <v>99</v>
      </c>
      <c r="B230" t="s">
        <v>2117</v>
      </c>
      <c r="C230" t="s">
        <v>190</v>
      </c>
      <c r="D230" t="s">
        <v>1835</v>
      </c>
      <c r="E230" t="s">
        <v>2390</v>
      </c>
      <c r="F230">
        <v>0</v>
      </c>
      <c r="G230">
        <v>0</v>
      </c>
      <c r="H230" t="s">
        <v>1153</v>
      </c>
      <c r="I230" t="s">
        <v>1819</v>
      </c>
      <c r="J230">
        <v>0</v>
      </c>
      <c r="K230">
        <v>0</v>
      </c>
      <c r="L230" t="s">
        <v>850</v>
      </c>
      <c r="M230">
        <v>1</v>
      </c>
      <c r="N230" t="s">
        <v>2391</v>
      </c>
      <c r="O230" t="s">
        <v>647</v>
      </c>
    </row>
    <row r="231" spans="1:15" x14ac:dyDescent="0.2">
      <c r="A231">
        <v>99</v>
      </c>
      <c r="B231" t="s">
        <v>2117</v>
      </c>
      <c r="C231" t="s">
        <v>190</v>
      </c>
      <c r="D231" t="s">
        <v>1831</v>
      </c>
      <c r="E231" t="s">
        <v>2386</v>
      </c>
      <c r="F231">
        <v>26368.9709</v>
      </c>
      <c r="G231">
        <v>27.697099999999999</v>
      </c>
      <c r="H231" t="s">
        <v>1153</v>
      </c>
      <c r="I231" t="s">
        <v>1819</v>
      </c>
      <c r="J231">
        <v>730344.02391439001</v>
      </c>
      <c r="K231">
        <v>730344.02391400002</v>
      </c>
      <c r="L231" t="s">
        <v>850</v>
      </c>
      <c r="M231">
        <v>1</v>
      </c>
      <c r="N231" t="s">
        <v>2387</v>
      </c>
      <c r="O231" t="s">
        <v>647</v>
      </c>
    </row>
    <row r="232" spans="1:15" x14ac:dyDescent="0.2">
      <c r="A232">
        <v>99</v>
      </c>
      <c r="B232" t="s">
        <v>2117</v>
      </c>
      <c r="C232" t="s">
        <v>190</v>
      </c>
      <c r="D232" t="s">
        <v>1838</v>
      </c>
      <c r="E232" t="s">
        <v>2392</v>
      </c>
      <c r="F232">
        <v>30115.4601</v>
      </c>
      <c r="G232">
        <v>14.7065</v>
      </c>
      <c r="H232" t="s">
        <v>1153</v>
      </c>
      <c r="I232" t="s">
        <v>1819</v>
      </c>
      <c r="J232">
        <v>442893.01396064996</v>
      </c>
      <c r="K232">
        <v>442893.01396100002</v>
      </c>
      <c r="L232" t="s">
        <v>850</v>
      </c>
      <c r="M232">
        <v>1</v>
      </c>
      <c r="N232" t="s">
        <v>2393</v>
      </c>
      <c r="O232" t="s">
        <v>647</v>
      </c>
    </row>
    <row r="233" spans="1:15" x14ac:dyDescent="0.2">
      <c r="A233">
        <v>99</v>
      </c>
      <c r="B233" t="s">
        <v>2117</v>
      </c>
      <c r="C233" t="s">
        <v>190</v>
      </c>
      <c r="D233" t="s">
        <v>1828</v>
      </c>
      <c r="E233" t="s">
        <v>2384</v>
      </c>
      <c r="F233">
        <v>46058.245199999998</v>
      </c>
      <c r="G233">
        <v>42.5625</v>
      </c>
      <c r="H233" t="s">
        <v>1153</v>
      </c>
      <c r="I233" t="s">
        <v>1819</v>
      </c>
      <c r="J233">
        <v>1960354.0613249999</v>
      </c>
      <c r="K233">
        <v>1960354.0613249999</v>
      </c>
      <c r="L233" t="s">
        <v>850</v>
      </c>
      <c r="M233">
        <v>1</v>
      </c>
      <c r="N233" t="s">
        <v>2385</v>
      </c>
      <c r="O233" t="s">
        <v>647</v>
      </c>
    </row>
    <row r="234" spans="1:15" x14ac:dyDescent="0.2">
      <c r="A234">
        <v>99</v>
      </c>
      <c r="B234" t="s">
        <v>2117</v>
      </c>
      <c r="C234" t="s">
        <v>79</v>
      </c>
      <c r="D234" t="s">
        <v>732</v>
      </c>
      <c r="E234" t="s">
        <v>2394</v>
      </c>
      <c r="F234">
        <v>1</v>
      </c>
      <c r="G234">
        <v>48.333300000000001</v>
      </c>
      <c r="H234" t="s">
        <v>1153</v>
      </c>
      <c r="I234" t="s">
        <v>1153</v>
      </c>
      <c r="J234">
        <v>48.333300000000001</v>
      </c>
      <c r="K234">
        <v>72499.95</v>
      </c>
      <c r="L234" t="s">
        <v>851</v>
      </c>
      <c r="M234">
        <v>1500</v>
      </c>
      <c r="N234" t="s">
        <v>2395</v>
      </c>
      <c r="O234" t="s">
        <v>1811</v>
      </c>
    </row>
    <row r="235" spans="1:15" x14ac:dyDescent="0.2">
      <c r="A235">
        <v>99</v>
      </c>
      <c r="B235" t="s">
        <v>2117</v>
      </c>
      <c r="C235" t="s">
        <v>83</v>
      </c>
      <c r="D235" t="s">
        <v>619</v>
      </c>
      <c r="E235" t="s">
        <v>2396</v>
      </c>
      <c r="F235">
        <v>1</v>
      </c>
      <c r="G235">
        <v>95.5672</v>
      </c>
      <c r="H235" t="s">
        <v>1153</v>
      </c>
      <c r="I235" t="s">
        <v>1153</v>
      </c>
      <c r="J235">
        <v>95.5672</v>
      </c>
      <c r="K235">
        <v>280718.36696900002</v>
      </c>
      <c r="L235" t="s">
        <v>854</v>
      </c>
      <c r="M235">
        <v>2937.3924000000002</v>
      </c>
      <c r="N235" t="s">
        <v>2397</v>
      </c>
      <c r="O235" t="s">
        <v>1769</v>
      </c>
    </row>
    <row r="236" spans="1:15" x14ac:dyDescent="0.2">
      <c r="A236">
        <v>99</v>
      </c>
      <c r="B236" t="s">
        <v>2117</v>
      </c>
      <c r="C236" t="s">
        <v>1946</v>
      </c>
      <c r="D236" t="s">
        <v>1783</v>
      </c>
      <c r="E236" t="s">
        <v>525</v>
      </c>
      <c r="F236">
        <v>0</v>
      </c>
      <c r="G236">
        <v>0</v>
      </c>
      <c r="H236" t="s">
        <v>1819</v>
      </c>
      <c r="I236" t="s">
        <v>1819</v>
      </c>
      <c r="J236">
        <v>0</v>
      </c>
      <c r="K236">
        <v>0</v>
      </c>
      <c r="L236" t="s">
        <v>848</v>
      </c>
      <c r="M236">
        <v>1</v>
      </c>
      <c r="N236" t="s">
        <v>2401</v>
      </c>
      <c r="O236" t="s">
        <v>2400</v>
      </c>
    </row>
    <row r="237" spans="1:15" x14ac:dyDescent="0.2">
      <c r="A237">
        <v>99</v>
      </c>
      <c r="B237" t="s">
        <v>2117</v>
      </c>
      <c r="C237" t="s">
        <v>1946</v>
      </c>
      <c r="D237" t="s">
        <v>1780</v>
      </c>
      <c r="E237" t="s">
        <v>2398</v>
      </c>
      <c r="F237">
        <v>1</v>
      </c>
      <c r="G237">
        <v>12143.281800000001</v>
      </c>
      <c r="H237" t="s">
        <v>1819</v>
      </c>
      <c r="I237" t="s">
        <v>1819</v>
      </c>
      <c r="J237">
        <v>12143.281800000001</v>
      </c>
      <c r="K237">
        <v>12143.281800000001</v>
      </c>
      <c r="L237" t="s">
        <v>848</v>
      </c>
      <c r="M237">
        <v>1</v>
      </c>
      <c r="N237" t="s">
        <v>2399</v>
      </c>
      <c r="O237" t="s">
        <v>2400</v>
      </c>
    </row>
    <row r="238" spans="1:15" x14ac:dyDescent="0.2">
      <c r="A238">
        <v>99</v>
      </c>
      <c r="B238" t="s">
        <v>2117</v>
      </c>
      <c r="C238" t="s">
        <v>1946</v>
      </c>
      <c r="D238" t="s">
        <v>1787</v>
      </c>
      <c r="E238" t="s">
        <v>1924</v>
      </c>
      <c r="F238">
        <v>1</v>
      </c>
      <c r="G238">
        <v>68002.378200000006</v>
      </c>
      <c r="H238" t="s">
        <v>1819</v>
      </c>
      <c r="I238" t="s">
        <v>1819</v>
      </c>
      <c r="J238">
        <v>68002.378200000006</v>
      </c>
      <c r="K238">
        <v>68002.378200000006</v>
      </c>
      <c r="L238" t="s">
        <v>848</v>
      </c>
      <c r="M238">
        <v>1</v>
      </c>
      <c r="N238" t="s">
        <v>2402</v>
      </c>
      <c r="O238" t="s">
        <v>2400</v>
      </c>
    </row>
    <row r="239" spans="1:15" x14ac:dyDescent="0.2">
      <c r="A239">
        <v>99</v>
      </c>
      <c r="B239" t="s">
        <v>2117</v>
      </c>
      <c r="C239" t="s">
        <v>169</v>
      </c>
      <c r="D239" t="s">
        <v>1561</v>
      </c>
      <c r="E239" t="s">
        <v>1939</v>
      </c>
      <c r="F239">
        <v>0.02</v>
      </c>
      <c r="G239">
        <v>9.8886000000000003</v>
      </c>
      <c r="H239" t="s">
        <v>1052</v>
      </c>
      <c r="I239" t="s">
        <v>1052</v>
      </c>
      <c r="J239">
        <v>0.197772</v>
      </c>
      <c r="K239">
        <v>815.36055799999997</v>
      </c>
      <c r="L239" t="s">
        <v>137</v>
      </c>
      <c r="M239">
        <v>4122.7299999999996</v>
      </c>
      <c r="N239" t="s">
        <v>2405</v>
      </c>
      <c r="O239" t="s">
        <v>2404</v>
      </c>
    </row>
    <row r="240" spans="1:15" x14ac:dyDescent="0.2">
      <c r="A240">
        <v>99</v>
      </c>
      <c r="B240" t="s">
        <v>2117</v>
      </c>
      <c r="C240" t="s">
        <v>169</v>
      </c>
      <c r="D240" t="s">
        <v>1371</v>
      </c>
      <c r="E240" t="s">
        <v>2406</v>
      </c>
      <c r="F240">
        <v>0.74299999999999999</v>
      </c>
      <c r="G240">
        <v>0.22</v>
      </c>
      <c r="H240" t="s">
        <v>1781</v>
      </c>
      <c r="I240" t="s">
        <v>1052</v>
      </c>
      <c r="J240">
        <v>0.16345999999999999</v>
      </c>
      <c r="K240">
        <v>673.90144599999996</v>
      </c>
      <c r="L240" t="s">
        <v>137</v>
      </c>
      <c r="M240">
        <v>4122.7299999999996</v>
      </c>
      <c r="N240" t="s">
        <v>2407</v>
      </c>
      <c r="O240" t="s">
        <v>2404</v>
      </c>
    </row>
    <row r="241" spans="1:15" x14ac:dyDescent="0.2">
      <c r="A241">
        <v>99</v>
      </c>
      <c r="B241" t="s">
        <v>2117</v>
      </c>
      <c r="C241" t="s">
        <v>169</v>
      </c>
      <c r="D241" t="s">
        <v>1501</v>
      </c>
      <c r="E241" t="s">
        <v>453</v>
      </c>
      <c r="F241">
        <v>1</v>
      </c>
      <c r="G241">
        <v>0.87</v>
      </c>
      <c r="H241" t="s">
        <v>1052</v>
      </c>
      <c r="I241" t="s">
        <v>1052</v>
      </c>
      <c r="J241">
        <v>0.87</v>
      </c>
      <c r="K241">
        <v>3586.7750999999998</v>
      </c>
      <c r="L241" t="s">
        <v>137</v>
      </c>
      <c r="M241">
        <v>4122.7299999999996</v>
      </c>
      <c r="N241" t="s">
        <v>2410</v>
      </c>
      <c r="O241" t="s">
        <v>2404</v>
      </c>
    </row>
    <row r="242" spans="1:15" x14ac:dyDescent="0.2">
      <c r="A242">
        <v>99</v>
      </c>
      <c r="B242" t="s">
        <v>2117</v>
      </c>
      <c r="C242" t="s">
        <v>169</v>
      </c>
      <c r="D242" t="s">
        <v>935</v>
      </c>
      <c r="E242" t="s">
        <v>1352</v>
      </c>
      <c r="F242">
        <v>0</v>
      </c>
      <c r="G242">
        <v>15.1457</v>
      </c>
      <c r="H242" t="s">
        <v>151</v>
      </c>
      <c r="I242" t="s">
        <v>1052</v>
      </c>
      <c r="J242">
        <v>0</v>
      </c>
      <c r="K242">
        <v>0</v>
      </c>
      <c r="L242" t="s">
        <v>137</v>
      </c>
      <c r="M242">
        <v>4122.7299999999996</v>
      </c>
      <c r="N242" t="s">
        <v>2408</v>
      </c>
      <c r="O242" t="s">
        <v>2404</v>
      </c>
    </row>
    <row r="243" spans="1:15" x14ac:dyDescent="0.2">
      <c r="A243">
        <v>99</v>
      </c>
      <c r="B243" t="s">
        <v>2117</v>
      </c>
      <c r="C243" t="s">
        <v>169</v>
      </c>
      <c r="D243" t="s">
        <v>498</v>
      </c>
      <c r="E243" t="s">
        <v>773</v>
      </c>
      <c r="F243">
        <v>1.2</v>
      </c>
      <c r="G243">
        <v>0</v>
      </c>
      <c r="H243" t="s">
        <v>84</v>
      </c>
      <c r="I243" t="s">
        <v>1052</v>
      </c>
      <c r="J243">
        <v>0</v>
      </c>
      <c r="K243">
        <v>0</v>
      </c>
      <c r="L243" t="s">
        <v>137</v>
      </c>
      <c r="M243">
        <v>4122.7299999999996</v>
      </c>
      <c r="N243" t="s">
        <v>2412</v>
      </c>
      <c r="O243" t="s">
        <v>2404</v>
      </c>
    </row>
    <row r="244" spans="1:15" x14ac:dyDescent="0.2">
      <c r="A244">
        <v>99</v>
      </c>
      <c r="B244" t="s">
        <v>2117</v>
      </c>
      <c r="C244" t="s">
        <v>169</v>
      </c>
      <c r="D244" t="s">
        <v>792</v>
      </c>
      <c r="E244" t="s">
        <v>335</v>
      </c>
      <c r="F244">
        <v>0</v>
      </c>
      <c r="G244">
        <v>11.1343</v>
      </c>
      <c r="H244" t="s">
        <v>151</v>
      </c>
      <c r="I244" t="s">
        <v>1052</v>
      </c>
      <c r="J244">
        <v>0</v>
      </c>
      <c r="K244">
        <v>0</v>
      </c>
      <c r="L244" t="s">
        <v>137</v>
      </c>
      <c r="M244">
        <v>4122.7299999999996</v>
      </c>
      <c r="N244" t="s">
        <v>2409</v>
      </c>
      <c r="O244" t="s">
        <v>2404</v>
      </c>
    </row>
    <row r="245" spans="1:15" x14ac:dyDescent="0.2">
      <c r="A245">
        <v>99</v>
      </c>
      <c r="B245" t="s">
        <v>2117</v>
      </c>
      <c r="C245" t="s">
        <v>169</v>
      </c>
      <c r="D245" t="s">
        <v>102</v>
      </c>
      <c r="E245" t="s">
        <v>759</v>
      </c>
      <c r="F245">
        <v>1.0049999999999999</v>
      </c>
      <c r="G245">
        <v>5.5869</v>
      </c>
      <c r="H245" t="s">
        <v>1052</v>
      </c>
      <c r="I245" t="s">
        <v>1052</v>
      </c>
      <c r="J245">
        <v>5.6148344999999997</v>
      </c>
      <c r="K245">
        <v>23148.446638000001</v>
      </c>
      <c r="L245" t="s">
        <v>137</v>
      </c>
      <c r="M245">
        <v>4122.7299999999996</v>
      </c>
      <c r="N245" t="s">
        <v>2403</v>
      </c>
      <c r="O245" t="s">
        <v>2404</v>
      </c>
    </row>
    <row r="246" spans="1:15" x14ac:dyDescent="0.2">
      <c r="A246">
        <v>99</v>
      </c>
      <c r="B246" t="s">
        <v>2117</v>
      </c>
      <c r="C246" t="s">
        <v>169</v>
      </c>
      <c r="D246" t="s">
        <v>1550</v>
      </c>
      <c r="E246" t="s">
        <v>1200</v>
      </c>
      <c r="F246">
        <v>1</v>
      </c>
      <c r="G246">
        <v>2.4</v>
      </c>
      <c r="H246" t="s">
        <v>1052</v>
      </c>
      <c r="I246" t="s">
        <v>1052</v>
      </c>
      <c r="J246">
        <v>2.4</v>
      </c>
      <c r="K246">
        <v>9894.5519999999997</v>
      </c>
      <c r="L246" t="s">
        <v>137</v>
      </c>
      <c r="M246">
        <v>4122.7299999999996</v>
      </c>
      <c r="N246" t="s">
        <v>2411</v>
      </c>
      <c r="O246" t="s">
        <v>2404</v>
      </c>
    </row>
    <row r="247" spans="1:15" x14ac:dyDescent="0.2">
      <c r="A247">
        <v>99</v>
      </c>
      <c r="B247" t="s">
        <v>2117</v>
      </c>
      <c r="C247" t="s">
        <v>172</v>
      </c>
      <c r="D247" t="s">
        <v>1550</v>
      </c>
      <c r="E247" t="s">
        <v>1200</v>
      </c>
      <c r="F247">
        <v>1</v>
      </c>
      <c r="G247">
        <v>2.4</v>
      </c>
      <c r="H247" t="s">
        <v>1052</v>
      </c>
      <c r="I247" t="s">
        <v>1052</v>
      </c>
      <c r="J247">
        <v>2.4</v>
      </c>
      <c r="K247">
        <v>77961.744000000006</v>
      </c>
      <c r="L247" t="s">
        <v>140</v>
      </c>
      <c r="M247">
        <v>32484.06</v>
      </c>
      <c r="N247" t="s">
        <v>2420</v>
      </c>
      <c r="O247" t="s">
        <v>2414</v>
      </c>
    </row>
    <row r="248" spans="1:15" x14ac:dyDescent="0.2">
      <c r="A248">
        <v>99</v>
      </c>
      <c r="B248" t="s">
        <v>2117</v>
      </c>
      <c r="C248" t="s">
        <v>172</v>
      </c>
      <c r="D248" t="s">
        <v>792</v>
      </c>
      <c r="E248" t="s">
        <v>335</v>
      </c>
      <c r="F248">
        <v>0</v>
      </c>
      <c r="G248">
        <v>11.1343</v>
      </c>
      <c r="H248" t="s">
        <v>151</v>
      </c>
      <c r="I248" t="s">
        <v>1052</v>
      </c>
      <c r="J248">
        <v>0</v>
      </c>
      <c r="K248">
        <v>0</v>
      </c>
      <c r="L248" t="s">
        <v>140</v>
      </c>
      <c r="M248">
        <v>32484.06</v>
      </c>
      <c r="N248" t="s">
        <v>2418</v>
      </c>
      <c r="O248" t="s">
        <v>2414</v>
      </c>
    </row>
    <row r="249" spans="1:15" x14ac:dyDescent="0.2">
      <c r="A249">
        <v>99</v>
      </c>
      <c r="B249" t="s">
        <v>2117</v>
      </c>
      <c r="C249" t="s">
        <v>172</v>
      </c>
      <c r="D249" t="s">
        <v>498</v>
      </c>
      <c r="E249" t="s">
        <v>773</v>
      </c>
      <c r="F249">
        <v>1.2</v>
      </c>
      <c r="G249">
        <v>0</v>
      </c>
      <c r="H249" t="s">
        <v>84</v>
      </c>
      <c r="I249" t="s">
        <v>1052</v>
      </c>
      <c r="J249">
        <v>0</v>
      </c>
      <c r="K249">
        <v>0</v>
      </c>
      <c r="L249" t="s">
        <v>140</v>
      </c>
      <c r="M249">
        <v>32484.06</v>
      </c>
      <c r="N249" t="s">
        <v>2421</v>
      </c>
      <c r="O249" t="s">
        <v>2414</v>
      </c>
    </row>
    <row r="250" spans="1:15" x14ac:dyDescent="0.2">
      <c r="A250">
        <v>99</v>
      </c>
      <c r="B250" t="s">
        <v>2117</v>
      </c>
      <c r="C250" t="s">
        <v>172</v>
      </c>
      <c r="D250" t="s">
        <v>935</v>
      </c>
      <c r="E250" t="s">
        <v>1352</v>
      </c>
      <c r="F250">
        <v>0</v>
      </c>
      <c r="G250">
        <v>15.1457</v>
      </c>
      <c r="H250" t="s">
        <v>151</v>
      </c>
      <c r="I250" t="s">
        <v>1052</v>
      </c>
      <c r="J250">
        <v>0</v>
      </c>
      <c r="K250">
        <v>0</v>
      </c>
      <c r="L250" t="s">
        <v>140</v>
      </c>
      <c r="M250">
        <v>32484.06</v>
      </c>
      <c r="N250" t="s">
        <v>2417</v>
      </c>
      <c r="O250" t="s">
        <v>2414</v>
      </c>
    </row>
    <row r="251" spans="1:15" x14ac:dyDescent="0.2">
      <c r="A251">
        <v>99</v>
      </c>
      <c r="B251" t="s">
        <v>2117</v>
      </c>
      <c r="C251" t="s">
        <v>172</v>
      </c>
      <c r="D251" t="s">
        <v>112</v>
      </c>
      <c r="E251" t="s">
        <v>1303</v>
      </c>
      <c r="F251">
        <v>1.0049999999999999</v>
      </c>
      <c r="G251">
        <v>5.9786000000000001</v>
      </c>
      <c r="H251" t="s">
        <v>1052</v>
      </c>
      <c r="I251" t="s">
        <v>1052</v>
      </c>
      <c r="J251">
        <v>6.0084929999999996</v>
      </c>
      <c r="K251">
        <v>195180.247122</v>
      </c>
      <c r="L251" t="s">
        <v>140</v>
      </c>
      <c r="M251">
        <v>32484.06</v>
      </c>
      <c r="N251" t="s">
        <v>2413</v>
      </c>
      <c r="O251" t="s">
        <v>2414</v>
      </c>
    </row>
    <row r="252" spans="1:15" x14ac:dyDescent="0.2">
      <c r="A252">
        <v>99</v>
      </c>
      <c r="B252" t="s">
        <v>2117</v>
      </c>
      <c r="C252" t="s">
        <v>172</v>
      </c>
      <c r="D252" t="s">
        <v>1501</v>
      </c>
      <c r="E252" t="s">
        <v>453</v>
      </c>
      <c r="F252">
        <v>1</v>
      </c>
      <c r="G252">
        <v>0.87</v>
      </c>
      <c r="H252" t="s">
        <v>1052</v>
      </c>
      <c r="I252" t="s">
        <v>1052</v>
      </c>
      <c r="J252">
        <v>0.87</v>
      </c>
      <c r="K252">
        <v>28261.1322</v>
      </c>
      <c r="L252" t="s">
        <v>140</v>
      </c>
      <c r="M252">
        <v>32484.06</v>
      </c>
      <c r="N252" t="s">
        <v>2419</v>
      </c>
      <c r="O252" t="s">
        <v>2414</v>
      </c>
    </row>
    <row r="253" spans="1:15" x14ac:dyDescent="0.2">
      <c r="A253">
        <v>99</v>
      </c>
      <c r="B253" t="s">
        <v>2117</v>
      </c>
      <c r="C253" t="s">
        <v>172</v>
      </c>
      <c r="D253" t="s">
        <v>1371</v>
      </c>
      <c r="E253" t="s">
        <v>2406</v>
      </c>
      <c r="F253">
        <v>0.21199999999999999</v>
      </c>
      <c r="G253">
        <v>0.22</v>
      </c>
      <c r="H253" t="s">
        <v>1781</v>
      </c>
      <c r="I253" t="s">
        <v>1052</v>
      </c>
      <c r="J253">
        <v>4.6640000000000001E-2</v>
      </c>
      <c r="K253">
        <v>1515.056558</v>
      </c>
      <c r="L253" t="s">
        <v>140</v>
      </c>
      <c r="M253">
        <v>32484.06</v>
      </c>
      <c r="N253" t="s">
        <v>2416</v>
      </c>
      <c r="O253" t="s">
        <v>2414</v>
      </c>
    </row>
    <row r="254" spans="1:15" x14ac:dyDescent="0.2">
      <c r="A254">
        <v>99</v>
      </c>
      <c r="B254" t="s">
        <v>2117</v>
      </c>
      <c r="C254" t="s">
        <v>172</v>
      </c>
      <c r="D254" t="s">
        <v>1561</v>
      </c>
      <c r="E254" t="s">
        <v>1939</v>
      </c>
      <c r="F254">
        <v>0.02</v>
      </c>
      <c r="G254">
        <v>9.8886000000000003</v>
      </c>
      <c r="H254" t="s">
        <v>1052</v>
      </c>
      <c r="I254" t="s">
        <v>1052</v>
      </c>
      <c r="J254">
        <v>0.197772</v>
      </c>
      <c r="K254">
        <v>6424.4375140000002</v>
      </c>
      <c r="L254" t="s">
        <v>140</v>
      </c>
      <c r="M254">
        <v>32484.06</v>
      </c>
      <c r="N254" t="s">
        <v>2415</v>
      </c>
      <c r="O254" t="s">
        <v>2414</v>
      </c>
    </row>
    <row r="255" spans="1:15" x14ac:dyDescent="0.2">
      <c r="A255">
        <v>99</v>
      </c>
      <c r="B255" t="s">
        <v>2117</v>
      </c>
      <c r="C255" t="s">
        <v>45</v>
      </c>
      <c r="D255" t="s">
        <v>683</v>
      </c>
      <c r="E255" t="s">
        <v>410</v>
      </c>
      <c r="F255">
        <v>1.3</v>
      </c>
      <c r="G255">
        <v>511</v>
      </c>
      <c r="H255" t="s">
        <v>1153</v>
      </c>
      <c r="I255" t="s">
        <v>1153</v>
      </c>
      <c r="J255">
        <v>664.3</v>
      </c>
      <c r="K255">
        <v>258020.76300000001</v>
      </c>
      <c r="L255" t="s">
        <v>4</v>
      </c>
      <c r="M255">
        <v>388.41</v>
      </c>
      <c r="N255" t="s">
        <v>2426</v>
      </c>
      <c r="O255" t="s">
        <v>2423</v>
      </c>
    </row>
    <row r="256" spans="1:15" x14ac:dyDescent="0.2">
      <c r="A256">
        <v>99</v>
      </c>
      <c r="B256" t="s">
        <v>2117</v>
      </c>
      <c r="C256" t="s">
        <v>45</v>
      </c>
      <c r="D256" t="s">
        <v>498</v>
      </c>
      <c r="E256" t="s">
        <v>773</v>
      </c>
      <c r="F256">
        <v>1.2</v>
      </c>
      <c r="G256">
        <v>0</v>
      </c>
      <c r="H256" t="s">
        <v>84</v>
      </c>
      <c r="I256" t="s">
        <v>1153</v>
      </c>
      <c r="J256">
        <v>0</v>
      </c>
      <c r="K256">
        <v>0</v>
      </c>
      <c r="L256" t="s">
        <v>4</v>
      </c>
      <c r="M256">
        <v>388.41</v>
      </c>
      <c r="N256" t="s">
        <v>2430</v>
      </c>
      <c r="O256" t="s">
        <v>2423</v>
      </c>
    </row>
    <row r="257" spans="1:15" x14ac:dyDescent="0.2">
      <c r="A257">
        <v>99</v>
      </c>
      <c r="B257" t="s">
        <v>2117</v>
      </c>
      <c r="C257" t="s">
        <v>45</v>
      </c>
      <c r="D257" t="s">
        <v>818</v>
      </c>
      <c r="E257" t="s">
        <v>2424</v>
      </c>
      <c r="F257">
        <v>0.13</v>
      </c>
      <c r="G257">
        <v>100</v>
      </c>
      <c r="H257" t="s">
        <v>1153</v>
      </c>
      <c r="I257" t="s">
        <v>1153</v>
      </c>
      <c r="J257">
        <v>13</v>
      </c>
      <c r="K257">
        <v>5049.33</v>
      </c>
      <c r="L257" t="s">
        <v>4</v>
      </c>
      <c r="M257">
        <v>388.41</v>
      </c>
      <c r="N257" t="s">
        <v>2425</v>
      </c>
      <c r="O257" t="s">
        <v>2423</v>
      </c>
    </row>
    <row r="258" spans="1:15" x14ac:dyDescent="0.2">
      <c r="A258">
        <v>99</v>
      </c>
      <c r="B258" t="s">
        <v>2117</v>
      </c>
      <c r="C258" t="s">
        <v>45</v>
      </c>
      <c r="D258" t="s">
        <v>1575</v>
      </c>
      <c r="E258" t="s">
        <v>2428</v>
      </c>
      <c r="F258">
        <v>1</v>
      </c>
      <c r="G258">
        <v>96.42</v>
      </c>
      <c r="H258" t="s">
        <v>1153</v>
      </c>
      <c r="I258" t="s">
        <v>1153</v>
      </c>
      <c r="J258">
        <v>96.42</v>
      </c>
      <c r="K258">
        <v>37450.492200000001</v>
      </c>
      <c r="L258" t="s">
        <v>4</v>
      </c>
      <c r="M258">
        <v>388.41</v>
      </c>
      <c r="N258" t="s">
        <v>2429</v>
      </c>
      <c r="O258" t="s">
        <v>2423</v>
      </c>
    </row>
    <row r="259" spans="1:15" x14ac:dyDescent="0.2">
      <c r="A259">
        <v>99</v>
      </c>
      <c r="B259" t="s">
        <v>2117</v>
      </c>
      <c r="C259" t="s">
        <v>45</v>
      </c>
      <c r="D259" t="s">
        <v>814</v>
      </c>
      <c r="E259" t="s">
        <v>1959</v>
      </c>
      <c r="F259">
        <v>1.17</v>
      </c>
      <c r="G259">
        <v>55</v>
      </c>
      <c r="H259" t="s">
        <v>1153</v>
      </c>
      <c r="I259" t="s">
        <v>1153</v>
      </c>
      <c r="J259">
        <v>64.349999999999994</v>
      </c>
      <c r="K259">
        <v>24994.183499999999</v>
      </c>
      <c r="L259" t="s">
        <v>4</v>
      </c>
      <c r="M259">
        <v>388.41</v>
      </c>
      <c r="N259" t="s">
        <v>2422</v>
      </c>
      <c r="O259" t="s">
        <v>2423</v>
      </c>
    </row>
    <row r="260" spans="1:15" x14ac:dyDescent="0.2">
      <c r="A260">
        <v>99</v>
      </c>
      <c r="B260" t="s">
        <v>2117</v>
      </c>
      <c r="C260" t="s">
        <v>45</v>
      </c>
      <c r="D260" t="s">
        <v>801</v>
      </c>
      <c r="E260" t="s">
        <v>402</v>
      </c>
      <c r="F260">
        <v>0</v>
      </c>
      <c r="G260">
        <v>10.3</v>
      </c>
      <c r="H260" t="s">
        <v>151</v>
      </c>
      <c r="I260" t="s">
        <v>1153</v>
      </c>
      <c r="J260">
        <v>0</v>
      </c>
      <c r="K260">
        <v>0</v>
      </c>
      <c r="L260" t="s">
        <v>4</v>
      </c>
      <c r="M260">
        <v>388.41</v>
      </c>
      <c r="N260" t="s">
        <v>2427</v>
      </c>
      <c r="O260" t="s">
        <v>2423</v>
      </c>
    </row>
    <row r="261" spans="1:15" x14ac:dyDescent="0.2">
      <c r="A261">
        <v>99</v>
      </c>
      <c r="B261" t="s">
        <v>2117</v>
      </c>
      <c r="C261" t="s">
        <v>51</v>
      </c>
      <c r="D261" t="s">
        <v>801</v>
      </c>
      <c r="E261" t="s">
        <v>402</v>
      </c>
      <c r="F261">
        <v>0</v>
      </c>
      <c r="G261">
        <v>10.3</v>
      </c>
      <c r="H261" t="s">
        <v>151</v>
      </c>
      <c r="I261" t="s">
        <v>1153</v>
      </c>
      <c r="J261">
        <v>0</v>
      </c>
      <c r="K261">
        <v>0</v>
      </c>
      <c r="L261" t="s">
        <v>0</v>
      </c>
      <c r="M261">
        <v>176.47</v>
      </c>
      <c r="N261" t="s">
        <v>2435</v>
      </c>
      <c r="O261" t="s">
        <v>2432</v>
      </c>
    </row>
    <row r="262" spans="1:15" x14ac:dyDescent="0.2">
      <c r="A262">
        <v>99</v>
      </c>
      <c r="B262" t="s">
        <v>2117</v>
      </c>
      <c r="C262" t="s">
        <v>51</v>
      </c>
      <c r="D262" t="s">
        <v>814</v>
      </c>
      <c r="E262" t="s">
        <v>1959</v>
      </c>
      <c r="F262">
        <v>1.17</v>
      </c>
      <c r="G262">
        <v>55</v>
      </c>
      <c r="H262" t="s">
        <v>1153</v>
      </c>
      <c r="I262" t="s">
        <v>1153</v>
      </c>
      <c r="J262">
        <v>64.349999999999994</v>
      </c>
      <c r="K262">
        <v>11355.844499999999</v>
      </c>
      <c r="L262" t="s">
        <v>0</v>
      </c>
      <c r="M262">
        <v>176.47</v>
      </c>
      <c r="N262" t="s">
        <v>2431</v>
      </c>
      <c r="O262" t="s">
        <v>2432</v>
      </c>
    </row>
    <row r="263" spans="1:15" x14ac:dyDescent="0.2">
      <c r="A263">
        <v>99</v>
      </c>
      <c r="B263" t="s">
        <v>2117</v>
      </c>
      <c r="C263" t="s">
        <v>51</v>
      </c>
      <c r="D263" t="s">
        <v>1575</v>
      </c>
      <c r="E263" t="s">
        <v>2428</v>
      </c>
      <c r="F263">
        <v>1</v>
      </c>
      <c r="G263">
        <v>96.42</v>
      </c>
      <c r="H263" t="s">
        <v>1153</v>
      </c>
      <c r="I263" t="s">
        <v>1153</v>
      </c>
      <c r="J263">
        <v>96.42</v>
      </c>
      <c r="K263">
        <v>17015.237400000002</v>
      </c>
      <c r="L263" t="s">
        <v>0</v>
      </c>
      <c r="M263">
        <v>176.47</v>
      </c>
      <c r="N263" t="s">
        <v>2436</v>
      </c>
      <c r="O263" t="s">
        <v>2432</v>
      </c>
    </row>
    <row r="264" spans="1:15" x14ac:dyDescent="0.2">
      <c r="A264">
        <v>99</v>
      </c>
      <c r="B264" t="s">
        <v>2117</v>
      </c>
      <c r="C264" t="s">
        <v>51</v>
      </c>
      <c r="D264" t="s">
        <v>563</v>
      </c>
      <c r="E264" t="s">
        <v>1758</v>
      </c>
      <c r="F264">
        <v>1.3</v>
      </c>
      <c r="G264">
        <v>511</v>
      </c>
      <c r="H264" t="s">
        <v>1153</v>
      </c>
      <c r="I264" t="s">
        <v>1153</v>
      </c>
      <c r="J264">
        <v>664.3</v>
      </c>
      <c r="K264">
        <v>117229.02099999999</v>
      </c>
      <c r="L264" t="s">
        <v>0</v>
      </c>
      <c r="M264">
        <v>176.47</v>
      </c>
      <c r="N264" t="s">
        <v>2434</v>
      </c>
      <c r="O264" t="s">
        <v>2432</v>
      </c>
    </row>
    <row r="265" spans="1:15" x14ac:dyDescent="0.2">
      <c r="A265">
        <v>99</v>
      </c>
      <c r="B265" t="s">
        <v>2117</v>
      </c>
      <c r="C265" t="s">
        <v>51</v>
      </c>
      <c r="D265" t="s">
        <v>818</v>
      </c>
      <c r="E265" t="s">
        <v>2424</v>
      </c>
      <c r="F265">
        <v>0.13</v>
      </c>
      <c r="G265">
        <v>100</v>
      </c>
      <c r="H265" t="s">
        <v>1153</v>
      </c>
      <c r="I265" t="s">
        <v>1153</v>
      </c>
      <c r="J265">
        <v>13</v>
      </c>
      <c r="K265">
        <v>2294.11</v>
      </c>
      <c r="L265" t="s">
        <v>0</v>
      </c>
      <c r="M265">
        <v>176.47</v>
      </c>
      <c r="N265" t="s">
        <v>2433</v>
      </c>
      <c r="O265" t="s">
        <v>2432</v>
      </c>
    </row>
    <row r="266" spans="1:15" x14ac:dyDescent="0.2">
      <c r="A266">
        <v>99</v>
      </c>
      <c r="B266" t="s">
        <v>2117</v>
      </c>
      <c r="C266" t="s">
        <v>51</v>
      </c>
      <c r="D266" t="s">
        <v>498</v>
      </c>
      <c r="E266" t="s">
        <v>773</v>
      </c>
      <c r="F266">
        <v>1.2</v>
      </c>
      <c r="G266">
        <v>0</v>
      </c>
      <c r="H266" t="s">
        <v>84</v>
      </c>
      <c r="I266" t="s">
        <v>1153</v>
      </c>
      <c r="J266">
        <v>0</v>
      </c>
      <c r="K266">
        <v>0</v>
      </c>
      <c r="L266" t="s">
        <v>0</v>
      </c>
      <c r="M266">
        <v>176.47</v>
      </c>
      <c r="N266" t="s">
        <v>2437</v>
      </c>
      <c r="O266" t="s">
        <v>2432</v>
      </c>
    </row>
    <row r="267" spans="1:15" x14ac:dyDescent="0.2">
      <c r="A267">
        <v>99</v>
      </c>
      <c r="B267" t="s">
        <v>2117</v>
      </c>
      <c r="C267" t="s">
        <v>1915</v>
      </c>
      <c r="D267" t="s">
        <v>498</v>
      </c>
      <c r="E267" t="s">
        <v>773</v>
      </c>
      <c r="F267">
        <v>1.2</v>
      </c>
      <c r="G267">
        <v>0</v>
      </c>
      <c r="H267" t="s">
        <v>84</v>
      </c>
      <c r="I267" t="s">
        <v>1781</v>
      </c>
      <c r="J267">
        <v>0</v>
      </c>
      <c r="K267">
        <v>0</v>
      </c>
      <c r="L267" t="s">
        <v>1872</v>
      </c>
      <c r="M267">
        <v>376</v>
      </c>
      <c r="N267" t="s">
        <v>2442</v>
      </c>
      <c r="O267" t="s">
        <v>2439</v>
      </c>
    </row>
    <row r="268" spans="1:15" x14ac:dyDescent="0.2">
      <c r="A268">
        <v>99</v>
      </c>
      <c r="B268" t="s">
        <v>2117</v>
      </c>
      <c r="C268" t="s">
        <v>1915</v>
      </c>
      <c r="D268" t="s">
        <v>56</v>
      </c>
      <c r="E268" t="s">
        <v>674</v>
      </c>
      <c r="F268">
        <v>0</v>
      </c>
      <c r="G268">
        <v>29.63</v>
      </c>
      <c r="H268" t="s">
        <v>742</v>
      </c>
      <c r="I268" t="s">
        <v>1781</v>
      </c>
      <c r="J268">
        <v>0</v>
      </c>
      <c r="K268">
        <v>0</v>
      </c>
      <c r="L268" t="s">
        <v>1872</v>
      </c>
      <c r="M268">
        <v>376</v>
      </c>
      <c r="N268" t="s">
        <v>2444</v>
      </c>
      <c r="O268" t="s">
        <v>2439</v>
      </c>
    </row>
    <row r="269" spans="1:15" x14ac:dyDescent="0.2">
      <c r="A269">
        <v>99</v>
      </c>
      <c r="B269" t="s">
        <v>2117</v>
      </c>
      <c r="C269" t="s">
        <v>1915</v>
      </c>
      <c r="D269" t="s">
        <v>1560</v>
      </c>
      <c r="E269" t="s">
        <v>2440</v>
      </c>
      <c r="F269">
        <v>1</v>
      </c>
      <c r="G269">
        <v>60</v>
      </c>
      <c r="H269" t="s">
        <v>1781</v>
      </c>
      <c r="I269" t="s">
        <v>1781</v>
      </c>
      <c r="J269">
        <v>60</v>
      </c>
      <c r="K269">
        <v>22560</v>
      </c>
      <c r="L269" t="s">
        <v>1872</v>
      </c>
      <c r="M269">
        <v>376</v>
      </c>
      <c r="N269" t="s">
        <v>2441</v>
      </c>
      <c r="O269" t="s">
        <v>2439</v>
      </c>
    </row>
    <row r="270" spans="1:15" x14ac:dyDescent="0.2">
      <c r="A270">
        <v>99</v>
      </c>
      <c r="B270" t="s">
        <v>2117</v>
      </c>
      <c r="C270" t="s">
        <v>1915</v>
      </c>
      <c r="D270" t="s">
        <v>801</v>
      </c>
      <c r="E270" t="s">
        <v>402</v>
      </c>
      <c r="F270">
        <v>0</v>
      </c>
      <c r="G270">
        <v>10.3</v>
      </c>
      <c r="H270" t="s">
        <v>151</v>
      </c>
      <c r="I270" t="s">
        <v>1781</v>
      </c>
      <c r="J270">
        <v>0</v>
      </c>
      <c r="K270">
        <v>0</v>
      </c>
      <c r="L270" t="s">
        <v>1872</v>
      </c>
      <c r="M270">
        <v>376</v>
      </c>
      <c r="N270" t="s">
        <v>2438</v>
      </c>
      <c r="O270" t="s">
        <v>2439</v>
      </c>
    </row>
    <row r="271" spans="1:15" x14ac:dyDescent="0.2">
      <c r="A271">
        <v>99</v>
      </c>
      <c r="B271" t="s">
        <v>2117</v>
      </c>
      <c r="C271" t="s">
        <v>1915</v>
      </c>
      <c r="D271" t="s">
        <v>54</v>
      </c>
      <c r="E271" t="s">
        <v>682</v>
      </c>
      <c r="F271">
        <v>0</v>
      </c>
      <c r="G271">
        <v>31.84</v>
      </c>
      <c r="H271" t="s">
        <v>764</v>
      </c>
      <c r="I271" t="s">
        <v>1781</v>
      </c>
      <c r="J271">
        <v>0</v>
      </c>
      <c r="K271">
        <v>0</v>
      </c>
      <c r="L271" t="s">
        <v>1872</v>
      </c>
      <c r="M271">
        <v>376</v>
      </c>
      <c r="N271" t="s">
        <v>2443</v>
      </c>
      <c r="O271" t="s">
        <v>2439</v>
      </c>
    </row>
    <row r="272" spans="1:15" x14ac:dyDescent="0.2">
      <c r="A272">
        <v>99</v>
      </c>
      <c r="B272" t="s">
        <v>2117</v>
      </c>
      <c r="C272" t="s">
        <v>1918</v>
      </c>
      <c r="D272" t="s">
        <v>54</v>
      </c>
      <c r="E272" t="s">
        <v>682</v>
      </c>
      <c r="F272">
        <v>0</v>
      </c>
      <c r="G272">
        <v>31.84</v>
      </c>
      <c r="H272" t="s">
        <v>764</v>
      </c>
      <c r="I272" t="s">
        <v>1781</v>
      </c>
      <c r="J272">
        <v>0</v>
      </c>
      <c r="K272">
        <v>0</v>
      </c>
      <c r="L272" t="s">
        <v>1875</v>
      </c>
      <c r="M272">
        <v>154</v>
      </c>
      <c r="N272" t="s">
        <v>2449</v>
      </c>
      <c r="O272" t="s">
        <v>2446</v>
      </c>
    </row>
    <row r="273" spans="1:15" x14ac:dyDescent="0.2">
      <c r="A273">
        <v>99</v>
      </c>
      <c r="B273" t="s">
        <v>2117</v>
      </c>
      <c r="C273" t="s">
        <v>1918</v>
      </c>
      <c r="D273" t="s">
        <v>801</v>
      </c>
      <c r="E273" t="s">
        <v>402</v>
      </c>
      <c r="F273">
        <v>0</v>
      </c>
      <c r="G273">
        <v>10.3</v>
      </c>
      <c r="H273" t="s">
        <v>151</v>
      </c>
      <c r="I273" t="s">
        <v>1781</v>
      </c>
      <c r="J273">
        <v>0</v>
      </c>
      <c r="K273">
        <v>0</v>
      </c>
      <c r="L273" t="s">
        <v>1875</v>
      </c>
      <c r="M273">
        <v>154</v>
      </c>
      <c r="N273" t="s">
        <v>2445</v>
      </c>
      <c r="O273" t="s">
        <v>2446</v>
      </c>
    </row>
    <row r="274" spans="1:15" x14ac:dyDescent="0.2">
      <c r="A274">
        <v>99</v>
      </c>
      <c r="B274" t="s">
        <v>2117</v>
      </c>
      <c r="C274" t="s">
        <v>1918</v>
      </c>
      <c r="D274" t="s">
        <v>1560</v>
      </c>
      <c r="E274" t="s">
        <v>2440</v>
      </c>
      <c r="F274">
        <v>1</v>
      </c>
      <c r="G274">
        <v>60</v>
      </c>
      <c r="H274" t="s">
        <v>1781</v>
      </c>
      <c r="I274" t="s">
        <v>1781</v>
      </c>
      <c r="J274">
        <v>60</v>
      </c>
      <c r="K274">
        <v>9240</v>
      </c>
      <c r="L274" t="s">
        <v>1875</v>
      </c>
      <c r="M274">
        <v>154</v>
      </c>
      <c r="N274" t="s">
        <v>2447</v>
      </c>
      <c r="O274" t="s">
        <v>2446</v>
      </c>
    </row>
    <row r="275" spans="1:15" x14ac:dyDescent="0.2">
      <c r="A275">
        <v>99</v>
      </c>
      <c r="B275" t="s">
        <v>2117</v>
      </c>
      <c r="C275" t="s">
        <v>1918</v>
      </c>
      <c r="D275" t="s">
        <v>56</v>
      </c>
      <c r="E275" t="s">
        <v>674</v>
      </c>
      <c r="F275">
        <v>0</v>
      </c>
      <c r="G275">
        <v>29.63</v>
      </c>
      <c r="H275" t="s">
        <v>742</v>
      </c>
      <c r="I275" t="s">
        <v>1781</v>
      </c>
      <c r="J275">
        <v>0</v>
      </c>
      <c r="K275">
        <v>0</v>
      </c>
      <c r="L275" t="s">
        <v>1875</v>
      </c>
      <c r="M275">
        <v>154</v>
      </c>
      <c r="N275" t="s">
        <v>2450</v>
      </c>
      <c r="O275" t="s">
        <v>2446</v>
      </c>
    </row>
    <row r="276" spans="1:15" x14ac:dyDescent="0.2">
      <c r="A276">
        <v>99</v>
      </c>
      <c r="B276" t="s">
        <v>2117</v>
      </c>
      <c r="C276" t="s">
        <v>1918</v>
      </c>
      <c r="D276" t="s">
        <v>498</v>
      </c>
      <c r="E276" t="s">
        <v>773</v>
      </c>
      <c r="F276">
        <v>1.2</v>
      </c>
      <c r="G276">
        <v>0</v>
      </c>
      <c r="H276" t="s">
        <v>84</v>
      </c>
      <c r="I276" t="s">
        <v>1781</v>
      </c>
      <c r="J276">
        <v>0</v>
      </c>
      <c r="K276">
        <v>0</v>
      </c>
      <c r="L276" t="s">
        <v>1875</v>
      </c>
      <c r="M276">
        <v>154</v>
      </c>
      <c r="N276" t="s">
        <v>2448</v>
      </c>
      <c r="O276" t="s">
        <v>2446</v>
      </c>
    </row>
    <row r="277" spans="1:15" x14ac:dyDescent="0.2">
      <c r="A277">
        <v>99</v>
      </c>
      <c r="B277" t="s">
        <v>2117</v>
      </c>
      <c r="C277" t="s">
        <v>1919</v>
      </c>
      <c r="D277" t="s">
        <v>498</v>
      </c>
      <c r="E277" t="s">
        <v>773</v>
      </c>
      <c r="F277">
        <v>1.2</v>
      </c>
      <c r="G277">
        <v>0</v>
      </c>
      <c r="H277" t="s">
        <v>84</v>
      </c>
      <c r="I277" t="s">
        <v>1781</v>
      </c>
      <c r="J277">
        <v>0</v>
      </c>
      <c r="K277">
        <v>0</v>
      </c>
      <c r="L277" t="s">
        <v>1879</v>
      </c>
      <c r="M277">
        <v>66</v>
      </c>
      <c r="N277" t="s">
        <v>2454</v>
      </c>
      <c r="O277" t="s">
        <v>2452</v>
      </c>
    </row>
    <row r="278" spans="1:15" x14ac:dyDescent="0.2">
      <c r="A278">
        <v>99</v>
      </c>
      <c r="B278" t="s">
        <v>2117</v>
      </c>
      <c r="C278" t="s">
        <v>1919</v>
      </c>
      <c r="D278" t="s">
        <v>56</v>
      </c>
      <c r="E278" t="s">
        <v>674</v>
      </c>
      <c r="F278">
        <v>0</v>
      </c>
      <c r="G278">
        <v>29.63</v>
      </c>
      <c r="H278" t="s">
        <v>742</v>
      </c>
      <c r="I278" t="s">
        <v>1781</v>
      </c>
      <c r="J278">
        <v>0</v>
      </c>
      <c r="K278">
        <v>0</v>
      </c>
      <c r="L278" t="s">
        <v>1879</v>
      </c>
      <c r="M278">
        <v>66</v>
      </c>
      <c r="N278" t="s">
        <v>2456</v>
      </c>
      <c r="O278" t="s">
        <v>2452</v>
      </c>
    </row>
    <row r="279" spans="1:15" x14ac:dyDescent="0.2">
      <c r="A279">
        <v>99</v>
      </c>
      <c r="B279" t="s">
        <v>2117</v>
      </c>
      <c r="C279" t="s">
        <v>1919</v>
      </c>
      <c r="D279" t="s">
        <v>1560</v>
      </c>
      <c r="E279" t="s">
        <v>2440</v>
      </c>
      <c r="F279">
        <v>1</v>
      </c>
      <c r="G279">
        <v>60</v>
      </c>
      <c r="H279" t="s">
        <v>1781</v>
      </c>
      <c r="I279" t="s">
        <v>1781</v>
      </c>
      <c r="J279">
        <v>60</v>
      </c>
      <c r="K279">
        <v>3960</v>
      </c>
      <c r="L279" t="s">
        <v>1879</v>
      </c>
      <c r="M279">
        <v>66</v>
      </c>
      <c r="N279" t="s">
        <v>2453</v>
      </c>
      <c r="O279" t="s">
        <v>2452</v>
      </c>
    </row>
    <row r="280" spans="1:15" x14ac:dyDescent="0.2">
      <c r="A280">
        <v>99</v>
      </c>
      <c r="B280" t="s">
        <v>2117</v>
      </c>
      <c r="C280" t="s">
        <v>1919</v>
      </c>
      <c r="D280" t="s">
        <v>801</v>
      </c>
      <c r="E280" t="s">
        <v>402</v>
      </c>
      <c r="F280">
        <v>0</v>
      </c>
      <c r="G280">
        <v>10.3</v>
      </c>
      <c r="H280" t="s">
        <v>151</v>
      </c>
      <c r="I280" t="s">
        <v>1781</v>
      </c>
      <c r="J280">
        <v>0</v>
      </c>
      <c r="K280">
        <v>0</v>
      </c>
      <c r="L280" t="s">
        <v>1879</v>
      </c>
      <c r="M280">
        <v>66</v>
      </c>
      <c r="N280" t="s">
        <v>2451</v>
      </c>
      <c r="O280" t="s">
        <v>2452</v>
      </c>
    </row>
    <row r="281" spans="1:15" x14ac:dyDescent="0.2">
      <c r="A281">
        <v>99</v>
      </c>
      <c r="B281" t="s">
        <v>2117</v>
      </c>
      <c r="C281" t="s">
        <v>1919</v>
      </c>
      <c r="D281" t="s">
        <v>54</v>
      </c>
      <c r="E281" t="s">
        <v>682</v>
      </c>
      <c r="F281">
        <v>0</v>
      </c>
      <c r="G281">
        <v>31.84</v>
      </c>
      <c r="H281" t="s">
        <v>764</v>
      </c>
      <c r="I281" t="s">
        <v>1781</v>
      </c>
      <c r="J281">
        <v>0</v>
      </c>
      <c r="K281">
        <v>0</v>
      </c>
      <c r="L281" t="s">
        <v>1879</v>
      </c>
      <c r="M281">
        <v>66</v>
      </c>
      <c r="N281" t="s">
        <v>2455</v>
      </c>
      <c r="O281" t="s">
        <v>2452</v>
      </c>
    </row>
    <row r="282" spans="1:15" x14ac:dyDescent="0.2">
      <c r="A282">
        <v>99</v>
      </c>
      <c r="B282" t="s">
        <v>2117</v>
      </c>
      <c r="C282" t="s">
        <v>1920</v>
      </c>
      <c r="D282" t="s">
        <v>54</v>
      </c>
      <c r="E282" t="s">
        <v>682</v>
      </c>
      <c r="F282">
        <v>0</v>
      </c>
      <c r="G282">
        <v>31.84</v>
      </c>
      <c r="H282" t="s">
        <v>764</v>
      </c>
      <c r="I282" t="s">
        <v>1781</v>
      </c>
      <c r="J282">
        <v>0</v>
      </c>
      <c r="K282">
        <v>0</v>
      </c>
      <c r="L282" t="s">
        <v>1881</v>
      </c>
      <c r="M282">
        <v>44</v>
      </c>
      <c r="N282" t="s">
        <v>2461</v>
      </c>
      <c r="O282" t="s">
        <v>2458</v>
      </c>
    </row>
    <row r="283" spans="1:15" x14ac:dyDescent="0.2">
      <c r="A283">
        <v>99</v>
      </c>
      <c r="B283" t="s">
        <v>2117</v>
      </c>
      <c r="C283" t="s">
        <v>1920</v>
      </c>
      <c r="D283" t="s">
        <v>801</v>
      </c>
      <c r="E283" t="s">
        <v>402</v>
      </c>
      <c r="F283">
        <v>0</v>
      </c>
      <c r="G283">
        <v>10.3</v>
      </c>
      <c r="H283" t="s">
        <v>151</v>
      </c>
      <c r="I283" t="s">
        <v>1781</v>
      </c>
      <c r="J283">
        <v>0</v>
      </c>
      <c r="K283">
        <v>0</v>
      </c>
      <c r="L283" t="s">
        <v>1881</v>
      </c>
      <c r="M283">
        <v>44</v>
      </c>
      <c r="N283" t="s">
        <v>2457</v>
      </c>
      <c r="O283" t="s">
        <v>2458</v>
      </c>
    </row>
    <row r="284" spans="1:15" x14ac:dyDescent="0.2">
      <c r="A284">
        <v>99</v>
      </c>
      <c r="B284" t="s">
        <v>2117</v>
      </c>
      <c r="C284" t="s">
        <v>1920</v>
      </c>
      <c r="D284" t="s">
        <v>1560</v>
      </c>
      <c r="E284" t="s">
        <v>2440</v>
      </c>
      <c r="F284">
        <v>1</v>
      </c>
      <c r="G284">
        <v>60</v>
      </c>
      <c r="H284" t="s">
        <v>1781</v>
      </c>
      <c r="I284" t="s">
        <v>1781</v>
      </c>
      <c r="J284">
        <v>60</v>
      </c>
      <c r="K284">
        <v>2640</v>
      </c>
      <c r="L284" t="s">
        <v>1881</v>
      </c>
      <c r="M284">
        <v>44</v>
      </c>
      <c r="N284" t="s">
        <v>2459</v>
      </c>
      <c r="O284" t="s">
        <v>2458</v>
      </c>
    </row>
    <row r="285" spans="1:15" x14ac:dyDescent="0.2">
      <c r="A285">
        <v>99</v>
      </c>
      <c r="B285" t="s">
        <v>2117</v>
      </c>
      <c r="C285" t="s">
        <v>1920</v>
      </c>
      <c r="D285" t="s">
        <v>56</v>
      </c>
      <c r="E285" t="s">
        <v>674</v>
      </c>
      <c r="F285">
        <v>0</v>
      </c>
      <c r="G285">
        <v>29.63</v>
      </c>
      <c r="H285" t="s">
        <v>742</v>
      </c>
      <c r="I285" t="s">
        <v>1781</v>
      </c>
      <c r="J285">
        <v>0</v>
      </c>
      <c r="K285">
        <v>0</v>
      </c>
      <c r="L285" t="s">
        <v>1881</v>
      </c>
      <c r="M285">
        <v>44</v>
      </c>
      <c r="N285" t="s">
        <v>2462</v>
      </c>
      <c r="O285" t="s">
        <v>2458</v>
      </c>
    </row>
    <row r="286" spans="1:15" x14ac:dyDescent="0.2">
      <c r="A286">
        <v>99</v>
      </c>
      <c r="B286" t="s">
        <v>2117</v>
      </c>
      <c r="C286" t="s">
        <v>1920</v>
      </c>
      <c r="D286" t="s">
        <v>498</v>
      </c>
      <c r="E286" t="s">
        <v>773</v>
      </c>
      <c r="F286">
        <v>1.2</v>
      </c>
      <c r="G286">
        <v>0</v>
      </c>
      <c r="H286" t="s">
        <v>84</v>
      </c>
      <c r="I286" t="s">
        <v>1781</v>
      </c>
      <c r="J286">
        <v>0</v>
      </c>
      <c r="K286">
        <v>0</v>
      </c>
      <c r="L286" t="s">
        <v>1881</v>
      </c>
      <c r="M286">
        <v>44</v>
      </c>
      <c r="N286" t="s">
        <v>2460</v>
      </c>
      <c r="O286" t="s">
        <v>2458</v>
      </c>
    </row>
    <row r="287" spans="1:15" x14ac:dyDescent="0.2">
      <c r="A287">
        <v>99</v>
      </c>
      <c r="B287" t="s">
        <v>2117</v>
      </c>
      <c r="C287" t="s">
        <v>1652</v>
      </c>
      <c r="D287" t="s">
        <v>1714</v>
      </c>
      <c r="E287" t="s">
        <v>1092</v>
      </c>
      <c r="F287">
        <v>1</v>
      </c>
      <c r="G287">
        <v>80</v>
      </c>
      <c r="H287" t="s">
        <v>153</v>
      </c>
      <c r="I287" t="s">
        <v>153</v>
      </c>
      <c r="J287">
        <v>80</v>
      </c>
      <c r="K287">
        <v>28160</v>
      </c>
      <c r="L287" t="s">
        <v>367</v>
      </c>
      <c r="M287">
        <v>352</v>
      </c>
      <c r="N287" t="s">
        <v>2463</v>
      </c>
      <c r="O287" t="s">
        <v>2464</v>
      </c>
    </row>
    <row r="288" spans="1:15" x14ac:dyDescent="0.2">
      <c r="A288">
        <v>99</v>
      </c>
      <c r="B288" t="s">
        <v>2117</v>
      </c>
      <c r="C288" t="s">
        <v>1653</v>
      </c>
      <c r="D288" t="s">
        <v>1720</v>
      </c>
      <c r="E288" t="s">
        <v>901</v>
      </c>
      <c r="F288">
        <v>1</v>
      </c>
      <c r="G288">
        <v>120</v>
      </c>
      <c r="H288" t="s">
        <v>153</v>
      </c>
      <c r="I288" t="s">
        <v>153</v>
      </c>
      <c r="J288">
        <v>120</v>
      </c>
      <c r="K288">
        <v>31680</v>
      </c>
      <c r="L288" t="s">
        <v>371</v>
      </c>
      <c r="M288">
        <v>264</v>
      </c>
      <c r="N288" t="s">
        <v>2465</v>
      </c>
      <c r="O288" t="s">
        <v>2466</v>
      </c>
    </row>
    <row r="289" spans="1:15" x14ac:dyDescent="0.2">
      <c r="A289">
        <v>99</v>
      </c>
      <c r="B289" t="s">
        <v>2117</v>
      </c>
      <c r="C289" t="s">
        <v>1656</v>
      </c>
      <c r="D289" t="s">
        <v>1724</v>
      </c>
      <c r="E289" t="s">
        <v>582</v>
      </c>
      <c r="F289">
        <v>1</v>
      </c>
      <c r="G289">
        <v>210</v>
      </c>
      <c r="H289" t="s">
        <v>153</v>
      </c>
      <c r="I289" t="s">
        <v>153</v>
      </c>
      <c r="J289">
        <v>210</v>
      </c>
      <c r="K289">
        <v>55440</v>
      </c>
      <c r="L289" t="s">
        <v>373</v>
      </c>
      <c r="M289">
        <v>264</v>
      </c>
      <c r="N289" t="s">
        <v>2467</v>
      </c>
      <c r="O289" t="s">
        <v>2468</v>
      </c>
    </row>
    <row r="290" spans="1:15" x14ac:dyDescent="0.2">
      <c r="A290">
        <v>99</v>
      </c>
      <c r="B290" t="s">
        <v>2117</v>
      </c>
      <c r="C290" t="s">
        <v>1657</v>
      </c>
      <c r="D290" t="s">
        <v>1728</v>
      </c>
      <c r="E290" t="s">
        <v>460</v>
      </c>
      <c r="F290">
        <v>1</v>
      </c>
      <c r="G290">
        <v>260</v>
      </c>
      <c r="H290" t="s">
        <v>153</v>
      </c>
      <c r="I290" t="s">
        <v>153</v>
      </c>
      <c r="J290">
        <v>260</v>
      </c>
      <c r="K290">
        <v>45760</v>
      </c>
      <c r="L290" t="s">
        <v>374</v>
      </c>
      <c r="M290">
        <v>176</v>
      </c>
      <c r="N290" t="s">
        <v>2469</v>
      </c>
      <c r="O290" t="s">
        <v>2470</v>
      </c>
    </row>
    <row r="291" spans="1:15" x14ac:dyDescent="0.2">
      <c r="A291">
        <v>99</v>
      </c>
      <c r="B291" t="s">
        <v>2117</v>
      </c>
      <c r="C291" t="s">
        <v>1508</v>
      </c>
      <c r="D291" t="s">
        <v>1732</v>
      </c>
      <c r="E291" t="s">
        <v>1079</v>
      </c>
      <c r="F291">
        <v>1</v>
      </c>
      <c r="G291">
        <v>235</v>
      </c>
      <c r="H291" t="s">
        <v>153</v>
      </c>
      <c r="I291" t="s">
        <v>153</v>
      </c>
      <c r="J291">
        <v>235</v>
      </c>
      <c r="K291">
        <v>111296</v>
      </c>
      <c r="L291" t="s">
        <v>377</v>
      </c>
      <c r="M291">
        <v>473.6</v>
      </c>
      <c r="N291" t="s">
        <v>2471</v>
      </c>
      <c r="O291" t="s">
        <v>34</v>
      </c>
    </row>
    <row r="292" spans="1:15" x14ac:dyDescent="0.2">
      <c r="A292">
        <v>99</v>
      </c>
      <c r="B292" t="s">
        <v>2117</v>
      </c>
      <c r="C292" t="s">
        <v>1510</v>
      </c>
      <c r="D292" t="s">
        <v>1786</v>
      </c>
      <c r="E292" t="s">
        <v>455</v>
      </c>
      <c r="F292">
        <v>1</v>
      </c>
      <c r="G292">
        <v>260</v>
      </c>
      <c r="H292" t="s">
        <v>153</v>
      </c>
      <c r="I292" t="s">
        <v>153</v>
      </c>
      <c r="J292">
        <v>260</v>
      </c>
      <c r="K292">
        <v>448188</v>
      </c>
      <c r="L292" t="s">
        <v>379</v>
      </c>
      <c r="M292">
        <v>1723.8</v>
      </c>
      <c r="N292" t="s">
        <v>2472</v>
      </c>
      <c r="O292" t="s">
        <v>861</v>
      </c>
    </row>
    <row r="293" spans="1:15" x14ac:dyDescent="0.2">
      <c r="A293">
        <v>99</v>
      </c>
      <c r="B293" t="s">
        <v>2117</v>
      </c>
      <c r="C293" t="s">
        <v>1515</v>
      </c>
      <c r="D293" t="s">
        <v>1789</v>
      </c>
      <c r="E293" t="s">
        <v>747</v>
      </c>
      <c r="F293">
        <v>1</v>
      </c>
      <c r="G293">
        <v>335</v>
      </c>
      <c r="H293" t="s">
        <v>153</v>
      </c>
      <c r="I293" t="s">
        <v>153</v>
      </c>
      <c r="J293">
        <v>335</v>
      </c>
      <c r="K293">
        <v>341673.2</v>
      </c>
      <c r="L293" t="s">
        <v>380</v>
      </c>
      <c r="M293">
        <v>1019.92</v>
      </c>
      <c r="N293" t="s">
        <v>2473</v>
      </c>
      <c r="O293" t="s">
        <v>93</v>
      </c>
    </row>
    <row r="294" spans="1:15" x14ac:dyDescent="0.2">
      <c r="A294">
        <v>99</v>
      </c>
      <c r="B294" t="s">
        <v>2117</v>
      </c>
      <c r="C294" t="s">
        <v>4845</v>
      </c>
      <c r="D294" t="s">
        <v>4846</v>
      </c>
      <c r="E294" t="s">
        <v>4847</v>
      </c>
      <c r="F294">
        <v>1</v>
      </c>
      <c r="G294">
        <v>50000</v>
      </c>
      <c r="H294" t="s">
        <v>1819</v>
      </c>
      <c r="I294" t="s">
        <v>1819</v>
      </c>
      <c r="J294">
        <v>50000</v>
      </c>
      <c r="K294">
        <v>50000</v>
      </c>
      <c r="L294" t="s">
        <v>4848</v>
      </c>
      <c r="M294">
        <v>1</v>
      </c>
      <c r="N294" t="s">
        <v>4849</v>
      </c>
      <c r="O294" t="s">
        <v>4850</v>
      </c>
    </row>
    <row r="295" spans="1:15" x14ac:dyDescent="0.2">
      <c r="A295">
        <v>99</v>
      </c>
      <c r="B295" t="s">
        <v>2117</v>
      </c>
      <c r="C295" t="s">
        <v>4845</v>
      </c>
      <c r="D295" t="s">
        <v>4851</v>
      </c>
      <c r="E295" t="s">
        <v>4852</v>
      </c>
      <c r="F295">
        <v>3</v>
      </c>
      <c r="G295">
        <v>8500</v>
      </c>
      <c r="H295" t="s">
        <v>1819</v>
      </c>
      <c r="I295" t="s">
        <v>1819</v>
      </c>
      <c r="J295">
        <v>25500</v>
      </c>
      <c r="K295">
        <v>25500</v>
      </c>
      <c r="L295" t="s">
        <v>4848</v>
      </c>
      <c r="M295">
        <v>1</v>
      </c>
      <c r="N295" t="s">
        <v>4853</v>
      </c>
      <c r="O295" t="s">
        <v>4850</v>
      </c>
    </row>
    <row r="296" spans="1:15" x14ac:dyDescent="0.2">
      <c r="A296">
        <v>99</v>
      </c>
      <c r="B296" t="s">
        <v>2117</v>
      </c>
      <c r="C296" t="s">
        <v>4845</v>
      </c>
      <c r="D296" t="s">
        <v>4854</v>
      </c>
      <c r="E296" t="s">
        <v>4855</v>
      </c>
      <c r="F296">
        <v>1</v>
      </c>
      <c r="G296">
        <v>23500</v>
      </c>
      <c r="H296" t="s">
        <v>1819</v>
      </c>
      <c r="I296" t="s">
        <v>1819</v>
      </c>
      <c r="J296">
        <v>23500</v>
      </c>
      <c r="K296">
        <v>23500</v>
      </c>
      <c r="L296" t="s">
        <v>4848</v>
      </c>
      <c r="M296">
        <v>1</v>
      </c>
      <c r="N296" t="s">
        <v>4856</v>
      </c>
      <c r="O296" t="s">
        <v>4850</v>
      </c>
    </row>
    <row r="297" spans="1:15" x14ac:dyDescent="0.2">
      <c r="A297">
        <v>99</v>
      </c>
      <c r="B297" t="s">
        <v>2117</v>
      </c>
      <c r="C297" t="s">
        <v>1254</v>
      </c>
      <c r="D297" t="s">
        <v>1580</v>
      </c>
      <c r="E297" t="s">
        <v>2477</v>
      </c>
      <c r="F297">
        <v>1</v>
      </c>
      <c r="G297">
        <v>45.51</v>
      </c>
      <c r="H297" t="s">
        <v>1153</v>
      </c>
      <c r="I297" t="s">
        <v>1153</v>
      </c>
      <c r="J297">
        <v>45.51</v>
      </c>
      <c r="K297">
        <v>66182.917499999996</v>
      </c>
      <c r="L297" t="s">
        <v>251</v>
      </c>
      <c r="M297">
        <v>1454.25</v>
      </c>
      <c r="N297" t="s">
        <v>2478</v>
      </c>
      <c r="O297" t="s">
        <v>2475</v>
      </c>
    </row>
    <row r="298" spans="1:15" x14ac:dyDescent="0.2">
      <c r="A298">
        <v>99</v>
      </c>
      <c r="B298" t="s">
        <v>2117</v>
      </c>
      <c r="C298" t="s">
        <v>1254</v>
      </c>
      <c r="D298" t="s">
        <v>801</v>
      </c>
      <c r="E298" t="s">
        <v>402</v>
      </c>
      <c r="F298">
        <v>0</v>
      </c>
      <c r="G298">
        <v>10.3</v>
      </c>
      <c r="H298" t="s">
        <v>151</v>
      </c>
      <c r="I298" t="s">
        <v>1153</v>
      </c>
      <c r="J298">
        <v>0</v>
      </c>
      <c r="K298">
        <v>0</v>
      </c>
      <c r="L298" t="s">
        <v>251</v>
      </c>
      <c r="M298">
        <v>1454.25</v>
      </c>
      <c r="N298" t="s">
        <v>2476</v>
      </c>
      <c r="O298" t="s">
        <v>2475</v>
      </c>
    </row>
    <row r="299" spans="1:15" x14ac:dyDescent="0.2">
      <c r="A299">
        <v>99</v>
      </c>
      <c r="B299" t="s">
        <v>2117</v>
      </c>
      <c r="C299" t="s">
        <v>1254</v>
      </c>
      <c r="D299" t="s">
        <v>244</v>
      </c>
      <c r="E299" t="s">
        <v>1940</v>
      </c>
      <c r="F299">
        <v>0</v>
      </c>
      <c r="G299">
        <v>62.61</v>
      </c>
      <c r="H299" t="s">
        <v>742</v>
      </c>
      <c r="I299" t="s">
        <v>1153</v>
      </c>
      <c r="J299">
        <v>0</v>
      </c>
      <c r="K299">
        <v>0</v>
      </c>
      <c r="L299" t="s">
        <v>251</v>
      </c>
      <c r="M299">
        <v>1454.25</v>
      </c>
      <c r="N299" t="s">
        <v>2481</v>
      </c>
      <c r="O299" t="s">
        <v>2475</v>
      </c>
    </row>
    <row r="300" spans="1:15" x14ac:dyDescent="0.2">
      <c r="A300">
        <v>99</v>
      </c>
      <c r="B300" t="s">
        <v>2117</v>
      </c>
      <c r="C300" t="s">
        <v>1254</v>
      </c>
      <c r="D300" t="s">
        <v>1009</v>
      </c>
      <c r="E300" t="s">
        <v>672</v>
      </c>
      <c r="F300">
        <v>0</v>
      </c>
      <c r="G300">
        <v>16.489999999999998</v>
      </c>
      <c r="H300" t="s">
        <v>151</v>
      </c>
      <c r="I300" t="s">
        <v>1153</v>
      </c>
      <c r="J300">
        <v>0</v>
      </c>
      <c r="K300">
        <v>0</v>
      </c>
      <c r="L300" t="s">
        <v>251</v>
      </c>
      <c r="M300">
        <v>1454.25</v>
      </c>
      <c r="N300" t="s">
        <v>2474</v>
      </c>
      <c r="O300" t="s">
        <v>2475</v>
      </c>
    </row>
    <row r="301" spans="1:15" x14ac:dyDescent="0.2">
      <c r="A301">
        <v>99</v>
      </c>
      <c r="B301" t="s">
        <v>2117</v>
      </c>
      <c r="C301" t="s">
        <v>1254</v>
      </c>
      <c r="D301" t="s">
        <v>242</v>
      </c>
      <c r="E301" t="s">
        <v>1949</v>
      </c>
      <c r="F301">
        <v>0</v>
      </c>
      <c r="G301">
        <v>114.16</v>
      </c>
      <c r="H301" t="s">
        <v>764</v>
      </c>
      <c r="I301" t="s">
        <v>1153</v>
      </c>
      <c r="J301">
        <v>0</v>
      </c>
      <c r="K301">
        <v>0</v>
      </c>
      <c r="L301" t="s">
        <v>251</v>
      </c>
      <c r="M301">
        <v>1454.25</v>
      </c>
      <c r="N301" t="s">
        <v>2480</v>
      </c>
      <c r="O301" t="s">
        <v>2475</v>
      </c>
    </row>
    <row r="302" spans="1:15" x14ac:dyDescent="0.2">
      <c r="A302">
        <v>99</v>
      </c>
      <c r="B302" t="s">
        <v>2117</v>
      </c>
      <c r="C302" t="s">
        <v>1254</v>
      </c>
      <c r="D302" t="s">
        <v>498</v>
      </c>
      <c r="E302" t="s">
        <v>773</v>
      </c>
      <c r="F302">
        <v>1.2</v>
      </c>
      <c r="G302">
        <v>0</v>
      </c>
      <c r="H302" t="s">
        <v>84</v>
      </c>
      <c r="I302" t="s">
        <v>1153</v>
      </c>
      <c r="J302">
        <v>0</v>
      </c>
      <c r="K302">
        <v>0</v>
      </c>
      <c r="L302" t="s">
        <v>251</v>
      </c>
      <c r="M302">
        <v>1454.25</v>
      </c>
      <c r="N302" t="s">
        <v>2479</v>
      </c>
      <c r="O302" t="s">
        <v>2475</v>
      </c>
    </row>
    <row r="303" spans="1:15" x14ac:dyDescent="0.2">
      <c r="A303">
        <v>99</v>
      </c>
      <c r="B303" t="s">
        <v>2117</v>
      </c>
      <c r="C303" t="s">
        <v>1257</v>
      </c>
      <c r="D303" t="s">
        <v>498</v>
      </c>
      <c r="E303" t="s">
        <v>773</v>
      </c>
      <c r="F303">
        <v>1.2</v>
      </c>
      <c r="G303">
        <v>0</v>
      </c>
      <c r="H303" t="s">
        <v>84</v>
      </c>
      <c r="I303" t="s">
        <v>1153</v>
      </c>
      <c r="J303">
        <v>0</v>
      </c>
      <c r="K303">
        <v>0</v>
      </c>
      <c r="L303" t="s">
        <v>254</v>
      </c>
      <c r="M303">
        <v>1249.8699999999999</v>
      </c>
      <c r="N303" t="s">
        <v>2485</v>
      </c>
      <c r="O303" t="s">
        <v>1493</v>
      </c>
    </row>
    <row r="304" spans="1:15" x14ac:dyDescent="0.2">
      <c r="A304">
        <v>99</v>
      </c>
      <c r="B304" t="s">
        <v>2117</v>
      </c>
      <c r="C304" t="s">
        <v>1257</v>
      </c>
      <c r="D304" t="s">
        <v>61</v>
      </c>
      <c r="E304" t="s">
        <v>2490</v>
      </c>
      <c r="F304">
        <v>0</v>
      </c>
      <c r="G304">
        <v>36.880000000000003</v>
      </c>
      <c r="H304" t="s">
        <v>764</v>
      </c>
      <c r="I304" t="s">
        <v>1153</v>
      </c>
      <c r="J304">
        <v>0</v>
      </c>
      <c r="K304">
        <v>0</v>
      </c>
      <c r="L304" t="s">
        <v>254</v>
      </c>
      <c r="M304">
        <v>1249.8699999999999</v>
      </c>
      <c r="N304" t="s">
        <v>2491</v>
      </c>
      <c r="O304" t="s">
        <v>1493</v>
      </c>
    </row>
    <row r="305" spans="1:15" x14ac:dyDescent="0.2">
      <c r="A305">
        <v>99</v>
      </c>
      <c r="B305" t="s">
        <v>2117</v>
      </c>
      <c r="C305" t="s">
        <v>1257</v>
      </c>
      <c r="D305" t="s">
        <v>801</v>
      </c>
      <c r="E305" t="s">
        <v>402</v>
      </c>
      <c r="F305">
        <v>0</v>
      </c>
      <c r="G305">
        <v>10.3</v>
      </c>
      <c r="H305" t="s">
        <v>151</v>
      </c>
      <c r="I305" t="s">
        <v>1153</v>
      </c>
      <c r="J305">
        <v>0</v>
      </c>
      <c r="K305">
        <v>0</v>
      </c>
      <c r="L305" t="s">
        <v>254</v>
      </c>
      <c r="M305">
        <v>1249.8699999999999</v>
      </c>
      <c r="N305" t="s">
        <v>2482</v>
      </c>
      <c r="O305" t="s">
        <v>1493</v>
      </c>
    </row>
    <row r="306" spans="1:15" x14ac:dyDescent="0.2">
      <c r="A306">
        <v>99</v>
      </c>
      <c r="B306" t="s">
        <v>2117</v>
      </c>
      <c r="C306" t="s">
        <v>1257</v>
      </c>
      <c r="D306" t="s">
        <v>239</v>
      </c>
      <c r="E306" t="s">
        <v>2378</v>
      </c>
      <c r="F306">
        <v>0</v>
      </c>
      <c r="G306">
        <v>65.73</v>
      </c>
      <c r="H306" t="s">
        <v>742</v>
      </c>
      <c r="I306" t="s">
        <v>1153</v>
      </c>
      <c r="J306">
        <v>0</v>
      </c>
      <c r="K306">
        <v>0</v>
      </c>
      <c r="L306" t="s">
        <v>254</v>
      </c>
      <c r="M306">
        <v>1249.8699999999999</v>
      </c>
      <c r="N306" t="s">
        <v>2489</v>
      </c>
      <c r="O306" t="s">
        <v>1493</v>
      </c>
    </row>
    <row r="307" spans="1:15" x14ac:dyDescent="0.2">
      <c r="A307">
        <v>99</v>
      </c>
      <c r="B307" t="s">
        <v>2117</v>
      </c>
      <c r="C307" t="s">
        <v>1257</v>
      </c>
      <c r="D307" t="s">
        <v>235</v>
      </c>
      <c r="E307" t="s">
        <v>413</v>
      </c>
      <c r="F307">
        <v>0</v>
      </c>
      <c r="G307">
        <v>72.41</v>
      </c>
      <c r="H307" t="s">
        <v>742</v>
      </c>
      <c r="I307" t="s">
        <v>1153</v>
      </c>
      <c r="J307">
        <v>0</v>
      </c>
      <c r="K307">
        <v>0</v>
      </c>
      <c r="L307" t="s">
        <v>254</v>
      </c>
      <c r="M307">
        <v>1249.8699999999999</v>
      </c>
      <c r="N307" t="s">
        <v>2487</v>
      </c>
      <c r="O307" t="s">
        <v>1493</v>
      </c>
    </row>
    <row r="308" spans="1:15" x14ac:dyDescent="0.2">
      <c r="A308">
        <v>99</v>
      </c>
      <c r="B308" t="s">
        <v>2117</v>
      </c>
      <c r="C308" t="s">
        <v>1257</v>
      </c>
      <c r="D308" t="s">
        <v>233</v>
      </c>
      <c r="E308" t="s">
        <v>420</v>
      </c>
      <c r="F308">
        <v>0</v>
      </c>
      <c r="G308">
        <v>327.60000000000002</v>
      </c>
      <c r="H308" t="s">
        <v>764</v>
      </c>
      <c r="I308" t="s">
        <v>1153</v>
      </c>
      <c r="J308">
        <v>0</v>
      </c>
      <c r="K308">
        <v>0</v>
      </c>
      <c r="L308" t="s">
        <v>254</v>
      </c>
      <c r="M308">
        <v>1249.8699999999999</v>
      </c>
      <c r="N308" t="s">
        <v>2486</v>
      </c>
      <c r="O308" t="s">
        <v>1493</v>
      </c>
    </row>
    <row r="309" spans="1:15" x14ac:dyDescent="0.2">
      <c r="A309">
        <v>99</v>
      </c>
      <c r="B309" t="s">
        <v>2117</v>
      </c>
      <c r="C309" t="s">
        <v>1257</v>
      </c>
      <c r="D309" t="s">
        <v>1584</v>
      </c>
      <c r="E309" t="s">
        <v>2483</v>
      </c>
      <c r="F309">
        <v>1</v>
      </c>
      <c r="G309">
        <v>60</v>
      </c>
      <c r="H309" t="s">
        <v>1153</v>
      </c>
      <c r="I309" t="s">
        <v>1153</v>
      </c>
      <c r="J309">
        <v>60</v>
      </c>
      <c r="K309">
        <v>74992.2</v>
      </c>
      <c r="L309" t="s">
        <v>254</v>
      </c>
      <c r="M309">
        <v>1249.8699999999999</v>
      </c>
      <c r="N309" t="s">
        <v>2484</v>
      </c>
      <c r="O309" t="s">
        <v>1493</v>
      </c>
    </row>
    <row r="310" spans="1:15" x14ac:dyDescent="0.2">
      <c r="A310">
        <v>99</v>
      </c>
      <c r="B310" t="s">
        <v>2117</v>
      </c>
      <c r="C310" t="s">
        <v>1257</v>
      </c>
      <c r="D310" t="s">
        <v>238</v>
      </c>
      <c r="E310" t="s">
        <v>2376</v>
      </c>
      <c r="F310">
        <v>0</v>
      </c>
      <c r="G310">
        <v>138.31</v>
      </c>
      <c r="H310" t="s">
        <v>764</v>
      </c>
      <c r="I310" t="s">
        <v>1153</v>
      </c>
      <c r="J310">
        <v>0</v>
      </c>
      <c r="K310">
        <v>0</v>
      </c>
      <c r="L310" t="s">
        <v>254</v>
      </c>
      <c r="M310">
        <v>1249.8699999999999</v>
      </c>
      <c r="N310" t="s">
        <v>2488</v>
      </c>
      <c r="O310" t="s">
        <v>1493</v>
      </c>
    </row>
    <row r="311" spans="1:15" x14ac:dyDescent="0.2">
      <c r="A311">
        <v>99</v>
      </c>
      <c r="B311" t="s">
        <v>2117</v>
      </c>
      <c r="C311" t="s">
        <v>1261</v>
      </c>
      <c r="D311" t="s">
        <v>683</v>
      </c>
      <c r="E311" t="s">
        <v>410</v>
      </c>
      <c r="F311">
        <v>1.1499999999999999</v>
      </c>
      <c r="G311">
        <v>511</v>
      </c>
      <c r="H311" t="s">
        <v>1153</v>
      </c>
      <c r="I311" t="s">
        <v>1153</v>
      </c>
      <c r="J311">
        <v>587.65</v>
      </c>
      <c r="K311">
        <v>266963.51850000001</v>
      </c>
      <c r="L311" t="s">
        <v>7</v>
      </c>
      <c r="M311">
        <v>454.29</v>
      </c>
      <c r="N311" t="s">
        <v>2495</v>
      </c>
      <c r="O311" t="s">
        <v>2493</v>
      </c>
    </row>
    <row r="312" spans="1:15" x14ac:dyDescent="0.2">
      <c r="A312">
        <v>99</v>
      </c>
      <c r="B312" t="s">
        <v>2117</v>
      </c>
      <c r="C312" t="s">
        <v>1261</v>
      </c>
      <c r="D312" t="s">
        <v>1969</v>
      </c>
      <c r="E312" t="s">
        <v>2502</v>
      </c>
      <c r="F312">
        <v>0</v>
      </c>
      <c r="G312">
        <v>0.53</v>
      </c>
      <c r="H312" t="s">
        <v>742</v>
      </c>
      <c r="I312" t="s">
        <v>1153</v>
      </c>
      <c r="J312">
        <v>0</v>
      </c>
      <c r="K312">
        <v>0</v>
      </c>
      <c r="L312" t="s">
        <v>7</v>
      </c>
      <c r="M312">
        <v>454.29</v>
      </c>
      <c r="N312" t="s">
        <v>2503</v>
      </c>
      <c r="O312" t="s">
        <v>2493</v>
      </c>
    </row>
    <row r="313" spans="1:15" x14ac:dyDescent="0.2">
      <c r="A313">
        <v>99</v>
      </c>
      <c r="B313" t="s">
        <v>2117</v>
      </c>
      <c r="C313" t="s">
        <v>1261</v>
      </c>
      <c r="D313" t="s">
        <v>801</v>
      </c>
      <c r="E313" t="s">
        <v>402</v>
      </c>
      <c r="F313">
        <v>0</v>
      </c>
      <c r="G313">
        <v>10.3</v>
      </c>
      <c r="H313" t="s">
        <v>151</v>
      </c>
      <c r="I313" t="s">
        <v>1153</v>
      </c>
      <c r="J313">
        <v>0</v>
      </c>
      <c r="K313">
        <v>0</v>
      </c>
      <c r="L313" t="s">
        <v>7</v>
      </c>
      <c r="M313">
        <v>454.29</v>
      </c>
      <c r="N313" t="s">
        <v>2497</v>
      </c>
      <c r="O313" t="s">
        <v>2493</v>
      </c>
    </row>
    <row r="314" spans="1:15" x14ac:dyDescent="0.2">
      <c r="A314">
        <v>99</v>
      </c>
      <c r="B314" t="s">
        <v>2117</v>
      </c>
      <c r="C314" t="s">
        <v>1261</v>
      </c>
      <c r="D314" t="s">
        <v>1575</v>
      </c>
      <c r="E314" t="s">
        <v>2428</v>
      </c>
      <c r="F314">
        <v>1</v>
      </c>
      <c r="G314">
        <v>96.42</v>
      </c>
      <c r="H314" t="s">
        <v>1153</v>
      </c>
      <c r="I314" t="s">
        <v>1153</v>
      </c>
      <c r="J314">
        <v>96.42</v>
      </c>
      <c r="K314">
        <v>43802.641799999998</v>
      </c>
      <c r="L314" t="s">
        <v>7</v>
      </c>
      <c r="M314">
        <v>454.29</v>
      </c>
      <c r="N314" t="s">
        <v>2498</v>
      </c>
      <c r="O314" t="s">
        <v>2493</v>
      </c>
    </row>
    <row r="315" spans="1:15" x14ac:dyDescent="0.2">
      <c r="A315">
        <v>99</v>
      </c>
      <c r="B315" t="s">
        <v>2117</v>
      </c>
      <c r="C315" t="s">
        <v>1261</v>
      </c>
      <c r="D315" t="s">
        <v>814</v>
      </c>
      <c r="E315" t="s">
        <v>1959</v>
      </c>
      <c r="F315">
        <v>1.0349999999999999</v>
      </c>
      <c r="G315">
        <v>55</v>
      </c>
      <c r="H315" t="s">
        <v>1153</v>
      </c>
      <c r="I315" t="s">
        <v>1153</v>
      </c>
      <c r="J315">
        <v>56.924999999999997</v>
      </c>
      <c r="K315">
        <v>25860.45825</v>
      </c>
      <c r="L315" t="s">
        <v>7</v>
      </c>
      <c r="M315">
        <v>454.29</v>
      </c>
      <c r="N315" t="s">
        <v>2492</v>
      </c>
      <c r="O315" t="s">
        <v>2493</v>
      </c>
    </row>
    <row r="316" spans="1:15" x14ac:dyDescent="0.2">
      <c r="A316">
        <v>99</v>
      </c>
      <c r="B316" t="s">
        <v>2117</v>
      </c>
      <c r="C316" t="s">
        <v>1261</v>
      </c>
      <c r="D316" t="s">
        <v>498</v>
      </c>
      <c r="E316" t="s">
        <v>773</v>
      </c>
      <c r="F316">
        <v>1.2</v>
      </c>
      <c r="G316">
        <v>0</v>
      </c>
      <c r="H316" t="s">
        <v>84</v>
      </c>
      <c r="I316" t="s">
        <v>1153</v>
      </c>
      <c r="J316">
        <v>0</v>
      </c>
      <c r="K316">
        <v>0</v>
      </c>
      <c r="L316" t="s">
        <v>7</v>
      </c>
      <c r="M316">
        <v>454.29</v>
      </c>
      <c r="N316" t="s">
        <v>2499</v>
      </c>
      <c r="O316" t="s">
        <v>2493</v>
      </c>
    </row>
    <row r="317" spans="1:15" x14ac:dyDescent="0.2">
      <c r="A317">
        <v>99</v>
      </c>
      <c r="B317" t="s">
        <v>2117</v>
      </c>
      <c r="C317" t="s">
        <v>1261</v>
      </c>
      <c r="D317" t="s">
        <v>1968</v>
      </c>
      <c r="E317" t="s">
        <v>2500</v>
      </c>
      <c r="F317">
        <v>0</v>
      </c>
      <c r="G317">
        <v>1.39</v>
      </c>
      <c r="H317" t="s">
        <v>764</v>
      </c>
      <c r="I317" t="s">
        <v>1153</v>
      </c>
      <c r="J317">
        <v>0</v>
      </c>
      <c r="K317">
        <v>0</v>
      </c>
      <c r="L317" t="s">
        <v>7</v>
      </c>
      <c r="M317">
        <v>454.29</v>
      </c>
      <c r="N317" t="s">
        <v>2501</v>
      </c>
      <c r="O317" t="s">
        <v>2493</v>
      </c>
    </row>
    <row r="318" spans="1:15" x14ac:dyDescent="0.2">
      <c r="A318">
        <v>99</v>
      </c>
      <c r="B318" t="s">
        <v>2117</v>
      </c>
      <c r="C318" t="s">
        <v>1261</v>
      </c>
      <c r="D318" t="s">
        <v>1009</v>
      </c>
      <c r="E318" t="s">
        <v>672</v>
      </c>
      <c r="F318">
        <v>0</v>
      </c>
      <c r="G318">
        <v>16.489999999999998</v>
      </c>
      <c r="H318" t="s">
        <v>151</v>
      </c>
      <c r="I318" t="s">
        <v>1153</v>
      </c>
      <c r="J318">
        <v>0</v>
      </c>
      <c r="K318">
        <v>0</v>
      </c>
      <c r="L318" t="s">
        <v>7</v>
      </c>
      <c r="M318">
        <v>454.29</v>
      </c>
      <c r="N318" t="s">
        <v>2496</v>
      </c>
      <c r="O318" t="s">
        <v>2493</v>
      </c>
    </row>
    <row r="319" spans="1:15" x14ac:dyDescent="0.2">
      <c r="A319">
        <v>99</v>
      </c>
      <c r="B319" t="s">
        <v>2117</v>
      </c>
      <c r="C319" t="s">
        <v>1261</v>
      </c>
      <c r="D319" t="s">
        <v>818</v>
      </c>
      <c r="E319" t="s">
        <v>2424</v>
      </c>
      <c r="F319">
        <v>0.115</v>
      </c>
      <c r="G319">
        <v>100</v>
      </c>
      <c r="H319" t="s">
        <v>1153</v>
      </c>
      <c r="I319" t="s">
        <v>1153</v>
      </c>
      <c r="J319">
        <v>11.5</v>
      </c>
      <c r="K319">
        <v>5224.335</v>
      </c>
      <c r="L319" t="s">
        <v>7</v>
      </c>
      <c r="M319">
        <v>454.29</v>
      </c>
      <c r="N319" t="s">
        <v>2494</v>
      </c>
      <c r="O319" t="s">
        <v>2493</v>
      </c>
    </row>
    <row r="320" spans="1:15" x14ac:dyDescent="0.2">
      <c r="A320">
        <v>99</v>
      </c>
      <c r="B320" t="s">
        <v>2117</v>
      </c>
      <c r="C320" t="s">
        <v>1266</v>
      </c>
      <c r="D320" t="s">
        <v>792</v>
      </c>
      <c r="E320" t="s">
        <v>335</v>
      </c>
      <c r="F320">
        <v>0</v>
      </c>
      <c r="G320">
        <v>11.1343</v>
      </c>
      <c r="H320" t="s">
        <v>151</v>
      </c>
      <c r="I320" t="s">
        <v>1052</v>
      </c>
      <c r="J320">
        <v>0</v>
      </c>
      <c r="K320">
        <v>0</v>
      </c>
      <c r="L320" t="s">
        <v>143</v>
      </c>
      <c r="M320">
        <v>31.82</v>
      </c>
      <c r="N320" t="s">
        <v>2511</v>
      </c>
      <c r="O320" t="s">
        <v>2506</v>
      </c>
    </row>
    <row r="321" spans="1:15" x14ac:dyDescent="0.2">
      <c r="A321">
        <v>99</v>
      </c>
      <c r="B321" t="s">
        <v>2117</v>
      </c>
      <c r="C321" t="s">
        <v>1266</v>
      </c>
      <c r="D321" t="s">
        <v>498</v>
      </c>
      <c r="E321" t="s">
        <v>773</v>
      </c>
      <c r="F321">
        <v>1.2</v>
      </c>
      <c r="G321">
        <v>0</v>
      </c>
      <c r="H321" t="s">
        <v>84</v>
      </c>
      <c r="I321" t="s">
        <v>1052</v>
      </c>
      <c r="J321">
        <v>0</v>
      </c>
      <c r="K321">
        <v>0</v>
      </c>
      <c r="L321" t="s">
        <v>143</v>
      </c>
      <c r="M321">
        <v>31.82</v>
      </c>
      <c r="N321" t="s">
        <v>2507</v>
      </c>
      <c r="O321" t="s">
        <v>2506</v>
      </c>
    </row>
    <row r="322" spans="1:15" x14ac:dyDescent="0.2">
      <c r="A322">
        <v>99</v>
      </c>
      <c r="B322" t="s">
        <v>2117</v>
      </c>
      <c r="C322" t="s">
        <v>1266</v>
      </c>
      <c r="D322" t="s">
        <v>1547</v>
      </c>
      <c r="E322" t="s">
        <v>1483</v>
      </c>
      <c r="F322">
        <v>1</v>
      </c>
      <c r="G322">
        <v>0.87</v>
      </c>
      <c r="H322" t="s">
        <v>1052</v>
      </c>
      <c r="I322" t="s">
        <v>1052</v>
      </c>
      <c r="J322">
        <v>0.87</v>
      </c>
      <c r="K322">
        <v>27.683399999999999</v>
      </c>
      <c r="L322" t="s">
        <v>143</v>
      </c>
      <c r="M322">
        <v>31.82</v>
      </c>
      <c r="N322" t="s">
        <v>2512</v>
      </c>
      <c r="O322" t="s">
        <v>2506</v>
      </c>
    </row>
    <row r="323" spans="1:15" x14ac:dyDescent="0.2">
      <c r="A323">
        <v>99</v>
      </c>
      <c r="B323" t="s">
        <v>2117</v>
      </c>
      <c r="C323" t="s">
        <v>1266</v>
      </c>
      <c r="D323" t="s">
        <v>102</v>
      </c>
      <c r="E323" t="s">
        <v>759</v>
      </c>
      <c r="F323">
        <v>1.0049999999999999</v>
      </c>
      <c r="G323">
        <v>5.5869</v>
      </c>
      <c r="H323" t="s">
        <v>1052</v>
      </c>
      <c r="I323" t="s">
        <v>1052</v>
      </c>
      <c r="J323">
        <v>5.6148344999999997</v>
      </c>
      <c r="K323">
        <v>178.66403399999999</v>
      </c>
      <c r="L323" t="s">
        <v>143</v>
      </c>
      <c r="M323">
        <v>31.82</v>
      </c>
      <c r="N323" t="s">
        <v>2505</v>
      </c>
      <c r="O323" t="s">
        <v>2506</v>
      </c>
    </row>
    <row r="324" spans="1:15" x14ac:dyDescent="0.2">
      <c r="A324">
        <v>99</v>
      </c>
      <c r="B324" t="s">
        <v>2117</v>
      </c>
      <c r="C324" t="s">
        <v>1266</v>
      </c>
      <c r="D324" t="s">
        <v>1561</v>
      </c>
      <c r="E324" t="s">
        <v>1939</v>
      </c>
      <c r="F324">
        <v>2.5000000000000001E-2</v>
      </c>
      <c r="G324">
        <v>9.8886000000000003</v>
      </c>
      <c r="H324" t="s">
        <v>1052</v>
      </c>
      <c r="I324" t="s">
        <v>1052</v>
      </c>
      <c r="J324">
        <v>0.24721499999999999</v>
      </c>
      <c r="K324">
        <v>7.8663809999999996</v>
      </c>
      <c r="L324" t="s">
        <v>143</v>
      </c>
      <c r="M324">
        <v>31.82</v>
      </c>
      <c r="N324" t="s">
        <v>2508</v>
      </c>
      <c r="O324" t="s">
        <v>2506</v>
      </c>
    </row>
    <row r="325" spans="1:15" x14ac:dyDescent="0.2">
      <c r="A325">
        <v>99</v>
      </c>
      <c r="B325" t="s">
        <v>2117</v>
      </c>
      <c r="C325" t="s">
        <v>1266</v>
      </c>
      <c r="D325" t="s">
        <v>1371</v>
      </c>
      <c r="E325" t="s">
        <v>2406</v>
      </c>
      <c r="F325">
        <v>1.19</v>
      </c>
      <c r="G325">
        <v>0.22</v>
      </c>
      <c r="H325" t="s">
        <v>1781</v>
      </c>
      <c r="I325" t="s">
        <v>1052</v>
      </c>
      <c r="J325">
        <v>0.26179999999999998</v>
      </c>
      <c r="K325">
        <v>8.3304760000000009</v>
      </c>
      <c r="L325" t="s">
        <v>143</v>
      </c>
      <c r="M325">
        <v>31.82</v>
      </c>
      <c r="N325" t="s">
        <v>2509</v>
      </c>
      <c r="O325" t="s">
        <v>2506</v>
      </c>
    </row>
    <row r="326" spans="1:15" x14ac:dyDescent="0.2">
      <c r="A326">
        <v>99</v>
      </c>
      <c r="B326" t="s">
        <v>2117</v>
      </c>
      <c r="C326" t="s">
        <v>1266</v>
      </c>
      <c r="D326" t="s">
        <v>1555</v>
      </c>
      <c r="E326" t="s">
        <v>177</v>
      </c>
      <c r="F326">
        <v>1</v>
      </c>
      <c r="G326">
        <v>3.51</v>
      </c>
      <c r="H326" t="s">
        <v>1052</v>
      </c>
      <c r="I326" t="s">
        <v>1052</v>
      </c>
      <c r="J326">
        <v>3.51</v>
      </c>
      <c r="K326">
        <v>111.68819999999999</v>
      </c>
      <c r="L326" t="s">
        <v>143</v>
      </c>
      <c r="M326">
        <v>31.82</v>
      </c>
      <c r="N326" t="s">
        <v>2513</v>
      </c>
      <c r="O326" t="s">
        <v>2506</v>
      </c>
    </row>
    <row r="327" spans="1:15" x14ac:dyDescent="0.2">
      <c r="A327">
        <v>99</v>
      </c>
      <c r="B327" t="s">
        <v>2117</v>
      </c>
      <c r="C327" t="s">
        <v>1266</v>
      </c>
      <c r="D327" t="s">
        <v>935</v>
      </c>
      <c r="E327" t="s">
        <v>1352</v>
      </c>
      <c r="F327">
        <v>0</v>
      </c>
      <c r="G327">
        <v>15.1457</v>
      </c>
      <c r="H327" t="s">
        <v>151</v>
      </c>
      <c r="I327" t="s">
        <v>1052</v>
      </c>
      <c r="J327">
        <v>0</v>
      </c>
      <c r="K327">
        <v>0</v>
      </c>
      <c r="L327" t="s">
        <v>143</v>
      </c>
      <c r="M327">
        <v>31.82</v>
      </c>
      <c r="N327" t="s">
        <v>2510</v>
      </c>
      <c r="O327" t="s">
        <v>2506</v>
      </c>
    </row>
    <row r="328" spans="1:15" x14ac:dyDescent="0.2">
      <c r="A328">
        <v>99</v>
      </c>
      <c r="B328" t="s">
        <v>2117</v>
      </c>
      <c r="C328" t="s">
        <v>1270</v>
      </c>
      <c r="D328" t="s">
        <v>935</v>
      </c>
      <c r="E328" t="s">
        <v>1352</v>
      </c>
      <c r="F328">
        <v>0</v>
      </c>
      <c r="G328">
        <v>15.1457</v>
      </c>
      <c r="H328" t="s">
        <v>151</v>
      </c>
      <c r="I328" t="s">
        <v>1052</v>
      </c>
      <c r="J328">
        <v>0</v>
      </c>
      <c r="K328">
        <v>0</v>
      </c>
      <c r="L328" t="s">
        <v>145</v>
      </c>
      <c r="M328">
        <v>7359.1</v>
      </c>
      <c r="N328" t="s">
        <v>2518</v>
      </c>
      <c r="O328" t="s">
        <v>2515</v>
      </c>
    </row>
    <row r="329" spans="1:15" x14ac:dyDescent="0.2">
      <c r="A329">
        <v>99</v>
      </c>
      <c r="B329" t="s">
        <v>2117</v>
      </c>
      <c r="C329" t="s">
        <v>1270</v>
      </c>
      <c r="D329" t="s">
        <v>1555</v>
      </c>
      <c r="E329" t="s">
        <v>177</v>
      </c>
      <c r="F329">
        <v>1</v>
      </c>
      <c r="G329">
        <v>3.51</v>
      </c>
      <c r="H329" t="s">
        <v>1052</v>
      </c>
      <c r="I329" t="s">
        <v>1052</v>
      </c>
      <c r="J329">
        <v>3.51</v>
      </c>
      <c r="K329">
        <v>25830.440999999999</v>
      </c>
      <c r="L329" t="s">
        <v>145</v>
      </c>
      <c r="M329">
        <v>7359.1</v>
      </c>
      <c r="N329" t="s">
        <v>2521</v>
      </c>
      <c r="O329" t="s">
        <v>2515</v>
      </c>
    </row>
    <row r="330" spans="1:15" x14ac:dyDescent="0.2">
      <c r="A330">
        <v>99</v>
      </c>
      <c r="B330" t="s">
        <v>2117</v>
      </c>
      <c r="C330" t="s">
        <v>1270</v>
      </c>
      <c r="D330" t="s">
        <v>1371</v>
      </c>
      <c r="E330" t="s">
        <v>2406</v>
      </c>
      <c r="F330">
        <v>0.30599999999999999</v>
      </c>
      <c r="G330">
        <v>0.22</v>
      </c>
      <c r="H330" t="s">
        <v>1781</v>
      </c>
      <c r="I330" t="s">
        <v>1052</v>
      </c>
      <c r="J330">
        <v>6.7320000000000005E-2</v>
      </c>
      <c r="K330">
        <v>495.41461199999998</v>
      </c>
      <c r="L330" t="s">
        <v>145</v>
      </c>
      <c r="M330">
        <v>7359.1</v>
      </c>
      <c r="N330" t="s">
        <v>2517</v>
      </c>
      <c r="O330" t="s">
        <v>2515</v>
      </c>
    </row>
    <row r="331" spans="1:15" x14ac:dyDescent="0.2">
      <c r="A331">
        <v>99</v>
      </c>
      <c r="B331" t="s">
        <v>2117</v>
      </c>
      <c r="C331" t="s">
        <v>1270</v>
      </c>
      <c r="D331" t="s">
        <v>1561</v>
      </c>
      <c r="E331" t="s">
        <v>1939</v>
      </c>
      <c r="F331">
        <v>2.5000000000000001E-2</v>
      </c>
      <c r="G331">
        <v>9.8886000000000003</v>
      </c>
      <c r="H331" t="s">
        <v>1052</v>
      </c>
      <c r="I331" t="s">
        <v>1052</v>
      </c>
      <c r="J331">
        <v>0.24721499999999999</v>
      </c>
      <c r="K331">
        <v>1819.2799070000001</v>
      </c>
      <c r="L331" t="s">
        <v>145</v>
      </c>
      <c r="M331">
        <v>7359.1</v>
      </c>
      <c r="N331" t="s">
        <v>2516</v>
      </c>
      <c r="O331" t="s">
        <v>2515</v>
      </c>
    </row>
    <row r="332" spans="1:15" x14ac:dyDescent="0.2">
      <c r="A332">
        <v>99</v>
      </c>
      <c r="B332" t="s">
        <v>2117</v>
      </c>
      <c r="C332" t="s">
        <v>1270</v>
      </c>
      <c r="D332" t="s">
        <v>110</v>
      </c>
      <c r="E332" t="s">
        <v>1544</v>
      </c>
      <c r="F332">
        <v>1.0049999999999999</v>
      </c>
      <c r="G332">
        <v>5.9786000000000001</v>
      </c>
      <c r="H332" t="s">
        <v>1052</v>
      </c>
      <c r="I332" t="s">
        <v>1052</v>
      </c>
      <c r="J332">
        <v>6.0084929999999996</v>
      </c>
      <c r="K332">
        <v>44217.100835999998</v>
      </c>
      <c r="L332" t="s">
        <v>145</v>
      </c>
      <c r="M332">
        <v>7359.1</v>
      </c>
      <c r="N332" t="s">
        <v>2514</v>
      </c>
      <c r="O332" t="s">
        <v>2515</v>
      </c>
    </row>
    <row r="333" spans="1:15" x14ac:dyDescent="0.2">
      <c r="A333">
        <v>99</v>
      </c>
      <c r="B333" t="s">
        <v>2117</v>
      </c>
      <c r="C333" t="s">
        <v>1270</v>
      </c>
      <c r="D333" t="s">
        <v>1547</v>
      </c>
      <c r="E333" t="s">
        <v>1483</v>
      </c>
      <c r="F333">
        <v>1</v>
      </c>
      <c r="G333">
        <v>0.87</v>
      </c>
      <c r="H333" t="s">
        <v>1052</v>
      </c>
      <c r="I333" t="s">
        <v>1052</v>
      </c>
      <c r="J333">
        <v>0.87</v>
      </c>
      <c r="K333">
        <v>6402.4170000000004</v>
      </c>
      <c r="L333" t="s">
        <v>145</v>
      </c>
      <c r="M333">
        <v>7359.1</v>
      </c>
      <c r="N333" t="s">
        <v>2520</v>
      </c>
      <c r="O333" t="s">
        <v>2515</v>
      </c>
    </row>
    <row r="334" spans="1:15" x14ac:dyDescent="0.2">
      <c r="A334">
        <v>99</v>
      </c>
      <c r="B334" t="s">
        <v>2117</v>
      </c>
      <c r="C334" t="s">
        <v>1270</v>
      </c>
      <c r="D334" t="s">
        <v>498</v>
      </c>
      <c r="E334" t="s">
        <v>773</v>
      </c>
      <c r="F334">
        <v>1.2</v>
      </c>
      <c r="G334">
        <v>0</v>
      </c>
      <c r="H334" t="s">
        <v>84</v>
      </c>
      <c r="I334" t="s">
        <v>1052</v>
      </c>
      <c r="J334">
        <v>0</v>
      </c>
      <c r="K334">
        <v>0</v>
      </c>
      <c r="L334" t="s">
        <v>145</v>
      </c>
      <c r="M334">
        <v>7359.1</v>
      </c>
      <c r="N334" t="s">
        <v>2522</v>
      </c>
      <c r="O334" t="s">
        <v>2515</v>
      </c>
    </row>
    <row r="335" spans="1:15" x14ac:dyDescent="0.2">
      <c r="A335">
        <v>99</v>
      </c>
      <c r="B335" t="s">
        <v>2117</v>
      </c>
      <c r="C335" t="s">
        <v>1270</v>
      </c>
      <c r="D335" t="s">
        <v>792</v>
      </c>
      <c r="E335" t="s">
        <v>335</v>
      </c>
      <c r="F335">
        <v>0</v>
      </c>
      <c r="G335">
        <v>11.1343</v>
      </c>
      <c r="H335" t="s">
        <v>151</v>
      </c>
      <c r="I335" t="s">
        <v>1052</v>
      </c>
      <c r="J335">
        <v>0</v>
      </c>
      <c r="K335">
        <v>0</v>
      </c>
      <c r="L335" t="s">
        <v>145</v>
      </c>
      <c r="M335">
        <v>7359.1</v>
      </c>
      <c r="N335" t="s">
        <v>2519</v>
      </c>
      <c r="O335" t="s">
        <v>2515</v>
      </c>
    </row>
    <row r="336" spans="1:15" x14ac:dyDescent="0.2">
      <c r="A336">
        <v>99</v>
      </c>
      <c r="B336" t="s">
        <v>2117</v>
      </c>
      <c r="C336" t="s">
        <v>1311</v>
      </c>
      <c r="D336" t="s">
        <v>1009</v>
      </c>
      <c r="E336" t="s">
        <v>672</v>
      </c>
      <c r="F336">
        <v>0</v>
      </c>
      <c r="G336">
        <v>16.489999999999998</v>
      </c>
      <c r="H336" t="s">
        <v>151</v>
      </c>
      <c r="I336" t="s">
        <v>1152</v>
      </c>
      <c r="J336">
        <v>0</v>
      </c>
      <c r="K336">
        <v>0</v>
      </c>
      <c r="L336" t="s">
        <v>9</v>
      </c>
      <c r="M336">
        <v>452.1</v>
      </c>
      <c r="N336" t="s">
        <v>2527</v>
      </c>
      <c r="O336" t="s">
        <v>2524</v>
      </c>
    </row>
    <row r="337" spans="1:15" x14ac:dyDescent="0.2">
      <c r="A337">
        <v>99</v>
      </c>
      <c r="B337" t="s">
        <v>2117</v>
      </c>
      <c r="C337" t="s">
        <v>1311</v>
      </c>
      <c r="D337" t="s">
        <v>498</v>
      </c>
      <c r="E337" t="s">
        <v>773</v>
      </c>
      <c r="F337">
        <v>1.2</v>
      </c>
      <c r="G337">
        <v>0</v>
      </c>
      <c r="H337" t="s">
        <v>84</v>
      </c>
      <c r="I337" t="s">
        <v>1152</v>
      </c>
      <c r="J337">
        <v>0</v>
      </c>
      <c r="K337">
        <v>0</v>
      </c>
      <c r="L337" t="s">
        <v>9</v>
      </c>
      <c r="M337">
        <v>452.1</v>
      </c>
      <c r="N337" t="s">
        <v>2532</v>
      </c>
      <c r="O337" t="s">
        <v>2524</v>
      </c>
    </row>
    <row r="338" spans="1:15" x14ac:dyDescent="0.2">
      <c r="A338">
        <v>99</v>
      </c>
      <c r="B338" t="s">
        <v>2117</v>
      </c>
      <c r="C338" t="s">
        <v>1311</v>
      </c>
      <c r="D338" t="s">
        <v>66</v>
      </c>
      <c r="E338" t="s">
        <v>617</v>
      </c>
      <c r="F338">
        <v>0</v>
      </c>
      <c r="G338">
        <v>5.45</v>
      </c>
      <c r="H338" t="s">
        <v>764</v>
      </c>
      <c r="I338" t="s">
        <v>1152</v>
      </c>
      <c r="J338">
        <v>0</v>
      </c>
      <c r="K338">
        <v>0</v>
      </c>
      <c r="L338" t="s">
        <v>9</v>
      </c>
      <c r="M338">
        <v>452.1</v>
      </c>
      <c r="N338" t="s">
        <v>2533</v>
      </c>
      <c r="O338" t="s">
        <v>2524</v>
      </c>
    </row>
    <row r="339" spans="1:15" x14ac:dyDescent="0.2">
      <c r="A339">
        <v>99</v>
      </c>
      <c r="B339" t="s">
        <v>2117</v>
      </c>
      <c r="C339" t="s">
        <v>1311</v>
      </c>
      <c r="D339" t="s">
        <v>1654</v>
      </c>
      <c r="E339" t="s">
        <v>1551</v>
      </c>
      <c r="F339">
        <v>7.2361000000000004</v>
      </c>
      <c r="G339">
        <v>0.7974</v>
      </c>
      <c r="H339" t="s">
        <v>1052</v>
      </c>
      <c r="I339" t="s">
        <v>1152</v>
      </c>
      <c r="J339">
        <v>5.77006614</v>
      </c>
      <c r="K339">
        <v>2608.646902</v>
      </c>
      <c r="L339" t="s">
        <v>9</v>
      </c>
      <c r="M339">
        <v>452.1</v>
      </c>
      <c r="N339" t="s">
        <v>2523</v>
      </c>
      <c r="O339" t="s">
        <v>2524</v>
      </c>
    </row>
    <row r="340" spans="1:15" x14ac:dyDescent="0.2">
      <c r="A340">
        <v>99</v>
      </c>
      <c r="B340" t="s">
        <v>2117</v>
      </c>
      <c r="C340" t="s">
        <v>1311</v>
      </c>
      <c r="D340" t="s">
        <v>120</v>
      </c>
      <c r="E340" t="s">
        <v>597</v>
      </c>
      <c r="F340">
        <v>0</v>
      </c>
      <c r="G340">
        <v>1.52</v>
      </c>
      <c r="H340" t="s">
        <v>742</v>
      </c>
      <c r="I340" t="s">
        <v>1152</v>
      </c>
      <c r="J340">
        <v>0</v>
      </c>
      <c r="K340">
        <v>0</v>
      </c>
      <c r="L340" t="s">
        <v>9</v>
      </c>
      <c r="M340">
        <v>452.1</v>
      </c>
      <c r="N340" t="s">
        <v>2534</v>
      </c>
      <c r="O340" t="s">
        <v>2524</v>
      </c>
    </row>
    <row r="341" spans="1:15" x14ac:dyDescent="0.2">
      <c r="A341">
        <v>99</v>
      </c>
      <c r="B341" t="s">
        <v>2117</v>
      </c>
      <c r="C341" t="s">
        <v>1311</v>
      </c>
      <c r="D341" t="s">
        <v>1258</v>
      </c>
      <c r="E341" t="s">
        <v>1526</v>
      </c>
      <c r="F341">
        <v>2.8199999999999999E-2</v>
      </c>
      <c r="G341">
        <v>148</v>
      </c>
      <c r="H341" t="s">
        <v>1153</v>
      </c>
      <c r="I341" t="s">
        <v>1152</v>
      </c>
      <c r="J341">
        <v>4.1736000000000004</v>
      </c>
      <c r="K341">
        <v>1886.88456</v>
      </c>
      <c r="L341" t="s">
        <v>9</v>
      </c>
      <c r="M341">
        <v>452.1</v>
      </c>
      <c r="N341" t="s">
        <v>2526</v>
      </c>
      <c r="O341" t="s">
        <v>2524</v>
      </c>
    </row>
    <row r="342" spans="1:15" x14ac:dyDescent="0.2">
      <c r="A342">
        <v>99</v>
      </c>
      <c r="B342" t="s">
        <v>2117</v>
      </c>
      <c r="C342" t="s">
        <v>1311</v>
      </c>
      <c r="D342" t="s">
        <v>801</v>
      </c>
      <c r="E342" t="s">
        <v>402</v>
      </c>
      <c r="F342">
        <v>0</v>
      </c>
      <c r="G342">
        <v>10.3</v>
      </c>
      <c r="H342" t="s">
        <v>151</v>
      </c>
      <c r="I342" t="s">
        <v>1152</v>
      </c>
      <c r="J342">
        <v>0</v>
      </c>
      <c r="K342">
        <v>0</v>
      </c>
      <c r="L342" t="s">
        <v>9</v>
      </c>
      <c r="M342">
        <v>452.1</v>
      </c>
      <c r="N342" t="s">
        <v>2528</v>
      </c>
      <c r="O342" t="s">
        <v>2524</v>
      </c>
    </row>
    <row r="343" spans="1:15" x14ac:dyDescent="0.2">
      <c r="A343">
        <v>99</v>
      </c>
      <c r="B343" t="s">
        <v>2117</v>
      </c>
      <c r="C343" t="s">
        <v>1311</v>
      </c>
      <c r="D343" t="s">
        <v>1379</v>
      </c>
      <c r="E343" t="s">
        <v>1626</v>
      </c>
      <c r="F343">
        <v>1.9699999999999999E-2</v>
      </c>
      <c r="G343">
        <v>116.09</v>
      </c>
      <c r="H343" t="s">
        <v>1153</v>
      </c>
      <c r="I343" t="s">
        <v>1152</v>
      </c>
      <c r="J343">
        <v>2.2869730000000001</v>
      </c>
      <c r="K343">
        <v>1033.9404930000001</v>
      </c>
      <c r="L343" t="s">
        <v>9</v>
      </c>
      <c r="M343">
        <v>452.1</v>
      </c>
      <c r="N343" t="s">
        <v>2525</v>
      </c>
      <c r="O343" t="s">
        <v>2524</v>
      </c>
    </row>
    <row r="344" spans="1:15" x14ac:dyDescent="0.2">
      <c r="A344">
        <v>99</v>
      </c>
      <c r="B344" t="s">
        <v>2117</v>
      </c>
      <c r="C344" t="s">
        <v>1311</v>
      </c>
      <c r="D344" t="s">
        <v>1636</v>
      </c>
      <c r="E344" t="s">
        <v>2530</v>
      </c>
      <c r="F344">
        <v>0.03</v>
      </c>
      <c r="G344">
        <v>33</v>
      </c>
      <c r="H344" t="s">
        <v>1153</v>
      </c>
      <c r="I344" t="s">
        <v>1152</v>
      </c>
      <c r="J344">
        <v>0.99</v>
      </c>
      <c r="K344">
        <v>447.57900000000001</v>
      </c>
      <c r="L344" t="s">
        <v>9</v>
      </c>
      <c r="M344">
        <v>452.1</v>
      </c>
      <c r="N344" t="s">
        <v>2531</v>
      </c>
      <c r="O344" t="s">
        <v>2524</v>
      </c>
    </row>
    <row r="345" spans="1:15" x14ac:dyDescent="0.2">
      <c r="A345">
        <v>99</v>
      </c>
      <c r="B345" t="s">
        <v>2117</v>
      </c>
      <c r="C345" t="s">
        <v>1311</v>
      </c>
      <c r="D345" t="s">
        <v>547</v>
      </c>
      <c r="E345" t="s">
        <v>2320</v>
      </c>
      <c r="F345">
        <v>0</v>
      </c>
      <c r="G345">
        <v>13.51</v>
      </c>
      <c r="H345" t="s">
        <v>151</v>
      </c>
      <c r="I345" t="s">
        <v>1152</v>
      </c>
      <c r="J345">
        <v>0</v>
      </c>
      <c r="K345">
        <v>0</v>
      </c>
      <c r="L345" t="s">
        <v>9</v>
      </c>
      <c r="M345">
        <v>452.1</v>
      </c>
      <c r="N345" t="s">
        <v>2529</v>
      </c>
      <c r="O345" t="s">
        <v>2524</v>
      </c>
    </row>
    <row r="346" spans="1:15" x14ac:dyDescent="0.2">
      <c r="A346">
        <v>99</v>
      </c>
      <c r="B346" t="s">
        <v>2117</v>
      </c>
      <c r="C346" t="s">
        <v>4857</v>
      </c>
      <c r="D346" t="s">
        <v>82</v>
      </c>
      <c r="E346" t="s">
        <v>2688</v>
      </c>
      <c r="F346">
        <v>5.4009999999999998</v>
      </c>
      <c r="G346">
        <v>2.04</v>
      </c>
      <c r="H346" t="s">
        <v>153</v>
      </c>
      <c r="I346" t="s">
        <v>1152</v>
      </c>
      <c r="J346">
        <v>11.018039999999999</v>
      </c>
      <c r="K346">
        <v>15613.774664</v>
      </c>
      <c r="L346" t="s">
        <v>4858</v>
      </c>
      <c r="M346">
        <v>1417.11</v>
      </c>
      <c r="N346" t="s">
        <v>4859</v>
      </c>
      <c r="O346" t="s">
        <v>4860</v>
      </c>
    </row>
    <row r="347" spans="1:15" x14ac:dyDescent="0.2">
      <c r="A347">
        <v>99</v>
      </c>
      <c r="B347" t="s">
        <v>2117</v>
      </c>
      <c r="C347" t="s">
        <v>4857</v>
      </c>
      <c r="D347" t="s">
        <v>423</v>
      </c>
      <c r="E347" t="s">
        <v>2683</v>
      </c>
      <c r="F347">
        <v>0.33600000000000002</v>
      </c>
      <c r="G347">
        <v>55.495800000000003</v>
      </c>
      <c r="H347" t="s">
        <v>1152</v>
      </c>
      <c r="I347" t="s">
        <v>1152</v>
      </c>
      <c r="J347">
        <v>18.6465888</v>
      </c>
      <c r="K347">
        <v>26424.267454000001</v>
      </c>
      <c r="L347" t="s">
        <v>4858</v>
      </c>
      <c r="M347">
        <v>1417.11</v>
      </c>
      <c r="N347" t="s">
        <v>4861</v>
      </c>
      <c r="O347" t="s">
        <v>4860</v>
      </c>
    </row>
    <row r="348" spans="1:15" x14ac:dyDescent="0.2">
      <c r="A348">
        <v>99</v>
      </c>
      <c r="B348" t="s">
        <v>2117</v>
      </c>
      <c r="C348" t="s">
        <v>4857</v>
      </c>
      <c r="D348" t="s">
        <v>1971</v>
      </c>
      <c r="E348" t="s">
        <v>1147</v>
      </c>
      <c r="F348">
        <v>0</v>
      </c>
      <c r="G348">
        <v>28.81</v>
      </c>
      <c r="H348" t="s">
        <v>742</v>
      </c>
      <c r="I348" t="s">
        <v>1152</v>
      </c>
      <c r="J348">
        <v>0</v>
      </c>
      <c r="K348">
        <v>0</v>
      </c>
      <c r="L348" t="s">
        <v>4858</v>
      </c>
      <c r="M348">
        <v>1417.11</v>
      </c>
      <c r="N348" t="s">
        <v>4862</v>
      </c>
      <c r="O348" t="s">
        <v>4860</v>
      </c>
    </row>
    <row r="349" spans="1:15" x14ac:dyDescent="0.2">
      <c r="A349">
        <v>99</v>
      </c>
      <c r="B349" t="s">
        <v>2117</v>
      </c>
      <c r="C349" t="s">
        <v>4857</v>
      </c>
      <c r="D349" t="s">
        <v>794</v>
      </c>
      <c r="E349" t="s">
        <v>446</v>
      </c>
      <c r="F349">
        <v>0</v>
      </c>
      <c r="G349">
        <v>11.1343</v>
      </c>
      <c r="H349" t="s">
        <v>151</v>
      </c>
      <c r="I349" t="s">
        <v>1152</v>
      </c>
      <c r="J349">
        <v>0</v>
      </c>
      <c r="K349">
        <v>0</v>
      </c>
      <c r="L349" t="s">
        <v>4858</v>
      </c>
      <c r="M349">
        <v>1417.11</v>
      </c>
      <c r="N349" t="s">
        <v>4863</v>
      </c>
      <c r="O349" t="s">
        <v>4860</v>
      </c>
    </row>
    <row r="350" spans="1:15" x14ac:dyDescent="0.2">
      <c r="A350">
        <v>99</v>
      </c>
      <c r="B350" t="s">
        <v>2117</v>
      </c>
      <c r="C350" t="s">
        <v>4857</v>
      </c>
      <c r="D350" t="s">
        <v>1051</v>
      </c>
      <c r="E350" t="s">
        <v>1130</v>
      </c>
      <c r="F350">
        <v>5.5E-2</v>
      </c>
      <c r="G350">
        <v>11.57</v>
      </c>
      <c r="H350" t="s">
        <v>1052</v>
      </c>
      <c r="I350" t="s">
        <v>1152</v>
      </c>
      <c r="J350">
        <v>0.63634999999999997</v>
      </c>
      <c r="K350">
        <v>901.77794900000004</v>
      </c>
      <c r="L350" t="s">
        <v>4858</v>
      </c>
      <c r="M350">
        <v>1417.11</v>
      </c>
      <c r="N350" t="s">
        <v>4864</v>
      </c>
      <c r="O350" t="s">
        <v>4860</v>
      </c>
    </row>
    <row r="351" spans="1:15" x14ac:dyDescent="0.2">
      <c r="A351">
        <v>99</v>
      </c>
      <c r="B351" t="s">
        <v>2117</v>
      </c>
      <c r="C351" t="s">
        <v>4857</v>
      </c>
      <c r="D351" t="s">
        <v>1043</v>
      </c>
      <c r="E351" t="s">
        <v>1497</v>
      </c>
      <c r="F351">
        <v>2.1999999999999999E-2</v>
      </c>
      <c r="G351">
        <v>12.1</v>
      </c>
      <c r="H351" t="s">
        <v>1052</v>
      </c>
      <c r="I351" t="s">
        <v>1152</v>
      </c>
      <c r="J351">
        <v>0.26619999999999999</v>
      </c>
      <c r="K351">
        <v>377.23468200000002</v>
      </c>
      <c r="L351" t="s">
        <v>4858</v>
      </c>
      <c r="M351">
        <v>1417.11</v>
      </c>
      <c r="N351" t="s">
        <v>4865</v>
      </c>
      <c r="O351" t="s">
        <v>4860</v>
      </c>
    </row>
    <row r="352" spans="1:15" x14ac:dyDescent="0.2">
      <c r="A352">
        <v>99</v>
      </c>
      <c r="B352" t="s">
        <v>2117</v>
      </c>
      <c r="C352" t="s">
        <v>4857</v>
      </c>
      <c r="D352" t="s">
        <v>1129</v>
      </c>
      <c r="E352" t="s">
        <v>2681</v>
      </c>
      <c r="F352">
        <v>9.4999999999999998E-3</v>
      </c>
      <c r="G352">
        <v>19.722200000000001</v>
      </c>
      <c r="H352" t="s">
        <v>152</v>
      </c>
      <c r="I352" t="s">
        <v>1152</v>
      </c>
      <c r="J352">
        <v>0.1873609</v>
      </c>
      <c r="K352">
        <v>265.51100500000001</v>
      </c>
      <c r="L352" t="s">
        <v>4858</v>
      </c>
      <c r="M352">
        <v>1417.11</v>
      </c>
      <c r="N352" t="s">
        <v>4866</v>
      </c>
      <c r="O352" t="s">
        <v>4860</v>
      </c>
    </row>
    <row r="353" spans="1:15" x14ac:dyDescent="0.2">
      <c r="A353">
        <v>99</v>
      </c>
      <c r="B353" t="s">
        <v>2117</v>
      </c>
      <c r="C353" t="s">
        <v>4857</v>
      </c>
      <c r="D353" t="s">
        <v>944</v>
      </c>
      <c r="E353" t="s">
        <v>1601</v>
      </c>
      <c r="F353">
        <v>0</v>
      </c>
      <c r="G353">
        <v>19.170000000000002</v>
      </c>
      <c r="H353" t="s">
        <v>151</v>
      </c>
      <c r="I353" t="s">
        <v>1152</v>
      </c>
      <c r="J353">
        <v>0</v>
      </c>
      <c r="K353">
        <v>0</v>
      </c>
      <c r="L353" t="s">
        <v>4858</v>
      </c>
      <c r="M353">
        <v>1417.11</v>
      </c>
      <c r="N353" t="s">
        <v>4867</v>
      </c>
      <c r="O353" t="s">
        <v>4860</v>
      </c>
    </row>
    <row r="354" spans="1:15" x14ac:dyDescent="0.2">
      <c r="A354">
        <v>99</v>
      </c>
      <c r="B354" t="s">
        <v>2117</v>
      </c>
      <c r="C354" t="s">
        <v>4857</v>
      </c>
      <c r="D354" t="s">
        <v>498</v>
      </c>
      <c r="E354" t="s">
        <v>773</v>
      </c>
      <c r="F354">
        <v>1.2</v>
      </c>
      <c r="G354">
        <v>0</v>
      </c>
      <c r="H354" t="s">
        <v>84</v>
      </c>
      <c r="I354" t="s">
        <v>1152</v>
      </c>
      <c r="J354">
        <v>0</v>
      </c>
      <c r="K354">
        <v>0</v>
      </c>
      <c r="L354" t="s">
        <v>4858</v>
      </c>
      <c r="M354">
        <v>1417.11</v>
      </c>
      <c r="N354" t="s">
        <v>4868</v>
      </c>
      <c r="O354" t="s">
        <v>4860</v>
      </c>
    </row>
    <row r="355" spans="1:15" x14ac:dyDescent="0.2">
      <c r="A355">
        <v>99</v>
      </c>
      <c r="B355" t="s">
        <v>2117</v>
      </c>
      <c r="C355" t="s">
        <v>4857</v>
      </c>
      <c r="D355" t="s">
        <v>1065</v>
      </c>
      <c r="E355" t="s">
        <v>1026</v>
      </c>
      <c r="F355">
        <v>0.11899999999999999</v>
      </c>
      <c r="G355">
        <v>14.2</v>
      </c>
      <c r="H355" t="s">
        <v>1052</v>
      </c>
      <c r="I355" t="s">
        <v>1152</v>
      </c>
      <c r="J355">
        <v>1.6898</v>
      </c>
      <c r="K355">
        <v>2394.632478</v>
      </c>
      <c r="L355" t="s">
        <v>4858</v>
      </c>
      <c r="M355">
        <v>1417.11</v>
      </c>
      <c r="N355" t="s">
        <v>4869</v>
      </c>
      <c r="O355" t="s">
        <v>4860</v>
      </c>
    </row>
    <row r="356" spans="1:15" x14ac:dyDescent="0.2">
      <c r="A356">
        <v>99</v>
      </c>
      <c r="B356" t="s">
        <v>2117</v>
      </c>
      <c r="C356" t="s">
        <v>4857</v>
      </c>
      <c r="D356" t="s">
        <v>4870</v>
      </c>
      <c r="E356" t="s">
        <v>4871</v>
      </c>
      <c r="F356">
        <v>5.0000000000000001E-3</v>
      </c>
      <c r="G356">
        <v>1</v>
      </c>
      <c r="H356" t="s">
        <v>1052</v>
      </c>
      <c r="I356" t="s">
        <v>1152</v>
      </c>
      <c r="J356">
        <v>5.0000000000000001E-3</v>
      </c>
      <c r="K356">
        <v>7.0855499999999996</v>
      </c>
      <c r="L356" t="s">
        <v>4858</v>
      </c>
      <c r="M356">
        <v>1417.11</v>
      </c>
      <c r="N356" t="s">
        <v>4872</v>
      </c>
      <c r="O356" t="s">
        <v>4860</v>
      </c>
    </row>
    <row r="357" spans="1:15" x14ac:dyDescent="0.2">
      <c r="A357">
        <v>99</v>
      </c>
      <c r="B357" t="s">
        <v>2117</v>
      </c>
      <c r="C357" t="s">
        <v>4857</v>
      </c>
      <c r="D357" t="s">
        <v>189</v>
      </c>
      <c r="E357" t="s">
        <v>2685</v>
      </c>
      <c r="F357">
        <v>0.73299999999999998</v>
      </c>
      <c r="G357">
        <v>11.05</v>
      </c>
      <c r="H357" t="s">
        <v>153</v>
      </c>
      <c r="I357" t="s">
        <v>1152</v>
      </c>
      <c r="J357">
        <v>8.0996500000000005</v>
      </c>
      <c r="K357">
        <v>11478.095012</v>
      </c>
      <c r="L357" t="s">
        <v>4858</v>
      </c>
      <c r="M357">
        <v>1417.11</v>
      </c>
      <c r="N357" t="s">
        <v>4873</v>
      </c>
      <c r="O357" t="s">
        <v>4860</v>
      </c>
    </row>
    <row r="358" spans="1:15" x14ac:dyDescent="0.2">
      <c r="A358">
        <v>99</v>
      </c>
      <c r="B358" t="s">
        <v>2117</v>
      </c>
      <c r="C358" t="s">
        <v>4857</v>
      </c>
      <c r="D358" t="s">
        <v>1568</v>
      </c>
      <c r="E358" t="s">
        <v>2692</v>
      </c>
      <c r="F358">
        <v>1</v>
      </c>
      <c r="G358">
        <v>49.4</v>
      </c>
      <c r="H358" t="s">
        <v>1152</v>
      </c>
      <c r="I358" t="s">
        <v>1152</v>
      </c>
      <c r="J358">
        <v>49.4</v>
      </c>
      <c r="K358">
        <v>70005.233999999997</v>
      </c>
      <c r="L358" t="s">
        <v>4858</v>
      </c>
      <c r="M358">
        <v>1417.11</v>
      </c>
      <c r="N358" t="s">
        <v>4874</v>
      </c>
      <c r="O358" t="s">
        <v>4860</v>
      </c>
    </row>
    <row r="359" spans="1:15" x14ac:dyDescent="0.2">
      <c r="A359">
        <v>99</v>
      </c>
      <c r="B359" t="s">
        <v>2117</v>
      </c>
      <c r="C359" t="s">
        <v>4857</v>
      </c>
      <c r="D359" t="s">
        <v>1970</v>
      </c>
      <c r="E359" t="s">
        <v>1166</v>
      </c>
      <c r="F359">
        <v>0</v>
      </c>
      <c r="G359">
        <v>30.29</v>
      </c>
      <c r="H359" t="s">
        <v>764</v>
      </c>
      <c r="I359" t="s">
        <v>1152</v>
      </c>
      <c r="J359">
        <v>0</v>
      </c>
      <c r="K359">
        <v>0</v>
      </c>
      <c r="L359" t="s">
        <v>4858</v>
      </c>
      <c r="M359">
        <v>1417.11</v>
      </c>
      <c r="N359" t="s">
        <v>4875</v>
      </c>
      <c r="O359" t="s">
        <v>4860</v>
      </c>
    </row>
    <row r="360" spans="1:15" x14ac:dyDescent="0.2">
      <c r="A360">
        <v>99</v>
      </c>
      <c r="B360" t="s">
        <v>2117</v>
      </c>
      <c r="C360" t="s">
        <v>10</v>
      </c>
      <c r="D360" t="s">
        <v>1009</v>
      </c>
      <c r="E360" t="s">
        <v>672</v>
      </c>
      <c r="F360">
        <v>0</v>
      </c>
      <c r="G360">
        <v>16.489999999999998</v>
      </c>
      <c r="H360" t="s">
        <v>151</v>
      </c>
      <c r="I360" t="s">
        <v>1153</v>
      </c>
      <c r="J360">
        <v>0</v>
      </c>
      <c r="K360">
        <v>0</v>
      </c>
      <c r="L360" t="s">
        <v>313</v>
      </c>
      <c r="M360">
        <v>1917.5309999999999</v>
      </c>
      <c r="N360" t="s">
        <v>2535</v>
      </c>
      <c r="O360" t="s">
        <v>2536</v>
      </c>
    </row>
    <row r="361" spans="1:15" x14ac:dyDescent="0.2">
      <c r="A361">
        <v>99</v>
      </c>
      <c r="B361" t="s">
        <v>2117</v>
      </c>
      <c r="C361" t="s">
        <v>10</v>
      </c>
      <c r="D361" t="s">
        <v>498</v>
      </c>
      <c r="E361" t="s">
        <v>773</v>
      </c>
      <c r="F361">
        <v>1.2</v>
      </c>
      <c r="G361">
        <v>0</v>
      </c>
      <c r="H361" t="s">
        <v>84</v>
      </c>
      <c r="I361" t="s">
        <v>1153</v>
      </c>
      <c r="J361">
        <v>0</v>
      </c>
      <c r="K361">
        <v>0</v>
      </c>
      <c r="L361" t="s">
        <v>313</v>
      </c>
      <c r="M361">
        <v>1917.5309999999999</v>
      </c>
      <c r="N361" t="s">
        <v>2539</v>
      </c>
      <c r="O361" t="s">
        <v>2536</v>
      </c>
    </row>
    <row r="362" spans="1:15" x14ac:dyDescent="0.2">
      <c r="A362">
        <v>99</v>
      </c>
      <c r="B362" t="s">
        <v>2117</v>
      </c>
      <c r="C362" t="s">
        <v>10</v>
      </c>
      <c r="D362" t="s">
        <v>801</v>
      </c>
      <c r="E362" t="s">
        <v>402</v>
      </c>
      <c r="F362">
        <v>0</v>
      </c>
      <c r="G362">
        <v>10.3</v>
      </c>
      <c r="H362" t="s">
        <v>151</v>
      </c>
      <c r="I362" t="s">
        <v>1153</v>
      </c>
      <c r="J362">
        <v>0</v>
      </c>
      <c r="K362">
        <v>0</v>
      </c>
      <c r="L362" t="s">
        <v>313</v>
      </c>
      <c r="M362">
        <v>1917.5309999999999</v>
      </c>
      <c r="N362" t="s">
        <v>2537</v>
      </c>
      <c r="O362" t="s">
        <v>2536</v>
      </c>
    </row>
    <row r="363" spans="1:15" x14ac:dyDescent="0.2">
      <c r="A363">
        <v>99</v>
      </c>
      <c r="B363" t="s">
        <v>2117</v>
      </c>
      <c r="C363" t="s">
        <v>10</v>
      </c>
      <c r="D363" t="s">
        <v>1580</v>
      </c>
      <c r="E363" t="s">
        <v>2477</v>
      </c>
      <c r="F363">
        <v>1</v>
      </c>
      <c r="G363">
        <v>45.51</v>
      </c>
      <c r="H363" t="s">
        <v>1153</v>
      </c>
      <c r="I363" t="s">
        <v>1153</v>
      </c>
      <c r="J363">
        <v>45.51</v>
      </c>
      <c r="K363">
        <v>87266.835810000004</v>
      </c>
      <c r="L363" t="s">
        <v>313</v>
      </c>
      <c r="M363">
        <v>1917.5309999999999</v>
      </c>
      <c r="N363" t="s">
        <v>2538</v>
      </c>
      <c r="O363" t="s">
        <v>2536</v>
      </c>
    </row>
    <row r="364" spans="1:15" x14ac:dyDescent="0.2">
      <c r="A364">
        <v>99</v>
      </c>
      <c r="B364" t="s">
        <v>2117</v>
      </c>
      <c r="C364" t="s">
        <v>10</v>
      </c>
      <c r="D364" t="s">
        <v>239</v>
      </c>
      <c r="E364" t="s">
        <v>2378</v>
      </c>
      <c r="F364">
        <v>0</v>
      </c>
      <c r="G364">
        <v>65.73</v>
      </c>
      <c r="H364" t="s">
        <v>742</v>
      </c>
      <c r="I364" t="s">
        <v>1153</v>
      </c>
      <c r="J364">
        <v>0</v>
      </c>
      <c r="K364">
        <v>0</v>
      </c>
      <c r="L364" t="s">
        <v>313</v>
      </c>
      <c r="M364">
        <v>1917.5309999999999</v>
      </c>
      <c r="N364" t="s">
        <v>2541</v>
      </c>
      <c r="O364" t="s">
        <v>2536</v>
      </c>
    </row>
    <row r="365" spans="1:15" x14ac:dyDescent="0.2">
      <c r="A365">
        <v>99</v>
      </c>
      <c r="B365" t="s">
        <v>2117</v>
      </c>
      <c r="C365" t="s">
        <v>10</v>
      </c>
      <c r="D365" t="s">
        <v>238</v>
      </c>
      <c r="E365" t="s">
        <v>2376</v>
      </c>
      <c r="F365">
        <v>0</v>
      </c>
      <c r="G365">
        <v>138.31</v>
      </c>
      <c r="H365" t="s">
        <v>764</v>
      </c>
      <c r="I365" t="s">
        <v>1153</v>
      </c>
      <c r="J365">
        <v>0</v>
      </c>
      <c r="K365">
        <v>0</v>
      </c>
      <c r="L365" t="s">
        <v>313</v>
      </c>
      <c r="M365">
        <v>1917.5309999999999</v>
      </c>
      <c r="N365" t="s">
        <v>2540</v>
      </c>
      <c r="O365" t="s">
        <v>2536</v>
      </c>
    </row>
    <row r="366" spans="1:15" x14ac:dyDescent="0.2">
      <c r="A366">
        <v>99</v>
      </c>
      <c r="B366" t="s">
        <v>2117</v>
      </c>
      <c r="C366" t="s">
        <v>13</v>
      </c>
      <c r="D366" t="s">
        <v>1580</v>
      </c>
      <c r="E366" t="s">
        <v>2477</v>
      </c>
      <c r="F366">
        <v>1</v>
      </c>
      <c r="G366">
        <v>45.51</v>
      </c>
      <c r="H366" t="s">
        <v>1153</v>
      </c>
      <c r="I366" t="s">
        <v>1153</v>
      </c>
      <c r="J366">
        <v>45.51</v>
      </c>
      <c r="K366">
        <v>48497.276400000002</v>
      </c>
      <c r="L366" t="s">
        <v>314</v>
      </c>
      <c r="M366">
        <v>1065.6400000000001</v>
      </c>
      <c r="N366" t="s">
        <v>2545</v>
      </c>
      <c r="O366" t="s">
        <v>2543</v>
      </c>
    </row>
    <row r="367" spans="1:15" x14ac:dyDescent="0.2">
      <c r="A367">
        <v>99</v>
      </c>
      <c r="B367" t="s">
        <v>2117</v>
      </c>
      <c r="C367" t="s">
        <v>13</v>
      </c>
      <c r="D367" t="s">
        <v>801</v>
      </c>
      <c r="E367" t="s">
        <v>402</v>
      </c>
      <c r="F367">
        <v>0</v>
      </c>
      <c r="G367">
        <v>10.3</v>
      </c>
      <c r="H367" t="s">
        <v>151</v>
      </c>
      <c r="I367" t="s">
        <v>1153</v>
      </c>
      <c r="J367">
        <v>0</v>
      </c>
      <c r="K367">
        <v>0</v>
      </c>
      <c r="L367" t="s">
        <v>314</v>
      </c>
      <c r="M367">
        <v>1065.6400000000001</v>
      </c>
      <c r="N367" t="s">
        <v>2544</v>
      </c>
      <c r="O367" t="s">
        <v>2543</v>
      </c>
    </row>
    <row r="368" spans="1:15" x14ac:dyDescent="0.2">
      <c r="A368">
        <v>99</v>
      </c>
      <c r="B368" t="s">
        <v>2117</v>
      </c>
      <c r="C368" t="s">
        <v>13</v>
      </c>
      <c r="D368" t="s">
        <v>244</v>
      </c>
      <c r="E368" t="s">
        <v>1940</v>
      </c>
      <c r="F368">
        <v>0</v>
      </c>
      <c r="G368">
        <v>62.61</v>
      </c>
      <c r="H368" t="s">
        <v>742</v>
      </c>
      <c r="I368" t="s">
        <v>1153</v>
      </c>
      <c r="J368">
        <v>0</v>
      </c>
      <c r="K368">
        <v>0</v>
      </c>
      <c r="L368" t="s">
        <v>314</v>
      </c>
      <c r="M368">
        <v>1065.6400000000001</v>
      </c>
      <c r="N368" t="s">
        <v>2548</v>
      </c>
      <c r="O368" t="s">
        <v>2543</v>
      </c>
    </row>
    <row r="369" spans="1:15" x14ac:dyDescent="0.2">
      <c r="A369">
        <v>99</v>
      </c>
      <c r="B369" t="s">
        <v>2117</v>
      </c>
      <c r="C369" t="s">
        <v>13</v>
      </c>
      <c r="D369" t="s">
        <v>498</v>
      </c>
      <c r="E369" t="s">
        <v>773</v>
      </c>
      <c r="F369">
        <v>1.2</v>
      </c>
      <c r="G369">
        <v>0</v>
      </c>
      <c r="H369" t="s">
        <v>84</v>
      </c>
      <c r="I369" t="s">
        <v>1153</v>
      </c>
      <c r="J369">
        <v>0</v>
      </c>
      <c r="K369">
        <v>0</v>
      </c>
      <c r="L369" t="s">
        <v>314</v>
      </c>
      <c r="M369">
        <v>1065.6400000000001</v>
      </c>
      <c r="N369" t="s">
        <v>2546</v>
      </c>
      <c r="O369" t="s">
        <v>2543</v>
      </c>
    </row>
    <row r="370" spans="1:15" x14ac:dyDescent="0.2">
      <c r="A370">
        <v>99</v>
      </c>
      <c r="B370" t="s">
        <v>2117</v>
      </c>
      <c r="C370" t="s">
        <v>13</v>
      </c>
      <c r="D370" t="s">
        <v>1009</v>
      </c>
      <c r="E370" t="s">
        <v>672</v>
      </c>
      <c r="F370">
        <v>0</v>
      </c>
      <c r="G370">
        <v>16.489999999999998</v>
      </c>
      <c r="H370" t="s">
        <v>151</v>
      </c>
      <c r="I370" t="s">
        <v>1153</v>
      </c>
      <c r="J370">
        <v>0</v>
      </c>
      <c r="K370">
        <v>0</v>
      </c>
      <c r="L370" t="s">
        <v>314</v>
      </c>
      <c r="M370">
        <v>1065.6400000000001</v>
      </c>
      <c r="N370" t="s">
        <v>2542</v>
      </c>
      <c r="O370" t="s">
        <v>2543</v>
      </c>
    </row>
    <row r="371" spans="1:15" x14ac:dyDescent="0.2">
      <c r="A371">
        <v>99</v>
      </c>
      <c r="B371" t="s">
        <v>2117</v>
      </c>
      <c r="C371" t="s">
        <v>13</v>
      </c>
      <c r="D371" t="s">
        <v>242</v>
      </c>
      <c r="E371" t="s">
        <v>1949</v>
      </c>
      <c r="F371">
        <v>0</v>
      </c>
      <c r="G371">
        <v>114.16</v>
      </c>
      <c r="H371" t="s">
        <v>764</v>
      </c>
      <c r="I371" t="s">
        <v>1153</v>
      </c>
      <c r="J371">
        <v>0</v>
      </c>
      <c r="K371">
        <v>0</v>
      </c>
      <c r="L371" t="s">
        <v>314</v>
      </c>
      <c r="M371">
        <v>1065.6400000000001</v>
      </c>
      <c r="N371" t="s">
        <v>2547</v>
      </c>
      <c r="O371" t="s">
        <v>2543</v>
      </c>
    </row>
    <row r="372" spans="1:15" x14ac:dyDescent="0.2">
      <c r="A372">
        <v>99</v>
      </c>
      <c r="B372" t="s">
        <v>2117</v>
      </c>
      <c r="C372" t="s">
        <v>14</v>
      </c>
      <c r="D372" t="s">
        <v>498</v>
      </c>
      <c r="E372" t="s">
        <v>773</v>
      </c>
      <c r="F372">
        <v>1.2</v>
      </c>
      <c r="G372">
        <v>0</v>
      </c>
      <c r="H372" t="s">
        <v>84</v>
      </c>
      <c r="I372" t="s">
        <v>1153</v>
      </c>
      <c r="J372">
        <v>0</v>
      </c>
      <c r="K372">
        <v>0</v>
      </c>
      <c r="L372" t="s">
        <v>316</v>
      </c>
      <c r="M372">
        <v>2359.84</v>
      </c>
      <c r="N372" t="s">
        <v>2556</v>
      </c>
      <c r="O372" t="s">
        <v>2550</v>
      </c>
    </row>
    <row r="373" spans="1:15" x14ac:dyDescent="0.2">
      <c r="A373">
        <v>99</v>
      </c>
      <c r="B373" t="s">
        <v>2117</v>
      </c>
      <c r="C373" t="s">
        <v>14</v>
      </c>
      <c r="D373" t="s">
        <v>61</v>
      </c>
      <c r="E373" t="s">
        <v>2490</v>
      </c>
      <c r="F373">
        <v>0</v>
      </c>
      <c r="G373">
        <v>36.880000000000003</v>
      </c>
      <c r="H373" t="s">
        <v>764</v>
      </c>
      <c r="I373" t="s">
        <v>1153</v>
      </c>
      <c r="J373">
        <v>0</v>
      </c>
      <c r="K373">
        <v>0</v>
      </c>
      <c r="L373" t="s">
        <v>316</v>
      </c>
      <c r="M373">
        <v>2359.84</v>
      </c>
      <c r="N373" t="s">
        <v>2553</v>
      </c>
      <c r="O373" t="s">
        <v>2550</v>
      </c>
    </row>
    <row r="374" spans="1:15" x14ac:dyDescent="0.2">
      <c r="A374">
        <v>99</v>
      </c>
      <c r="B374" t="s">
        <v>2117</v>
      </c>
      <c r="C374" t="s">
        <v>14</v>
      </c>
      <c r="D374" t="s">
        <v>801</v>
      </c>
      <c r="E374" t="s">
        <v>402</v>
      </c>
      <c r="F374">
        <v>0</v>
      </c>
      <c r="G374">
        <v>10.3</v>
      </c>
      <c r="H374" t="s">
        <v>151</v>
      </c>
      <c r="I374" t="s">
        <v>1153</v>
      </c>
      <c r="J374">
        <v>0</v>
      </c>
      <c r="K374">
        <v>0</v>
      </c>
      <c r="L374" t="s">
        <v>316</v>
      </c>
      <c r="M374">
        <v>2359.84</v>
      </c>
      <c r="N374" t="s">
        <v>2554</v>
      </c>
      <c r="O374" t="s">
        <v>2550</v>
      </c>
    </row>
    <row r="375" spans="1:15" x14ac:dyDescent="0.2">
      <c r="A375">
        <v>99</v>
      </c>
      <c r="B375" t="s">
        <v>2117</v>
      </c>
      <c r="C375" t="s">
        <v>14</v>
      </c>
      <c r="D375" t="s">
        <v>239</v>
      </c>
      <c r="E375" t="s">
        <v>2378</v>
      </c>
      <c r="F375">
        <v>0</v>
      </c>
      <c r="G375">
        <v>65.73</v>
      </c>
      <c r="H375" t="s">
        <v>742</v>
      </c>
      <c r="I375" t="s">
        <v>1153</v>
      </c>
      <c r="J375">
        <v>0</v>
      </c>
      <c r="K375">
        <v>0</v>
      </c>
      <c r="L375" t="s">
        <v>316</v>
      </c>
      <c r="M375">
        <v>2359.84</v>
      </c>
      <c r="N375" t="s">
        <v>2552</v>
      </c>
      <c r="O375" t="s">
        <v>2550</v>
      </c>
    </row>
    <row r="376" spans="1:15" x14ac:dyDescent="0.2">
      <c r="A376">
        <v>99</v>
      </c>
      <c r="B376" t="s">
        <v>2117</v>
      </c>
      <c r="C376" t="s">
        <v>14</v>
      </c>
      <c r="D376" t="s">
        <v>233</v>
      </c>
      <c r="E376" t="s">
        <v>420</v>
      </c>
      <c r="F376">
        <v>0</v>
      </c>
      <c r="G376">
        <v>327.60000000000002</v>
      </c>
      <c r="H376" t="s">
        <v>764</v>
      </c>
      <c r="I376" t="s">
        <v>1153</v>
      </c>
      <c r="J376">
        <v>0</v>
      </c>
      <c r="K376">
        <v>0</v>
      </c>
      <c r="L376" t="s">
        <v>316</v>
      </c>
      <c r="M376">
        <v>2359.84</v>
      </c>
      <c r="N376" t="s">
        <v>2557</v>
      </c>
      <c r="O376" t="s">
        <v>2550</v>
      </c>
    </row>
    <row r="377" spans="1:15" x14ac:dyDescent="0.2">
      <c r="A377">
        <v>99</v>
      </c>
      <c r="B377" t="s">
        <v>2117</v>
      </c>
      <c r="C377" t="s">
        <v>14</v>
      </c>
      <c r="D377" t="s">
        <v>235</v>
      </c>
      <c r="E377" t="s">
        <v>413</v>
      </c>
      <c r="F377">
        <v>0</v>
      </c>
      <c r="G377">
        <v>72.41</v>
      </c>
      <c r="H377" t="s">
        <v>742</v>
      </c>
      <c r="I377" t="s">
        <v>1153</v>
      </c>
      <c r="J377">
        <v>0</v>
      </c>
      <c r="K377">
        <v>0</v>
      </c>
      <c r="L377" t="s">
        <v>316</v>
      </c>
      <c r="M377">
        <v>2359.84</v>
      </c>
      <c r="N377" t="s">
        <v>2549</v>
      </c>
      <c r="O377" t="s">
        <v>2550</v>
      </c>
    </row>
    <row r="378" spans="1:15" x14ac:dyDescent="0.2">
      <c r="A378">
        <v>99</v>
      </c>
      <c r="B378" t="s">
        <v>2117</v>
      </c>
      <c r="C378" t="s">
        <v>14</v>
      </c>
      <c r="D378" t="s">
        <v>238</v>
      </c>
      <c r="E378" t="s">
        <v>2376</v>
      </c>
      <c r="F378">
        <v>0</v>
      </c>
      <c r="G378">
        <v>138.31</v>
      </c>
      <c r="H378" t="s">
        <v>764</v>
      </c>
      <c r="I378" t="s">
        <v>1153</v>
      </c>
      <c r="J378">
        <v>0</v>
      </c>
      <c r="K378">
        <v>0</v>
      </c>
      <c r="L378" t="s">
        <v>316</v>
      </c>
      <c r="M378">
        <v>2359.84</v>
      </c>
      <c r="N378" t="s">
        <v>2551</v>
      </c>
      <c r="O378" t="s">
        <v>2550</v>
      </c>
    </row>
    <row r="379" spans="1:15" x14ac:dyDescent="0.2">
      <c r="A379">
        <v>99</v>
      </c>
      <c r="B379" t="s">
        <v>2117</v>
      </c>
      <c r="C379" t="s">
        <v>14</v>
      </c>
      <c r="D379" t="s">
        <v>1584</v>
      </c>
      <c r="E379" t="s">
        <v>2483</v>
      </c>
      <c r="F379">
        <v>1</v>
      </c>
      <c r="G379">
        <v>60</v>
      </c>
      <c r="H379" t="s">
        <v>1153</v>
      </c>
      <c r="I379" t="s">
        <v>1153</v>
      </c>
      <c r="J379">
        <v>60</v>
      </c>
      <c r="K379">
        <v>141590.39999999999</v>
      </c>
      <c r="L379" t="s">
        <v>316</v>
      </c>
      <c r="M379">
        <v>2359.84</v>
      </c>
      <c r="N379" t="s">
        <v>2555</v>
      </c>
      <c r="O379" t="s">
        <v>2550</v>
      </c>
    </row>
    <row r="380" spans="1:15" x14ac:dyDescent="0.2">
      <c r="A380">
        <v>99</v>
      </c>
      <c r="B380" t="s">
        <v>2117</v>
      </c>
      <c r="C380" t="s">
        <v>1889</v>
      </c>
      <c r="D380" t="s">
        <v>1371</v>
      </c>
      <c r="E380" t="s">
        <v>2406</v>
      </c>
      <c r="F380">
        <v>0.46550000000000002</v>
      </c>
      <c r="G380">
        <v>0.22</v>
      </c>
      <c r="H380" t="s">
        <v>1781</v>
      </c>
      <c r="I380" t="s">
        <v>1052</v>
      </c>
      <c r="J380">
        <v>0.10241</v>
      </c>
      <c r="K380">
        <v>1864.748871</v>
      </c>
      <c r="L380" t="s">
        <v>183</v>
      </c>
      <c r="M380">
        <v>18208.66</v>
      </c>
      <c r="N380" t="s">
        <v>2561</v>
      </c>
      <c r="O380" t="s">
        <v>2559</v>
      </c>
    </row>
    <row r="381" spans="1:15" x14ac:dyDescent="0.2">
      <c r="A381">
        <v>99</v>
      </c>
      <c r="B381" t="s">
        <v>2117</v>
      </c>
      <c r="C381" t="s">
        <v>1889</v>
      </c>
      <c r="D381" t="s">
        <v>935</v>
      </c>
      <c r="E381" t="s">
        <v>1352</v>
      </c>
      <c r="F381">
        <v>0</v>
      </c>
      <c r="G381">
        <v>15.1457</v>
      </c>
      <c r="H381" t="s">
        <v>151</v>
      </c>
      <c r="I381" t="s">
        <v>1052</v>
      </c>
      <c r="J381">
        <v>0</v>
      </c>
      <c r="K381">
        <v>0</v>
      </c>
      <c r="L381" t="s">
        <v>183</v>
      </c>
      <c r="M381">
        <v>18208.66</v>
      </c>
      <c r="N381" t="s">
        <v>2562</v>
      </c>
      <c r="O381" t="s">
        <v>2559</v>
      </c>
    </row>
    <row r="382" spans="1:15" x14ac:dyDescent="0.2">
      <c r="A382">
        <v>99</v>
      </c>
      <c r="B382" t="s">
        <v>2117</v>
      </c>
      <c r="C382" t="s">
        <v>1889</v>
      </c>
      <c r="D382" t="s">
        <v>107</v>
      </c>
      <c r="E382" t="s">
        <v>564</v>
      </c>
      <c r="F382">
        <v>1.0049999999999999</v>
      </c>
      <c r="G382">
        <v>6.1578999999999997</v>
      </c>
      <c r="H382" t="s">
        <v>1052</v>
      </c>
      <c r="I382" t="s">
        <v>1052</v>
      </c>
      <c r="J382">
        <v>6.1886894999999997</v>
      </c>
      <c r="K382">
        <v>112687.74295099999</v>
      </c>
      <c r="L382" t="s">
        <v>183</v>
      </c>
      <c r="M382">
        <v>18208.66</v>
      </c>
      <c r="N382" t="s">
        <v>2558</v>
      </c>
      <c r="O382" t="s">
        <v>2559</v>
      </c>
    </row>
    <row r="383" spans="1:15" x14ac:dyDescent="0.2">
      <c r="A383">
        <v>99</v>
      </c>
      <c r="B383" t="s">
        <v>2117</v>
      </c>
      <c r="C383" t="s">
        <v>1889</v>
      </c>
      <c r="D383" t="s">
        <v>1561</v>
      </c>
      <c r="E383" t="s">
        <v>1939</v>
      </c>
      <c r="F383">
        <v>2.5000000000000001E-2</v>
      </c>
      <c r="G383">
        <v>9.8886000000000003</v>
      </c>
      <c r="H383" t="s">
        <v>1052</v>
      </c>
      <c r="I383" t="s">
        <v>1052</v>
      </c>
      <c r="J383">
        <v>0.24721499999999999</v>
      </c>
      <c r="K383">
        <v>4501.4538819999998</v>
      </c>
      <c r="L383" t="s">
        <v>183</v>
      </c>
      <c r="M383">
        <v>18208.66</v>
      </c>
      <c r="N383" t="s">
        <v>2560</v>
      </c>
      <c r="O383" t="s">
        <v>2559</v>
      </c>
    </row>
    <row r="384" spans="1:15" x14ac:dyDescent="0.2">
      <c r="A384">
        <v>99</v>
      </c>
      <c r="B384" t="s">
        <v>2117</v>
      </c>
      <c r="C384" t="s">
        <v>1889</v>
      </c>
      <c r="D384" t="s">
        <v>1553</v>
      </c>
      <c r="E384" t="s">
        <v>484</v>
      </c>
      <c r="F384">
        <v>1</v>
      </c>
      <c r="G384">
        <v>3.51</v>
      </c>
      <c r="H384" t="s">
        <v>1052</v>
      </c>
      <c r="I384" t="s">
        <v>1052</v>
      </c>
      <c r="J384">
        <v>3.51</v>
      </c>
      <c r="K384">
        <v>63912.3966</v>
      </c>
      <c r="L384" t="s">
        <v>183</v>
      </c>
      <c r="M384">
        <v>18208.66</v>
      </c>
      <c r="N384" t="s">
        <v>2565</v>
      </c>
      <c r="O384" t="s">
        <v>2559</v>
      </c>
    </row>
    <row r="385" spans="1:15" x14ac:dyDescent="0.2">
      <c r="A385">
        <v>99</v>
      </c>
      <c r="B385" t="s">
        <v>2117</v>
      </c>
      <c r="C385" t="s">
        <v>1889</v>
      </c>
      <c r="D385" t="s">
        <v>1505</v>
      </c>
      <c r="E385" t="s">
        <v>1976</v>
      </c>
      <c r="F385">
        <v>1</v>
      </c>
      <c r="G385">
        <v>0.87</v>
      </c>
      <c r="H385" t="s">
        <v>1052</v>
      </c>
      <c r="I385" t="s">
        <v>1052</v>
      </c>
      <c r="J385">
        <v>0.87</v>
      </c>
      <c r="K385">
        <v>15841.5342</v>
      </c>
      <c r="L385" t="s">
        <v>183</v>
      </c>
      <c r="M385">
        <v>18208.66</v>
      </c>
      <c r="N385" t="s">
        <v>2564</v>
      </c>
      <c r="O385" t="s">
        <v>2559</v>
      </c>
    </row>
    <row r="386" spans="1:15" x14ac:dyDescent="0.2">
      <c r="A386">
        <v>99</v>
      </c>
      <c r="B386" t="s">
        <v>2117</v>
      </c>
      <c r="C386" t="s">
        <v>1889</v>
      </c>
      <c r="D386" t="s">
        <v>498</v>
      </c>
      <c r="E386" t="s">
        <v>773</v>
      </c>
      <c r="F386">
        <v>1.2</v>
      </c>
      <c r="G386">
        <v>0</v>
      </c>
      <c r="H386" t="s">
        <v>84</v>
      </c>
      <c r="I386" t="s">
        <v>1052</v>
      </c>
      <c r="J386">
        <v>0</v>
      </c>
      <c r="K386">
        <v>0</v>
      </c>
      <c r="L386" t="s">
        <v>183</v>
      </c>
      <c r="M386">
        <v>18208.66</v>
      </c>
      <c r="N386" t="s">
        <v>2566</v>
      </c>
      <c r="O386" t="s">
        <v>2559</v>
      </c>
    </row>
    <row r="387" spans="1:15" x14ac:dyDescent="0.2">
      <c r="A387">
        <v>99</v>
      </c>
      <c r="B387" t="s">
        <v>2117</v>
      </c>
      <c r="C387" t="s">
        <v>1889</v>
      </c>
      <c r="D387" t="s">
        <v>792</v>
      </c>
      <c r="E387" t="s">
        <v>335</v>
      </c>
      <c r="F387">
        <v>0</v>
      </c>
      <c r="G387">
        <v>11.1343</v>
      </c>
      <c r="H387" t="s">
        <v>151</v>
      </c>
      <c r="I387" t="s">
        <v>1052</v>
      </c>
      <c r="J387">
        <v>0</v>
      </c>
      <c r="K387">
        <v>0</v>
      </c>
      <c r="L387" t="s">
        <v>183</v>
      </c>
      <c r="M387">
        <v>18208.66</v>
      </c>
      <c r="N387" t="s">
        <v>2563</v>
      </c>
      <c r="O387" t="s">
        <v>2559</v>
      </c>
    </row>
    <row r="388" spans="1:15" x14ac:dyDescent="0.2">
      <c r="A388">
        <v>99</v>
      </c>
      <c r="B388" t="s">
        <v>2117</v>
      </c>
      <c r="C388" t="s">
        <v>1891</v>
      </c>
      <c r="D388" t="s">
        <v>792</v>
      </c>
      <c r="E388" t="s">
        <v>335</v>
      </c>
      <c r="F388">
        <v>0</v>
      </c>
      <c r="G388">
        <v>11.1343</v>
      </c>
      <c r="H388" t="s">
        <v>151</v>
      </c>
      <c r="I388" t="s">
        <v>1052</v>
      </c>
      <c r="J388">
        <v>0</v>
      </c>
      <c r="K388">
        <v>0</v>
      </c>
      <c r="L388" t="s">
        <v>186</v>
      </c>
      <c r="M388">
        <v>17642.66</v>
      </c>
      <c r="N388" t="s">
        <v>2572</v>
      </c>
      <c r="O388" t="s">
        <v>2568</v>
      </c>
    </row>
    <row r="389" spans="1:15" x14ac:dyDescent="0.2">
      <c r="A389">
        <v>99</v>
      </c>
      <c r="B389" t="s">
        <v>2117</v>
      </c>
      <c r="C389" t="s">
        <v>1891</v>
      </c>
      <c r="D389" t="s">
        <v>498</v>
      </c>
      <c r="E389" t="s">
        <v>773</v>
      </c>
      <c r="F389">
        <v>1.2</v>
      </c>
      <c r="G389">
        <v>0</v>
      </c>
      <c r="H389" t="s">
        <v>84</v>
      </c>
      <c r="I389" t="s">
        <v>1052</v>
      </c>
      <c r="J389">
        <v>0</v>
      </c>
      <c r="K389">
        <v>0</v>
      </c>
      <c r="L389" t="s">
        <v>186</v>
      </c>
      <c r="M389">
        <v>17642.66</v>
      </c>
      <c r="N389" t="s">
        <v>2575</v>
      </c>
      <c r="O389" t="s">
        <v>2568</v>
      </c>
    </row>
    <row r="390" spans="1:15" x14ac:dyDescent="0.2">
      <c r="A390">
        <v>99</v>
      </c>
      <c r="B390" t="s">
        <v>2117</v>
      </c>
      <c r="C390" t="s">
        <v>1891</v>
      </c>
      <c r="D390" t="s">
        <v>1505</v>
      </c>
      <c r="E390" t="s">
        <v>1976</v>
      </c>
      <c r="F390">
        <v>1</v>
      </c>
      <c r="G390">
        <v>0.87</v>
      </c>
      <c r="H390" t="s">
        <v>1052</v>
      </c>
      <c r="I390" t="s">
        <v>1052</v>
      </c>
      <c r="J390">
        <v>0.87</v>
      </c>
      <c r="K390">
        <v>15349.1142</v>
      </c>
      <c r="L390" t="s">
        <v>186</v>
      </c>
      <c r="M390">
        <v>17642.66</v>
      </c>
      <c r="N390" t="s">
        <v>2573</v>
      </c>
      <c r="O390" t="s">
        <v>2568</v>
      </c>
    </row>
    <row r="391" spans="1:15" x14ac:dyDescent="0.2">
      <c r="A391">
        <v>99</v>
      </c>
      <c r="B391" t="s">
        <v>2117</v>
      </c>
      <c r="C391" t="s">
        <v>1891</v>
      </c>
      <c r="D391" t="s">
        <v>1553</v>
      </c>
      <c r="E391" t="s">
        <v>484</v>
      </c>
      <c r="F391">
        <v>1</v>
      </c>
      <c r="G391">
        <v>3.51</v>
      </c>
      <c r="H391" t="s">
        <v>1052</v>
      </c>
      <c r="I391" t="s">
        <v>1052</v>
      </c>
      <c r="J391">
        <v>3.51</v>
      </c>
      <c r="K391">
        <v>61925.736599999997</v>
      </c>
      <c r="L391" t="s">
        <v>186</v>
      </c>
      <c r="M391">
        <v>17642.66</v>
      </c>
      <c r="N391" t="s">
        <v>2574</v>
      </c>
      <c r="O391" t="s">
        <v>2568</v>
      </c>
    </row>
    <row r="392" spans="1:15" x14ac:dyDescent="0.2">
      <c r="A392">
        <v>99</v>
      </c>
      <c r="B392" t="s">
        <v>2117</v>
      </c>
      <c r="C392" t="s">
        <v>1891</v>
      </c>
      <c r="D392" t="s">
        <v>1561</v>
      </c>
      <c r="E392" t="s">
        <v>1939</v>
      </c>
      <c r="F392">
        <v>2.5000000000000001E-2</v>
      </c>
      <c r="G392">
        <v>9.8886000000000003</v>
      </c>
      <c r="H392" t="s">
        <v>1052</v>
      </c>
      <c r="I392" t="s">
        <v>1052</v>
      </c>
      <c r="J392">
        <v>0.24721499999999999</v>
      </c>
      <c r="K392">
        <v>4361.5301920000002</v>
      </c>
      <c r="L392" t="s">
        <v>186</v>
      </c>
      <c r="M392">
        <v>17642.66</v>
      </c>
      <c r="N392" t="s">
        <v>2569</v>
      </c>
      <c r="O392" t="s">
        <v>2568</v>
      </c>
    </row>
    <row r="393" spans="1:15" x14ac:dyDescent="0.2">
      <c r="A393">
        <v>99</v>
      </c>
      <c r="B393" t="s">
        <v>2117</v>
      </c>
      <c r="C393" t="s">
        <v>1891</v>
      </c>
      <c r="D393" t="s">
        <v>110</v>
      </c>
      <c r="E393" t="s">
        <v>1544</v>
      </c>
      <c r="F393">
        <v>1.0049999999999999</v>
      </c>
      <c r="G393">
        <v>5.9786000000000001</v>
      </c>
      <c r="H393" t="s">
        <v>1052</v>
      </c>
      <c r="I393" t="s">
        <v>1052</v>
      </c>
      <c r="J393">
        <v>6.0084929999999996</v>
      </c>
      <c r="K393">
        <v>106005.799111</v>
      </c>
      <c r="L393" t="s">
        <v>186</v>
      </c>
      <c r="M393">
        <v>17642.66</v>
      </c>
      <c r="N393" t="s">
        <v>2567</v>
      </c>
      <c r="O393" t="s">
        <v>2568</v>
      </c>
    </row>
    <row r="394" spans="1:15" x14ac:dyDescent="0.2">
      <c r="A394">
        <v>99</v>
      </c>
      <c r="B394" t="s">
        <v>2117</v>
      </c>
      <c r="C394" t="s">
        <v>1891</v>
      </c>
      <c r="D394" t="s">
        <v>935</v>
      </c>
      <c r="E394" t="s">
        <v>1352</v>
      </c>
      <c r="F394">
        <v>0</v>
      </c>
      <c r="G394">
        <v>15.1457</v>
      </c>
      <c r="H394" t="s">
        <v>151</v>
      </c>
      <c r="I394" t="s">
        <v>1052</v>
      </c>
      <c r="J394">
        <v>0</v>
      </c>
      <c r="K394">
        <v>0</v>
      </c>
      <c r="L394" t="s">
        <v>186</v>
      </c>
      <c r="M394">
        <v>17642.66</v>
      </c>
      <c r="N394" t="s">
        <v>2571</v>
      </c>
      <c r="O394" t="s">
        <v>2568</v>
      </c>
    </row>
    <row r="395" spans="1:15" x14ac:dyDescent="0.2">
      <c r="A395">
        <v>99</v>
      </c>
      <c r="B395" t="s">
        <v>2117</v>
      </c>
      <c r="C395" t="s">
        <v>1891</v>
      </c>
      <c r="D395" t="s">
        <v>1371</v>
      </c>
      <c r="E395" t="s">
        <v>2406</v>
      </c>
      <c r="F395">
        <v>0.30599999999999999</v>
      </c>
      <c r="G395">
        <v>0.22</v>
      </c>
      <c r="H395" t="s">
        <v>1781</v>
      </c>
      <c r="I395" t="s">
        <v>1052</v>
      </c>
      <c r="J395">
        <v>6.7320000000000005E-2</v>
      </c>
      <c r="K395">
        <v>1187.7038709999999</v>
      </c>
      <c r="L395" t="s">
        <v>186</v>
      </c>
      <c r="M395">
        <v>17642.66</v>
      </c>
      <c r="N395" t="s">
        <v>2570</v>
      </c>
      <c r="O395" t="s">
        <v>2568</v>
      </c>
    </row>
    <row r="396" spans="1:15" x14ac:dyDescent="0.2">
      <c r="A396">
        <v>99</v>
      </c>
      <c r="B396" t="s">
        <v>2117</v>
      </c>
      <c r="C396" t="s">
        <v>4876</v>
      </c>
      <c r="D396" t="s">
        <v>1371</v>
      </c>
      <c r="E396" t="s">
        <v>2406</v>
      </c>
      <c r="F396">
        <v>0.19750000000000001</v>
      </c>
      <c r="G396">
        <v>0.22</v>
      </c>
      <c r="H396" t="s">
        <v>1781</v>
      </c>
      <c r="I396" t="s">
        <v>1052</v>
      </c>
      <c r="J396">
        <v>4.3450000000000003E-2</v>
      </c>
      <c r="K396">
        <v>7.2561499999999999</v>
      </c>
      <c r="L396" t="s">
        <v>4877</v>
      </c>
      <c r="M396">
        <v>167</v>
      </c>
      <c r="N396" t="s">
        <v>4878</v>
      </c>
      <c r="O396" t="s">
        <v>4879</v>
      </c>
    </row>
    <row r="397" spans="1:15" x14ac:dyDescent="0.2">
      <c r="A397">
        <v>99</v>
      </c>
      <c r="B397" t="s">
        <v>2117</v>
      </c>
      <c r="C397" t="s">
        <v>4876</v>
      </c>
      <c r="D397" t="s">
        <v>935</v>
      </c>
      <c r="E397" t="s">
        <v>1352</v>
      </c>
      <c r="F397">
        <v>0</v>
      </c>
      <c r="G397">
        <v>15.1457</v>
      </c>
      <c r="H397" t="s">
        <v>151</v>
      </c>
      <c r="I397" t="s">
        <v>1052</v>
      </c>
      <c r="J397">
        <v>0</v>
      </c>
      <c r="K397">
        <v>0</v>
      </c>
      <c r="L397" t="s">
        <v>4877</v>
      </c>
      <c r="M397">
        <v>167</v>
      </c>
      <c r="N397" t="s">
        <v>4880</v>
      </c>
      <c r="O397" t="s">
        <v>4879</v>
      </c>
    </row>
    <row r="398" spans="1:15" x14ac:dyDescent="0.2">
      <c r="A398">
        <v>99</v>
      </c>
      <c r="B398" t="s">
        <v>2117</v>
      </c>
      <c r="C398" t="s">
        <v>4876</v>
      </c>
      <c r="D398" t="s">
        <v>112</v>
      </c>
      <c r="E398" t="s">
        <v>1303</v>
      </c>
      <c r="F398">
        <v>1.0049999999999999</v>
      </c>
      <c r="G398">
        <v>5.9786000000000001</v>
      </c>
      <c r="H398" t="s">
        <v>1052</v>
      </c>
      <c r="I398" t="s">
        <v>1052</v>
      </c>
      <c r="J398">
        <v>6.0084929999999996</v>
      </c>
      <c r="K398">
        <v>1003.418331</v>
      </c>
      <c r="L398" t="s">
        <v>4877</v>
      </c>
      <c r="M398">
        <v>167</v>
      </c>
      <c r="N398" t="s">
        <v>4881</v>
      </c>
      <c r="O398" t="s">
        <v>4879</v>
      </c>
    </row>
    <row r="399" spans="1:15" x14ac:dyDescent="0.2">
      <c r="A399">
        <v>99</v>
      </c>
      <c r="B399" t="s">
        <v>2117</v>
      </c>
      <c r="C399" t="s">
        <v>4876</v>
      </c>
      <c r="D399" t="s">
        <v>1561</v>
      </c>
      <c r="E399" t="s">
        <v>1939</v>
      </c>
      <c r="F399">
        <v>2.5000000000000001E-2</v>
      </c>
      <c r="G399">
        <v>9.8886000000000003</v>
      </c>
      <c r="H399" t="s">
        <v>1052</v>
      </c>
      <c r="I399" t="s">
        <v>1052</v>
      </c>
      <c r="J399">
        <v>0.24721499999999999</v>
      </c>
      <c r="K399">
        <v>41.284905000000002</v>
      </c>
      <c r="L399" t="s">
        <v>4877</v>
      </c>
      <c r="M399">
        <v>167</v>
      </c>
      <c r="N399" t="s">
        <v>4882</v>
      </c>
      <c r="O399" t="s">
        <v>4879</v>
      </c>
    </row>
    <row r="400" spans="1:15" x14ac:dyDescent="0.2">
      <c r="A400">
        <v>99</v>
      </c>
      <c r="B400" t="s">
        <v>2117</v>
      </c>
      <c r="C400" t="s">
        <v>4876</v>
      </c>
      <c r="D400" t="s">
        <v>1553</v>
      </c>
      <c r="E400" t="s">
        <v>484</v>
      </c>
      <c r="F400">
        <v>1</v>
      </c>
      <c r="G400">
        <v>3.51</v>
      </c>
      <c r="H400" t="s">
        <v>1052</v>
      </c>
      <c r="I400" t="s">
        <v>1052</v>
      </c>
      <c r="J400">
        <v>3.51</v>
      </c>
      <c r="K400">
        <v>586.16999999999996</v>
      </c>
      <c r="L400" t="s">
        <v>4877</v>
      </c>
      <c r="M400">
        <v>167</v>
      </c>
      <c r="N400" t="s">
        <v>4883</v>
      </c>
      <c r="O400" t="s">
        <v>4879</v>
      </c>
    </row>
    <row r="401" spans="1:15" x14ac:dyDescent="0.2">
      <c r="A401">
        <v>99</v>
      </c>
      <c r="B401" t="s">
        <v>2117</v>
      </c>
      <c r="C401" t="s">
        <v>4876</v>
      </c>
      <c r="D401" t="s">
        <v>1505</v>
      </c>
      <c r="E401" t="s">
        <v>1976</v>
      </c>
      <c r="F401">
        <v>1</v>
      </c>
      <c r="G401">
        <v>0.87</v>
      </c>
      <c r="H401" t="s">
        <v>1052</v>
      </c>
      <c r="I401" t="s">
        <v>1052</v>
      </c>
      <c r="J401">
        <v>0.87</v>
      </c>
      <c r="K401">
        <v>145.29</v>
      </c>
      <c r="L401" t="s">
        <v>4877</v>
      </c>
      <c r="M401">
        <v>167</v>
      </c>
      <c r="N401" t="s">
        <v>4884</v>
      </c>
      <c r="O401" t="s">
        <v>4879</v>
      </c>
    </row>
    <row r="402" spans="1:15" x14ac:dyDescent="0.2">
      <c r="A402">
        <v>99</v>
      </c>
      <c r="B402" t="s">
        <v>2117</v>
      </c>
      <c r="C402" t="s">
        <v>4876</v>
      </c>
      <c r="D402" t="s">
        <v>498</v>
      </c>
      <c r="E402" t="s">
        <v>773</v>
      </c>
      <c r="F402">
        <v>1.2</v>
      </c>
      <c r="G402">
        <v>0</v>
      </c>
      <c r="H402" t="s">
        <v>84</v>
      </c>
      <c r="I402" t="s">
        <v>1052</v>
      </c>
      <c r="J402">
        <v>0</v>
      </c>
      <c r="K402">
        <v>0</v>
      </c>
      <c r="L402" t="s">
        <v>4877</v>
      </c>
      <c r="M402">
        <v>167</v>
      </c>
      <c r="N402" t="s">
        <v>4885</v>
      </c>
      <c r="O402" t="s">
        <v>4879</v>
      </c>
    </row>
    <row r="403" spans="1:15" x14ac:dyDescent="0.2">
      <c r="A403">
        <v>99</v>
      </c>
      <c r="B403" t="s">
        <v>2117</v>
      </c>
      <c r="C403" t="s">
        <v>4876</v>
      </c>
      <c r="D403" t="s">
        <v>792</v>
      </c>
      <c r="E403" t="s">
        <v>335</v>
      </c>
      <c r="F403">
        <v>0</v>
      </c>
      <c r="G403">
        <v>11.1343</v>
      </c>
      <c r="H403" t="s">
        <v>151</v>
      </c>
      <c r="I403" t="s">
        <v>1052</v>
      </c>
      <c r="J403">
        <v>0</v>
      </c>
      <c r="K403">
        <v>0</v>
      </c>
      <c r="L403" t="s">
        <v>4877</v>
      </c>
      <c r="M403">
        <v>167</v>
      </c>
      <c r="N403" t="s">
        <v>4886</v>
      </c>
      <c r="O403" t="s">
        <v>4879</v>
      </c>
    </row>
    <row r="404" spans="1:15" x14ac:dyDescent="0.2">
      <c r="A404">
        <v>99</v>
      </c>
      <c r="B404" t="s">
        <v>2117</v>
      </c>
      <c r="C404" t="s">
        <v>4887</v>
      </c>
      <c r="D404" t="s">
        <v>792</v>
      </c>
      <c r="E404" t="s">
        <v>335</v>
      </c>
      <c r="F404">
        <v>0</v>
      </c>
      <c r="G404">
        <v>11.1343</v>
      </c>
      <c r="H404" t="s">
        <v>151</v>
      </c>
      <c r="I404" t="s">
        <v>1052</v>
      </c>
      <c r="J404">
        <v>0</v>
      </c>
      <c r="K404">
        <v>0</v>
      </c>
      <c r="L404" t="s">
        <v>4888</v>
      </c>
      <c r="M404">
        <v>586</v>
      </c>
      <c r="N404" t="s">
        <v>4889</v>
      </c>
      <c r="O404" t="s">
        <v>4890</v>
      </c>
    </row>
    <row r="405" spans="1:15" x14ac:dyDescent="0.2">
      <c r="A405">
        <v>99</v>
      </c>
      <c r="B405" t="s">
        <v>2117</v>
      </c>
      <c r="C405" t="s">
        <v>4887</v>
      </c>
      <c r="D405" t="s">
        <v>498</v>
      </c>
      <c r="E405" t="s">
        <v>773</v>
      </c>
      <c r="F405">
        <v>1.2</v>
      </c>
      <c r="G405">
        <v>0</v>
      </c>
      <c r="H405" t="s">
        <v>84</v>
      </c>
      <c r="I405" t="s">
        <v>1052</v>
      </c>
      <c r="J405">
        <v>0</v>
      </c>
      <c r="K405">
        <v>0</v>
      </c>
      <c r="L405" t="s">
        <v>4888</v>
      </c>
      <c r="M405">
        <v>586</v>
      </c>
      <c r="N405" t="s">
        <v>4891</v>
      </c>
      <c r="O405" t="s">
        <v>4890</v>
      </c>
    </row>
    <row r="406" spans="1:15" x14ac:dyDescent="0.2">
      <c r="A406">
        <v>99</v>
      </c>
      <c r="B406" t="s">
        <v>2117</v>
      </c>
      <c r="C406" t="s">
        <v>4887</v>
      </c>
      <c r="D406" t="s">
        <v>1505</v>
      </c>
      <c r="E406" t="s">
        <v>1976</v>
      </c>
      <c r="F406">
        <v>1</v>
      </c>
      <c r="G406">
        <v>0.87</v>
      </c>
      <c r="H406" t="s">
        <v>1052</v>
      </c>
      <c r="I406" t="s">
        <v>1052</v>
      </c>
      <c r="J406">
        <v>0.87</v>
      </c>
      <c r="K406">
        <v>509.82</v>
      </c>
      <c r="L406" t="s">
        <v>4888</v>
      </c>
      <c r="M406">
        <v>586</v>
      </c>
      <c r="N406" t="s">
        <v>4892</v>
      </c>
      <c r="O406" t="s">
        <v>4890</v>
      </c>
    </row>
    <row r="407" spans="1:15" x14ac:dyDescent="0.2">
      <c r="A407">
        <v>99</v>
      </c>
      <c r="B407" t="s">
        <v>2117</v>
      </c>
      <c r="C407" t="s">
        <v>4887</v>
      </c>
      <c r="D407" t="s">
        <v>116</v>
      </c>
      <c r="E407" t="s">
        <v>516</v>
      </c>
      <c r="F407">
        <v>1.0049999999999999</v>
      </c>
      <c r="G407">
        <v>5.9786000000000001</v>
      </c>
      <c r="H407" t="s">
        <v>1052</v>
      </c>
      <c r="I407" t="s">
        <v>1052</v>
      </c>
      <c r="J407">
        <v>6.0084929999999996</v>
      </c>
      <c r="K407">
        <v>3520.9768979999999</v>
      </c>
      <c r="L407" t="s">
        <v>4888</v>
      </c>
      <c r="M407">
        <v>586</v>
      </c>
      <c r="N407" t="s">
        <v>4893</v>
      </c>
      <c r="O407" t="s">
        <v>4890</v>
      </c>
    </row>
    <row r="408" spans="1:15" x14ac:dyDescent="0.2">
      <c r="A408">
        <v>99</v>
      </c>
      <c r="B408" t="s">
        <v>2117</v>
      </c>
      <c r="C408" t="s">
        <v>4887</v>
      </c>
      <c r="D408" t="s">
        <v>1553</v>
      </c>
      <c r="E408" t="s">
        <v>484</v>
      </c>
      <c r="F408">
        <v>1</v>
      </c>
      <c r="G408">
        <v>3.51</v>
      </c>
      <c r="H408" t="s">
        <v>1052</v>
      </c>
      <c r="I408" t="s">
        <v>1052</v>
      </c>
      <c r="J408">
        <v>3.51</v>
      </c>
      <c r="K408">
        <v>2056.86</v>
      </c>
      <c r="L408" t="s">
        <v>4888</v>
      </c>
      <c r="M408">
        <v>586</v>
      </c>
      <c r="N408" t="s">
        <v>4894</v>
      </c>
      <c r="O408" t="s">
        <v>4890</v>
      </c>
    </row>
    <row r="409" spans="1:15" x14ac:dyDescent="0.2">
      <c r="A409">
        <v>99</v>
      </c>
      <c r="B409" t="s">
        <v>2117</v>
      </c>
      <c r="C409" t="s">
        <v>4887</v>
      </c>
      <c r="D409" t="s">
        <v>1561</v>
      </c>
      <c r="E409" t="s">
        <v>1939</v>
      </c>
      <c r="F409">
        <v>2.5000000000000001E-2</v>
      </c>
      <c r="G409">
        <v>9.8886000000000003</v>
      </c>
      <c r="H409" t="s">
        <v>1052</v>
      </c>
      <c r="I409" t="s">
        <v>1052</v>
      </c>
      <c r="J409">
        <v>0.24721499999999999</v>
      </c>
      <c r="K409">
        <v>144.86798999999999</v>
      </c>
      <c r="L409" t="s">
        <v>4888</v>
      </c>
      <c r="M409">
        <v>586</v>
      </c>
      <c r="N409" t="s">
        <v>4895</v>
      </c>
      <c r="O409" t="s">
        <v>4890</v>
      </c>
    </row>
    <row r="410" spans="1:15" x14ac:dyDescent="0.2">
      <c r="A410">
        <v>99</v>
      </c>
      <c r="B410" t="s">
        <v>2117</v>
      </c>
      <c r="C410" t="s">
        <v>4887</v>
      </c>
      <c r="D410" t="s">
        <v>935</v>
      </c>
      <c r="E410" t="s">
        <v>1352</v>
      </c>
      <c r="F410">
        <v>0</v>
      </c>
      <c r="G410">
        <v>15.1457</v>
      </c>
      <c r="H410" t="s">
        <v>151</v>
      </c>
      <c r="I410" t="s">
        <v>1052</v>
      </c>
      <c r="J410">
        <v>0</v>
      </c>
      <c r="K410">
        <v>0</v>
      </c>
      <c r="L410" t="s">
        <v>4888</v>
      </c>
      <c r="M410">
        <v>586</v>
      </c>
      <c r="N410" t="s">
        <v>4896</v>
      </c>
      <c r="O410" t="s">
        <v>4890</v>
      </c>
    </row>
    <row r="411" spans="1:15" x14ac:dyDescent="0.2">
      <c r="A411">
        <v>99</v>
      </c>
      <c r="B411" t="s">
        <v>2117</v>
      </c>
      <c r="C411" t="s">
        <v>4887</v>
      </c>
      <c r="D411" t="s">
        <v>1371</v>
      </c>
      <c r="E411" t="s">
        <v>2406</v>
      </c>
      <c r="F411">
        <v>0.13600000000000001</v>
      </c>
      <c r="G411">
        <v>0.22</v>
      </c>
      <c r="H411" t="s">
        <v>1781</v>
      </c>
      <c r="I411" t="s">
        <v>1052</v>
      </c>
      <c r="J411">
        <v>2.9919999999999999E-2</v>
      </c>
      <c r="K411">
        <v>17.53312</v>
      </c>
      <c r="L411" t="s">
        <v>4888</v>
      </c>
      <c r="M411">
        <v>586</v>
      </c>
      <c r="N411" t="s">
        <v>4897</v>
      </c>
      <c r="O411" t="s">
        <v>4890</v>
      </c>
    </row>
    <row r="412" spans="1:15" x14ac:dyDescent="0.2">
      <c r="A412">
        <v>99</v>
      </c>
      <c r="B412" t="s">
        <v>2117</v>
      </c>
      <c r="C412" t="s">
        <v>22</v>
      </c>
      <c r="D412" t="s">
        <v>1841</v>
      </c>
      <c r="E412" t="s">
        <v>1956</v>
      </c>
      <c r="F412">
        <v>1</v>
      </c>
      <c r="G412">
        <v>23.17</v>
      </c>
      <c r="H412" t="s">
        <v>1052</v>
      </c>
      <c r="I412" t="s">
        <v>1052</v>
      </c>
      <c r="J412">
        <v>23.17</v>
      </c>
      <c r="K412">
        <v>79797.48</v>
      </c>
      <c r="L412" t="s">
        <v>1701</v>
      </c>
      <c r="M412">
        <v>3444</v>
      </c>
      <c r="N412" t="s">
        <v>2576</v>
      </c>
      <c r="O412" t="s">
        <v>2577</v>
      </c>
    </row>
    <row r="413" spans="1:15" x14ac:dyDescent="0.2">
      <c r="A413">
        <v>99</v>
      </c>
      <c r="B413" t="s">
        <v>2117</v>
      </c>
      <c r="C413" t="s">
        <v>22</v>
      </c>
      <c r="D413" t="s">
        <v>1492</v>
      </c>
      <c r="E413" t="s">
        <v>828</v>
      </c>
      <c r="F413">
        <v>1</v>
      </c>
      <c r="G413">
        <v>11</v>
      </c>
      <c r="H413" t="s">
        <v>1052</v>
      </c>
      <c r="I413" t="s">
        <v>1052</v>
      </c>
      <c r="J413">
        <v>11</v>
      </c>
      <c r="K413">
        <v>37884</v>
      </c>
      <c r="L413" t="s">
        <v>1701</v>
      </c>
      <c r="M413">
        <v>3444</v>
      </c>
      <c r="N413" t="s">
        <v>2578</v>
      </c>
      <c r="O413" t="s">
        <v>2577</v>
      </c>
    </row>
    <row r="414" spans="1:15" x14ac:dyDescent="0.2">
      <c r="A414">
        <v>99</v>
      </c>
      <c r="B414" t="s">
        <v>2117</v>
      </c>
      <c r="C414" t="s">
        <v>24</v>
      </c>
      <c r="D414" t="s">
        <v>1713</v>
      </c>
      <c r="E414" t="s">
        <v>1540</v>
      </c>
      <c r="F414">
        <v>0.45500000000000002</v>
      </c>
      <c r="G414">
        <v>5.0599999999999996</v>
      </c>
      <c r="H414" t="s">
        <v>153</v>
      </c>
      <c r="I414" t="s">
        <v>1052</v>
      </c>
      <c r="J414">
        <v>2.3022999999999998</v>
      </c>
      <c r="K414">
        <v>13169.156000000001</v>
      </c>
      <c r="L414" t="s">
        <v>1768</v>
      </c>
      <c r="M414">
        <v>5720</v>
      </c>
      <c r="N414" t="s">
        <v>2581</v>
      </c>
      <c r="O414" t="s">
        <v>2580</v>
      </c>
    </row>
    <row r="415" spans="1:15" x14ac:dyDescent="0.2">
      <c r="A415">
        <v>99</v>
      </c>
      <c r="B415" t="s">
        <v>2117</v>
      </c>
      <c r="C415" t="s">
        <v>24</v>
      </c>
      <c r="D415" t="s">
        <v>1561</v>
      </c>
      <c r="E415" t="s">
        <v>1939</v>
      </c>
      <c r="F415">
        <v>1.0999999999999999E-2</v>
      </c>
      <c r="G415">
        <v>9.8886000000000003</v>
      </c>
      <c r="H415" t="s">
        <v>1052</v>
      </c>
      <c r="I415" t="s">
        <v>1052</v>
      </c>
      <c r="J415">
        <v>0.1087746</v>
      </c>
      <c r="K415">
        <v>622.19071199999996</v>
      </c>
      <c r="L415" t="s">
        <v>1768</v>
      </c>
      <c r="M415">
        <v>5720</v>
      </c>
      <c r="N415" t="s">
        <v>2582</v>
      </c>
      <c r="O415" t="s">
        <v>2580</v>
      </c>
    </row>
    <row r="416" spans="1:15" x14ac:dyDescent="0.2">
      <c r="A416">
        <v>99</v>
      </c>
      <c r="B416" t="s">
        <v>2117</v>
      </c>
      <c r="C416" t="s">
        <v>24</v>
      </c>
      <c r="D416" t="s">
        <v>1955</v>
      </c>
      <c r="E416" t="s">
        <v>556</v>
      </c>
      <c r="F416">
        <v>0.55500000000000005</v>
      </c>
      <c r="G416">
        <v>16.500499999999999</v>
      </c>
      <c r="H416" t="s">
        <v>1152</v>
      </c>
      <c r="I416" t="s">
        <v>1052</v>
      </c>
      <c r="J416">
        <v>9.1577774999999999</v>
      </c>
      <c r="K416">
        <v>52382.487300000001</v>
      </c>
      <c r="L416" t="s">
        <v>1768</v>
      </c>
      <c r="M416">
        <v>5720</v>
      </c>
      <c r="N416" t="s">
        <v>2579</v>
      </c>
      <c r="O416" t="s">
        <v>2580</v>
      </c>
    </row>
    <row r="417" spans="1:15" x14ac:dyDescent="0.2">
      <c r="A417">
        <v>99</v>
      </c>
      <c r="B417" t="s">
        <v>2117</v>
      </c>
      <c r="C417" t="s">
        <v>24</v>
      </c>
      <c r="D417" t="s">
        <v>1555</v>
      </c>
      <c r="E417" t="s">
        <v>177</v>
      </c>
      <c r="F417">
        <v>1</v>
      </c>
      <c r="G417">
        <v>3.51</v>
      </c>
      <c r="H417" t="s">
        <v>1052</v>
      </c>
      <c r="I417" t="s">
        <v>1052</v>
      </c>
      <c r="J417">
        <v>3.51</v>
      </c>
      <c r="K417">
        <v>20077.2</v>
      </c>
      <c r="L417" t="s">
        <v>1768</v>
      </c>
      <c r="M417">
        <v>5720</v>
      </c>
      <c r="N417" t="s">
        <v>2585</v>
      </c>
      <c r="O417" t="s">
        <v>2580</v>
      </c>
    </row>
    <row r="418" spans="1:15" x14ac:dyDescent="0.2">
      <c r="A418">
        <v>99</v>
      </c>
      <c r="B418" t="s">
        <v>2117</v>
      </c>
      <c r="C418" t="s">
        <v>24</v>
      </c>
      <c r="D418" t="s">
        <v>935</v>
      </c>
      <c r="E418" t="s">
        <v>1352</v>
      </c>
      <c r="F418">
        <v>0</v>
      </c>
      <c r="G418">
        <v>15.1457</v>
      </c>
      <c r="H418" t="s">
        <v>151</v>
      </c>
      <c r="I418" t="s">
        <v>1052</v>
      </c>
      <c r="J418">
        <v>0</v>
      </c>
      <c r="K418">
        <v>0</v>
      </c>
      <c r="L418" t="s">
        <v>1768</v>
      </c>
      <c r="M418">
        <v>5720</v>
      </c>
      <c r="N418" t="s">
        <v>2583</v>
      </c>
      <c r="O418" t="s">
        <v>2580</v>
      </c>
    </row>
    <row r="419" spans="1:15" x14ac:dyDescent="0.2">
      <c r="A419">
        <v>99</v>
      </c>
      <c r="B419" t="s">
        <v>2117</v>
      </c>
      <c r="C419" t="s">
        <v>24</v>
      </c>
      <c r="D419" t="s">
        <v>498</v>
      </c>
      <c r="E419" t="s">
        <v>773</v>
      </c>
      <c r="F419">
        <v>1.2</v>
      </c>
      <c r="G419">
        <v>0</v>
      </c>
      <c r="H419" t="s">
        <v>84</v>
      </c>
      <c r="I419" t="s">
        <v>1052</v>
      </c>
      <c r="J419">
        <v>0</v>
      </c>
      <c r="K419">
        <v>0</v>
      </c>
      <c r="L419" t="s">
        <v>1768</v>
      </c>
      <c r="M419">
        <v>5720</v>
      </c>
      <c r="N419" t="s">
        <v>2586</v>
      </c>
      <c r="O419" t="s">
        <v>2580</v>
      </c>
    </row>
    <row r="420" spans="1:15" x14ac:dyDescent="0.2">
      <c r="A420">
        <v>99</v>
      </c>
      <c r="B420" t="s">
        <v>2117</v>
      </c>
      <c r="C420" t="s">
        <v>24</v>
      </c>
      <c r="D420" t="s">
        <v>792</v>
      </c>
      <c r="E420" t="s">
        <v>335</v>
      </c>
      <c r="F420">
        <v>0</v>
      </c>
      <c r="G420">
        <v>11.1343</v>
      </c>
      <c r="H420" t="s">
        <v>151</v>
      </c>
      <c r="I420" t="s">
        <v>1052</v>
      </c>
      <c r="J420">
        <v>0</v>
      </c>
      <c r="K420">
        <v>0</v>
      </c>
      <c r="L420" t="s">
        <v>1768</v>
      </c>
      <c r="M420">
        <v>5720</v>
      </c>
      <c r="N420" t="s">
        <v>2584</v>
      </c>
      <c r="O420" t="s">
        <v>2580</v>
      </c>
    </row>
    <row r="421" spans="1:15" x14ac:dyDescent="0.2">
      <c r="A421">
        <v>99</v>
      </c>
      <c r="B421" t="s">
        <v>2117</v>
      </c>
      <c r="C421" t="s">
        <v>90</v>
      </c>
      <c r="D421" t="s">
        <v>792</v>
      </c>
      <c r="E421" t="s">
        <v>335</v>
      </c>
      <c r="F421">
        <v>0</v>
      </c>
      <c r="G421">
        <v>11.1343</v>
      </c>
      <c r="H421" t="s">
        <v>151</v>
      </c>
      <c r="I421" t="s">
        <v>1052</v>
      </c>
      <c r="J421">
        <v>0</v>
      </c>
      <c r="K421">
        <v>0</v>
      </c>
      <c r="L421" t="s">
        <v>180</v>
      </c>
      <c r="M421">
        <v>3485.32</v>
      </c>
      <c r="N421" t="s">
        <v>2592</v>
      </c>
      <c r="O421" t="s">
        <v>2588</v>
      </c>
    </row>
    <row r="422" spans="1:15" x14ac:dyDescent="0.2">
      <c r="A422">
        <v>99</v>
      </c>
      <c r="B422" t="s">
        <v>2117</v>
      </c>
      <c r="C422" t="s">
        <v>90</v>
      </c>
      <c r="D422" t="s">
        <v>498</v>
      </c>
      <c r="E422" t="s">
        <v>773</v>
      </c>
      <c r="F422">
        <v>1.2</v>
      </c>
      <c r="G422">
        <v>0</v>
      </c>
      <c r="H422" t="s">
        <v>84</v>
      </c>
      <c r="I422" t="s">
        <v>1052</v>
      </c>
      <c r="J422">
        <v>0</v>
      </c>
      <c r="K422">
        <v>0</v>
      </c>
      <c r="L422" t="s">
        <v>180</v>
      </c>
      <c r="M422">
        <v>3485.32</v>
      </c>
      <c r="N422" t="s">
        <v>2595</v>
      </c>
      <c r="O422" t="s">
        <v>2588</v>
      </c>
    </row>
    <row r="423" spans="1:15" x14ac:dyDescent="0.2">
      <c r="A423">
        <v>99</v>
      </c>
      <c r="B423" t="s">
        <v>2117</v>
      </c>
      <c r="C423" t="s">
        <v>90</v>
      </c>
      <c r="D423" t="s">
        <v>98</v>
      </c>
      <c r="E423" t="s">
        <v>667</v>
      </c>
      <c r="F423">
        <v>1.0049999999999999</v>
      </c>
      <c r="G423">
        <v>5.9442000000000004</v>
      </c>
      <c r="H423" t="s">
        <v>1052</v>
      </c>
      <c r="I423" t="s">
        <v>1052</v>
      </c>
      <c r="J423">
        <v>5.9739209999999998</v>
      </c>
      <c r="K423">
        <v>20821.02634</v>
      </c>
      <c r="L423" t="s">
        <v>180</v>
      </c>
      <c r="M423">
        <v>3485.32</v>
      </c>
      <c r="N423" t="s">
        <v>2587</v>
      </c>
      <c r="O423" t="s">
        <v>2588</v>
      </c>
    </row>
    <row r="424" spans="1:15" x14ac:dyDescent="0.2">
      <c r="A424">
        <v>99</v>
      </c>
      <c r="B424" t="s">
        <v>2117</v>
      </c>
      <c r="C424" t="s">
        <v>90</v>
      </c>
      <c r="D424" t="s">
        <v>1547</v>
      </c>
      <c r="E424" t="s">
        <v>1483</v>
      </c>
      <c r="F424">
        <v>1</v>
      </c>
      <c r="G424">
        <v>0.87</v>
      </c>
      <c r="H424" t="s">
        <v>1052</v>
      </c>
      <c r="I424" t="s">
        <v>1052</v>
      </c>
      <c r="J424">
        <v>0.87</v>
      </c>
      <c r="K424">
        <v>3032.2284</v>
      </c>
      <c r="L424" t="s">
        <v>180</v>
      </c>
      <c r="M424">
        <v>3485.32</v>
      </c>
      <c r="N424" t="s">
        <v>2593</v>
      </c>
      <c r="O424" t="s">
        <v>2588</v>
      </c>
    </row>
    <row r="425" spans="1:15" x14ac:dyDescent="0.2">
      <c r="A425">
        <v>99</v>
      </c>
      <c r="B425" t="s">
        <v>2117</v>
      </c>
      <c r="C425" t="s">
        <v>90</v>
      </c>
      <c r="D425" t="s">
        <v>935</v>
      </c>
      <c r="E425" t="s">
        <v>1352</v>
      </c>
      <c r="F425">
        <v>0</v>
      </c>
      <c r="G425">
        <v>15.1457</v>
      </c>
      <c r="H425" t="s">
        <v>151</v>
      </c>
      <c r="I425" t="s">
        <v>1052</v>
      </c>
      <c r="J425">
        <v>0</v>
      </c>
      <c r="K425">
        <v>0</v>
      </c>
      <c r="L425" t="s">
        <v>180</v>
      </c>
      <c r="M425">
        <v>3485.32</v>
      </c>
      <c r="N425" t="s">
        <v>2591</v>
      </c>
      <c r="O425" t="s">
        <v>2588</v>
      </c>
    </row>
    <row r="426" spans="1:15" x14ac:dyDescent="0.2">
      <c r="A426">
        <v>99</v>
      </c>
      <c r="B426" t="s">
        <v>2117</v>
      </c>
      <c r="C426" t="s">
        <v>90</v>
      </c>
      <c r="D426" t="s">
        <v>1555</v>
      </c>
      <c r="E426" t="s">
        <v>177</v>
      </c>
      <c r="F426">
        <v>1</v>
      </c>
      <c r="G426">
        <v>3.51</v>
      </c>
      <c r="H426" t="s">
        <v>1052</v>
      </c>
      <c r="I426" t="s">
        <v>1052</v>
      </c>
      <c r="J426">
        <v>3.51</v>
      </c>
      <c r="K426">
        <v>12233.4732</v>
      </c>
      <c r="L426" t="s">
        <v>180</v>
      </c>
      <c r="M426">
        <v>3485.32</v>
      </c>
      <c r="N426" t="s">
        <v>2594</v>
      </c>
      <c r="O426" t="s">
        <v>2588</v>
      </c>
    </row>
    <row r="427" spans="1:15" x14ac:dyDescent="0.2">
      <c r="A427">
        <v>99</v>
      </c>
      <c r="B427" t="s">
        <v>2117</v>
      </c>
      <c r="C427" t="s">
        <v>90</v>
      </c>
      <c r="D427" t="s">
        <v>1371</v>
      </c>
      <c r="E427" t="s">
        <v>2406</v>
      </c>
      <c r="F427">
        <v>1.9664999999999999</v>
      </c>
      <c r="G427">
        <v>0.22</v>
      </c>
      <c r="H427" t="s">
        <v>1781</v>
      </c>
      <c r="I427" t="s">
        <v>1052</v>
      </c>
      <c r="J427">
        <v>0.43263000000000001</v>
      </c>
      <c r="K427">
        <v>1507.8539920000001</v>
      </c>
      <c r="L427" t="s">
        <v>180</v>
      </c>
      <c r="M427">
        <v>3485.32</v>
      </c>
      <c r="N427" t="s">
        <v>2590</v>
      </c>
      <c r="O427" t="s">
        <v>2588</v>
      </c>
    </row>
    <row r="428" spans="1:15" x14ac:dyDescent="0.2">
      <c r="A428">
        <v>99</v>
      </c>
      <c r="B428" t="s">
        <v>2117</v>
      </c>
      <c r="C428" t="s">
        <v>90</v>
      </c>
      <c r="D428" t="s">
        <v>1561</v>
      </c>
      <c r="E428" t="s">
        <v>1939</v>
      </c>
      <c r="F428">
        <v>2.5000000000000001E-2</v>
      </c>
      <c r="G428">
        <v>9.8886000000000003</v>
      </c>
      <c r="H428" t="s">
        <v>1052</v>
      </c>
      <c r="I428" t="s">
        <v>1052</v>
      </c>
      <c r="J428">
        <v>0.24721499999999999</v>
      </c>
      <c r="K428">
        <v>861.62338399999999</v>
      </c>
      <c r="L428" t="s">
        <v>180</v>
      </c>
      <c r="M428">
        <v>3485.32</v>
      </c>
      <c r="N428" t="s">
        <v>2589</v>
      </c>
      <c r="O428" t="s">
        <v>2588</v>
      </c>
    </row>
    <row r="429" spans="1:15" x14ac:dyDescent="0.2">
      <c r="A429">
        <v>99</v>
      </c>
      <c r="B429" t="s">
        <v>2117</v>
      </c>
      <c r="C429" t="s">
        <v>95</v>
      </c>
      <c r="D429" t="s">
        <v>1561</v>
      </c>
      <c r="E429" t="s">
        <v>1939</v>
      </c>
      <c r="F429">
        <v>2.5000000000000001E-2</v>
      </c>
      <c r="G429">
        <v>9.8886000000000003</v>
      </c>
      <c r="H429" t="s">
        <v>1052</v>
      </c>
      <c r="I429" t="s">
        <v>1052</v>
      </c>
      <c r="J429">
        <v>0.24721499999999999</v>
      </c>
      <c r="K429">
        <v>1467.979975</v>
      </c>
      <c r="L429" t="s">
        <v>182</v>
      </c>
      <c r="M429">
        <v>5938.07</v>
      </c>
      <c r="N429" t="s">
        <v>2598</v>
      </c>
      <c r="O429" t="s">
        <v>2597</v>
      </c>
    </row>
    <row r="430" spans="1:15" x14ac:dyDescent="0.2">
      <c r="A430">
        <v>99</v>
      </c>
      <c r="B430" t="s">
        <v>2117</v>
      </c>
      <c r="C430" t="s">
        <v>95</v>
      </c>
      <c r="D430" t="s">
        <v>1371</v>
      </c>
      <c r="E430" t="s">
        <v>2406</v>
      </c>
      <c r="F430">
        <v>0.46550000000000002</v>
      </c>
      <c r="G430">
        <v>0.22</v>
      </c>
      <c r="H430" t="s">
        <v>1781</v>
      </c>
      <c r="I430" t="s">
        <v>1052</v>
      </c>
      <c r="J430">
        <v>0.10241</v>
      </c>
      <c r="K430">
        <v>608.117749</v>
      </c>
      <c r="L430" t="s">
        <v>182</v>
      </c>
      <c r="M430">
        <v>5938.07</v>
      </c>
      <c r="N430" t="s">
        <v>2599</v>
      </c>
      <c r="O430" t="s">
        <v>2597</v>
      </c>
    </row>
    <row r="431" spans="1:15" x14ac:dyDescent="0.2">
      <c r="A431">
        <v>99</v>
      </c>
      <c r="B431" t="s">
        <v>2117</v>
      </c>
      <c r="C431" t="s">
        <v>95</v>
      </c>
      <c r="D431" t="s">
        <v>1555</v>
      </c>
      <c r="E431" t="s">
        <v>177</v>
      </c>
      <c r="F431">
        <v>1</v>
      </c>
      <c r="G431">
        <v>3.51</v>
      </c>
      <c r="H431" t="s">
        <v>1052</v>
      </c>
      <c r="I431" t="s">
        <v>1052</v>
      </c>
      <c r="J431">
        <v>3.51</v>
      </c>
      <c r="K431">
        <v>20842.625700000001</v>
      </c>
      <c r="L431" t="s">
        <v>182</v>
      </c>
      <c r="M431">
        <v>5938.07</v>
      </c>
      <c r="N431" t="s">
        <v>2603</v>
      </c>
      <c r="O431" t="s">
        <v>2597</v>
      </c>
    </row>
    <row r="432" spans="1:15" x14ac:dyDescent="0.2">
      <c r="A432">
        <v>99</v>
      </c>
      <c r="B432" t="s">
        <v>2117</v>
      </c>
      <c r="C432" t="s">
        <v>95</v>
      </c>
      <c r="D432" t="s">
        <v>935</v>
      </c>
      <c r="E432" t="s">
        <v>1352</v>
      </c>
      <c r="F432">
        <v>0</v>
      </c>
      <c r="G432">
        <v>15.1457</v>
      </c>
      <c r="H432" t="s">
        <v>151</v>
      </c>
      <c r="I432" t="s">
        <v>1052</v>
      </c>
      <c r="J432">
        <v>0</v>
      </c>
      <c r="K432">
        <v>0</v>
      </c>
      <c r="L432" t="s">
        <v>182</v>
      </c>
      <c r="M432">
        <v>5938.07</v>
      </c>
      <c r="N432" t="s">
        <v>2600</v>
      </c>
      <c r="O432" t="s">
        <v>2597</v>
      </c>
    </row>
    <row r="433" spans="1:15" x14ac:dyDescent="0.2">
      <c r="A433">
        <v>99</v>
      </c>
      <c r="B433" t="s">
        <v>2117</v>
      </c>
      <c r="C433" t="s">
        <v>95</v>
      </c>
      <c r="D433" t="s">
        <v>107</v>
      </c>
      <c r="E433" t="s">
        <v>564</v>
      </c>
      <c r="F433">
        <v>1.0049999999999999</v>
      </c>
      <c r="G433">
        <v>6.1578999999999997</v>
      </c>
      <c r="H433" t="s">
        <v>1052</v>
      </c>
      <c r="I433" t="s">
        <v>1052</v>
      </c>
      <c r="J433">
        <v>6.1886894999999997</v>
      </c>
      <c r="K433">
        <v>36748.871459000002</v>
      </c>
      <c r="L433" t="s">
        <v>182</v>
      </c>
      <c r="M433">
        <v>5938.07</v>
      </c>
      <c r="N433" t="s">
        <v>2596</v>
      </c>
      <c r="O433" t="s">
        <v>2597</v>
      </c>
    </row>
    <row r="434" spans="1:15" x14ac:dyDescent="0.2">
      <c r="A434">
        <v>99</v>
      </c>
      <c r="B434" t="s">
        <v>2117</v>
      </c>
      <c r="C434" t="s">
        <v>95</v>
      </c>
      <c r="D434" t="s">
        <v>1547</v>
      </c>
      <c r="E434" t="s">
        <v>1483</v>
      </c>
      <c r="F434">
        <v>1</v>
      </c>
      <c r="G434">
        <v>0.87</v>
      </c>
      <c r="H434" t="s">
        <v>1052</v>
      </c>
      <c r="I434" t="s">
        <v>1052</v>
      </c>
      <c r="J434">
        <v>0.87</v>
      </c>
      <c r="K434">
        <v>5166.1208999999999</v>
      </c>
      <c r="L434" t="s">
        <v>182</v>
      </c>
      <c r="M434">
        <v>5938.07</v>
      </c>
      <c r="N434" t="s">
        <v>2602</v>
      </c>
      <c r="O434" t="s">
        <v>2597</v>
      </c>
    </row>
    <row r="435" spans="1:15" x14ac:dyDescent="0.2">
      <c r="A435">
        <v>99</v>
      </c>
      <c r="B435" t="s">
        <v>2117</v>
      </c>
      <c r="C435" t="s">
        <v>95</v>
      </c>
      <c r="D435" t="s">
        <v>498</v>
      </c>
      <c r="E435" t="s">
        <v>773</v>
      </c>
      <c r="F435">
        <v>1.2</v>
      </c>
      <c r="G435">
        <v>0</v>
      </c>
      <c r="H435" t="s">
        <v>84</v>
      </c>
      <c r="I435" t="s">
        <v>1052</v>
      </c>
      <c r="J435">
        <v>0</v>
      </c>
      <c r="K435">
        <v>0</v>
      </c>
      <c r="L435" t="s">
        <v>182</v>
      </c>
      <c r="M435">
        <v>5938.07</v>
      </c>
      <c r="N435" t="s">
        <v>2604</v>
      </c>
      <c r="O435" t="s">
        <v>2597</v>
      </c>
    </row>
    <row r="436" spans="1:15" x14ac:dyDescent="0.2">
      <c r="A436">
        <v>99</v>
      </c>
      <c r="B436" t="s">
        <v>2117</v>
      </c>
      <c r="C436" t="s">
        <v>95</v>
      </c>
      <c r="D436" t="s">
        <v>792</v>
      </c>
      <c r="E436" t="s">
        <v>335</v>
      </c>
      <c r="F436">
        <v>0</v>
      </c>
      <c r="G436">
        <v>11.1343</v>
      </c>
      <c r="H436" t="s">
        <v>151</v>
      </c>
      <c r="I436" t="s">
        <v>1052</v>
      </c>
      <c r="J436">
        <v>0</v>
      </c>
      <c r="K436">
        <v>0</v>
      </c>
      <c r="L436" t="s">
        <v>182</v>
      </c>
      <c r="M436">
        <v>5938.07</v>
      </c>
      <c r="N436" t="s">
        <v>2601</v>
      </c>
      <c r="O436" t="s">
        <v>2597</v>
      </c>
    </row>
    <row r="437" spans="1:15" x14ac:dyDescent="0.2">
      <c r="A437">
        <v>99</v>
      </c>
      <c r="B437" t="s">
        <v>2117</v>
      </c>
      <c r="C437" t="s">
        <v>158</v>
      </c>
      <c r="D437" t="s">
        <v>792</v>
      </c>
      <c r="E437" t="s">
        <v>335</v>
      </c>
      <c r="F437">
        <v>0</v>
      </c>
      <c r="G437">
        <v>11.1343</v>
      </c>
      <c r="H437" t="s">
        <v>151</v>
      </c>
      <c r="I437" t="s">
        <v>1052</v>
      </c>
      <c r="J437">
        <v>0</v>
      </c>
      <c r="K437">
        <v>0</v>
      </c>
      <c r="L437" t="s">
        <v>1679</v>
      </c>
      <c r="M437">
        <v>82376.09</v>
      </c>
      <c r="N437" t="s">
        <v>2610</v>
      </c>
      <c r="O437" t="s">
        <v>2606</v>
      </c>
    </row>
    <row r="438" spans="1:15" x14ac:dyDescent="0.2">
      <c r="A438">
        <v>99</v>
      </c>
      <c r="B438" t="s">
        <v>2117</v>
      </c>
      <c r="C438" t="s">
        <v>158</v>
      </c>
      <c r="D438" t="s">
        <v>498</v>
      </c>
      <c r="E438" t="s">
        <v>773</v>
      </c>
      <c r="F438">
        <v>1.2</v>
      </c>
      <c r="G438">
        <v>0</v>
      </c>
      <c r="H438" t="s">
        <v>84</v>
      </c>
      <c r="I438" t="s">
        <v>1052</v>
      </c>
      <c r="J438">
        <v>0</v>
      </c>
      <c r="K438">
        <v>0</v>
      </c>
      <c r="L438" t="s">
        <v>1679</v>
      </c>
      <c r="M438">
        <v>82376.09</v>
      </c>
      <c r="N438" t="s">
        <v>2613</v>
      </c>
      <c r="O438" t="s">
        <v>2606</v>
      </c>
    </row>
    <row r="439" spans="1:15" x14ac:dyDescent="0.2">
      <c r="A439">
        <v>99</v>
      </c>
      <c r="B439" t="s">
        <v>2117</v>
      </c>
      <c r="C439" t="s">
        <v>158</v>
      </c>
      <c r="D439" t="s">
        <v>1547</v>
      </c>
      <c r="E439" t="s">
        <v>1483</v>
      </c>
      <c r="F439">
        <v>1</v>
      </c>
      <c r="G439">
        <v>0.87</v>
      </c>
      <c r="H439" t="s">
        <v>1052</v>
      </c>
      <c r="I439" t="s">
        <v>1052</v>
      </c>
      <c r="J439">
        <v>0.87</v>
      </c>
      <c r="K439">
        <v>71667.198300000004</v>
      </c>
      <c r="L439" t="s">
        <v>1679</v>
      </c>
      <c r="M439">
        <v>82376.09</v>
      </c>
      <c r="N439" t="s">
        <v>2611</v>
      </c>
      <c r="O439" t="s">
        <v>2606</v>
      </c>
    </row>
    <row r="440" spans="1:15" x14ac:dyDescent="0.2">
      <c r="A440">
        <v>99</v>
      </c>
      <c r="B440" t="s">
        <v>2117</v>
      </c>
      <c r="C440" t="s">
        <v>158</v>
      </c>
      <c r="D440" t="s">
        <v>98</v>
      </c>
      <c r="E440" t="s">
        <v>667</v>
      </c>
      <c r="F440">
        <v>1.0049999999999999</v>
      </c>
      <c r="G440">
        <v>5.9442000000000004</v>
      </c>
      <c r="H440" t="s">
        <v>1052</v>
      </c>
      <c r="I440" t="s">
        <v>1052</v>
      </c>
      <c r="J440">
        <v>5.9739209999999998</v>
      </c>
      <c r="K440">
        <v>492108.25394899998</v>
      </c>
      <c r="L440" t="s">
        <v>1679</v>
      </c>
      <c r="M440">
        <v>82376.09</v>
      </c>
      <c r="N440" t="s">
        <v>2605</v>
      </c>
      <c r="O440" t="s">
        <v>2606</v>
      </c>
    </row>
    <row r="441" spans="1:15" x14ac:dyDescent="0.2">
      <c r="A441">
        <v>99</v>
      </c>
      <c r="B441" t="s">
        <v>2117</v>
      </c>
      <c r="C441" t="s">
        <v>158</v>
      </c>
      <c r="D441" t="s">
        <v>935</v>
      </c>
      <c r="E441" t="s">
        <v>1352</v>
      </c>
      <c r="F441">
        <v>0</v>
      </c>
      <c r="G441">
        <v>15.1457</v>
      </c>
      <c r="H441" t="s">
        <v>151</v>
      </c>
      <c r="I441" t="s">
        <v>1052</v>
      </c>
      <c r="J441">
        <v>0</v>
      </c>
      <c r="K441">
        <v>0</v>
      </c>
      <c r="L441" t="s">
        <v>1679</v>
      </c>
      <c r="M441">
        <v>82376.09</v>
      </c>
      <c r="N441" t="s">
        <v>2609</v>
      </c>
      <c r="O441" t="s">
        <v>2606</v>
      </c>
    </row>
    <row r="442" spans="1:15" x14ac:dyDescent="0.2">
      <c r="A442">
        <v>99</v>
      </c>
      <c r="B442" t="s">
        <v>2117</v>
      </c>
      <c r="C442" t="s">
        <v>158</v>
      </c>
      <c r="D442" t="s">
        <v>1555</v>
      </c>
      <c r="E442" t="s">
        <v>177</v>
      </c>
      <c r="F442">
        <v>1</v>
      </c>
      <c r="G442">
        <v>3.51</v>
      </c>
      <c r="H442" t="s">
        <v>1052</v>
      </c>
      <c r="I442" t="s">
        <v>1052</v>
      </c>
      <c r="J442">
        <v>3.51</v>
      </c>
      <c r="K442">
        <v>289140.0759</v>
      </c>
      <c r="L442" t="s">
        <v>1679</v>
      </c>
      <c r="M442">
        <v>82376.09</v>
      </c>
      <c r="N442" t="s">
        <v>2612</v>
      </c>
      <c r="O442" t="s">
        <v>2606</v>
      </c>
    </row>
    <row r="443" spans="1:15" x14ac:dyDescent="0.2">
      <c r="A443">
        <v>99</v>
      </c>
      <c r="B443" t="s">
        <v>2117</v>
      </c>
      <c r="C443" t="s">
        <v>158</v>
      </c>
      <c r="D443" t="s">
        <v>1371</v>
      </c>
      <c r="E443" t="s">
        <v>2406</v>
      </c>
      <c r="F443">
        <v>1.19</v>
      </c>
      <c r="G443">
        <v>0.22</v>
      </c>
      <c r="H443" t="s">
        <v>1781</v>
      </c>
      <c r="I443" t="s">
        <v>1052</v>
      </c>
      <c r="J443">
        <v>0.26179999999999998</v>
      </c>
      <c r="K443">
        <v>21566.060362</v>
      </c>
      <c r="L443" t="s">
        <v>1679</v>
      </c>
      <c r="M443">
        <v>82376.09</v>
      </c>
      <c r="N443" t="s">
        <v>2608</v>
      </c>
      <c r="O443" t="s">
        <v>2606</v>
      </c>
    </row>
    <row r="444" spans="1:15" x14ac:dyDescent="0.2">
      <c r="A444">
        <v>99</v>
      </c>
      <c r="B444" t="s">
        <v>2117</v>
      </c>
      <c r="C444" t="s">
        <v>158</v>
      </c>
      <c r="D444" t="s">
        <v>1561</v>
      </c>
      <c r="E444" t="s">
        <v>1939</v>
      </c>
      <c r="F444">
        <v>2.5000000000000001E-2</v>
      </c>
      <c r="G444">
        <v>9.8886000000000003</v>
      </c>
      <c r="H444" t="s">
        <v>1052</v>
      </c>
      <c r="I444" t="s">
        <v>1052</v>
      </c>
      <c r="J444">
        <v>0.24721499999999999</v>
      </c>
      <c r="K444">
        <v>20364.605089000001</v>
      </c>
      <c r="L444" t="s">
        <v>1679</v>
      </c>
      <c r="M444">
        <v>82376.09</v>
      </c>
      <c r="N444" t="s">
        <v>2607</v>
      </c>
      <c r="O444" t="s">
        <v>2606</v>
      </c>
    </row>
    <row r="445" spans="1:15" x14ac:dyDescent="0.2">
      <c r="A445">
        <v>99</v>
      </c>
      <c r="B445" t="s">
        <v>2117</v>
      </c>
      <c r="C445" t="s">
        <v>161</v>
      </c>
      <c r="D445" t="s">
        <v>1561</v>
      </c>
      <c r="E445" t="s">
        <v>1939</v>
      </c>
      <c r="F445">
        <v>2.5000000000000001E-2</v>
      </c>
      <c r="G445">
        <v>9.8886000000000003</v>
      </c>
      <c r="H445" t="s">
        <v>1052</v>
      </c>
      <c r="I445" t="s">
        <v>1052</v>
      </c>
      <c r="J445">
        <v>0.24721499999999999</v>
      </c>
      <c r="K445">
        <v>16661.808931</v>
      </c>
      <c r="L445" t="s">
        <v>1683</v>
      </c>
      <c r="M445">
        <v>67398.05</v>
      </c>
      <c r="N445" t="s">
        <v>2616</v>
      </c>
      <c r="O445" t="s">
        <v>2615</v>
      </c>
    </row>
    <row r="446" spans="1:15" x14ac:dyDescent="0.2">
      <c r="A446">
        <v>99</v>
      </c>
      <c r="B446" t="s">
        <v>2117</v>
      </c>
      <c r="C446" t="s">
        <v>161</v>
      </c>
      <c r="D446" t="s">
        <v>1371</v>
      </c>
      <c r="E446" t="s">
        <v>2406</v>
      </c>
      <c r="F446">
        <v>0.97</v>
      </c>
      <c r="G446">
        <v>0.22</v>
      </c>
      <c r="H446" t="s">
        <v>1781</v>
      </c>
      <c r="I446" t="s">
        <v>1052</v>
      </c>
      <c r="J446">
        <v>0.21340000000000001</v>
      </c>
      <c r="K446">
        <v>14382.74387</v>
      </c>
      <c r="L446" t="s">
        <v>1683</v>
      </c>
      <c r="M446">
        <v>67398.05</v>
      </c>
      <c r="N446" t="s">
        <v>2617</v>
      </c>
      <c r="O446" t="s">
        <v>2615</v>
      </c>
    </row>
    <row r="447" spans="1:15" x14ac:dyDescent="0.2">
      <c r="A447">
        <v>99</v>
      </c>
      <c r="B447" t="s">
        <v>2117</v>
      </c>
      <c r="C447" t="s">
        <v>161</v>
      </c>
      <c r="D447" t="s">
        <v>1555</v>
      </c>
      <c r="E447" t="s">
        <v>177</v>
      </c>
      <c r="F447">
        <v>1</v>
      </c>
      <c r="G447">
        <v>3.51</v>
      </c>
      <c r="H447" t="s">
        <v>1052</v>
      </c>
      <c r="I447" t="s">
        <v>1052</v>
      </c>
      <c r="J447">
        <v>3.51</v>
      </c>
      <c r="K447">
        <v>236567.15549999999</v>
      </c>
      <c r="L447" t="s">
        <v>1683</v>
      </c>
      <c r="M447">
        <v>67398.05</v>
      </c>
      <c r="N447" t="s">
        <v>2621</v>
      </c>
      <c r="O447" t="s">
        <v>2615</v>
      </c>
    </row>
    <row r="448" spans="1:15" x14ac:dyDescent="0.2">
      <c r="A448">
        <v>99</v>
      </c>
      <c r="B448" t="s">
        <v>2117</v>
      </c>
      <c r="C448" t="s">
        <v>161</v>
      </c>
      <c r="D448" t="s">
        <v>935</v>
      </c>
      <c r="E448" t="s">
        <v>1352</v>
      </c>
      <c r="F448">
        <v>0</v>
      </c>
      <c r="G448">
        <v>15.1457</v>
      </c>
      <c r="H448" t="s">
        <v>151</v>
      </c>
      <c r="I448" t="s">
        <v>1052</v>
      </c>
      <c r="J448">
        <v>0</v>
      </c>
      <c r="K448">
        <v>0</v>
      </c>
      <c r="L448" t="s">
        <v>1683</v>
      </c>
      <c r="M448">
        <v>67398.05</v>
      </c>
      <c r="N448" t="s">
        <v>2618</v>
      </c>
      <c r="O448" t="s">
        <v>2615</v>
      </c>
    </row>
    <row r="449" spans="1:15" x14ac:dyDescent="0.2">
      <c r="A449">
        <v>99</v>
      </c>
      <c r="B449" t="s">
        <v>2117</v>
      </c>
      <c r="C449" t="s">
        <v>161</v>
      </c>
      <c r="D449" t="s">
        <v>102</v>
      </c>
      <c r="E449" t="s">
        <v>759</v>
      </c>
      <c r="F449">
        <v>1.0049999999999999</v>
      </c>
      <c r="G449">
        <v>5.5869</v>
      </c>
      <c r="H449" t="s">
        <v>1052</v>
      </c>
      <c r="I449" t="s">
        <v>1052</v>
      </c>
      <c r="J449">
        <v>5.6148344999999997</v>
      </c>
      <c r="K449">
        <v>378428.896373</v>
      </c>
      <c r="L449" t="s">
        <v>1683</v>
      </c>
      <c r="M449">
        <v>67398.05</v>
      </c>
      <c r="N449" t="s">
        <v>2614</v>
      </c>
      <c r="O449" t="s">
        <v>2615</v>
      </c>
    </row>
    <row r="450" spans="1:15" x14ac:dyDescent="0.2">
      <c r="A450">
        <v>99</v>
      </c>
      <c r="B450" t="s">
        <v>2117</v>
      </c>
      <c r="C450" t="s">
        <v>161</v>
      </c>
      <c r="D450" t="s">
        <v>1547</v>
      </c>
      <c r="E450" t="s">
        <v>1483</v>
      </c>
      <c r="F450">
        <v>1</v>
      </c>
      <c r="G450">
        <v>0.87</v>
      </c>
      <c r="H450" t="s">
        <v>1052</v>
      </c>
      <c r="I450" t="s">
        <v>1052</v>
      </c>
      <c r="J450">
        <v>0.87</v>
      </c>
      <c r="K450">
        <v>58636.303500000002</v>
      </c>
      <c r="L450" t="s">
        <v>1683</v>
      </c>
      <c r="M450">
        <v>67398.05</v>
      </c>
      <c r="N450" t="s">
        <v>2620</v>
      </c>
      <c r="O450" t="s">
        <v>2615</v>
      </c>
    </row>
    <row r="451" spans="1:15" x14ac:dyDescent="0.2">
      <c r="A451">
        <v>99</v>
      </c>
      <c r="B451" t="s">
        <v>2117</v>
      </c>
      <c r="C451" t="s">
        <v>161</v>
      </c>
      <c r="D451" t="s">
        <v>498</v>
      </c>
      <c r="E451" t="s">
        <v>773</v>
      </c>
      <c r="F451">
        <v>1.2</v>
      </c>
      <c r="G451">
        <v>0</v>
      </c>
      <c r="H451" t="s">
        <v>84</v>
      </c>
      <c r="I451" t="s">
        <v>1052</v>
      </c>
      <c r="J451">
        <v>0</v>
      </c>
      <c r="K451">
        <v>0</v>
      </c>
      <c r="L451" t="s">
        <v>1683</v>
      </c>
      <c r="M451">
        <v>67398.05</v>
      </c>
      <c r="N451" t="s">
        <v>2622</v>
      </c>
      <c r="O451" t="s">
        <v>2615</v>
      </c>
    </row>
    <row r="452" spans="1:15" x14ac:dyDescent="0.2">
      <c r="A452">
        <v>99</v>
      </c>
      <c r="B452" t="s">
        <v>2117</v>
      </c>
      <c r="C452" t="s">
        <v>161</v>
      </c>
      <c r="D452" t="s">
        <v>792</v>
      </c>
      <c r="E452" t="s">
        <v>335</v>
      </c>
      <c r="F452">
        <v>0</v>
      </c>
      <c r="G452">
        <v>11.1343</v>
      </c>
      <c r="H452" t="s">
        <v>151</v>
      </c>
      <c r="I452" t="s">
        <v>1052</v>
      </c>
      <c r="J452">
        <v>0</v>
      </c>
      <c r="K452">
        <v>0</v>
      </c>
      <c r="L452" t="s">
        <v>1683</v>
      </c>
      <c r="M452">
        <v>67398.05</v>
      </c>
      <c r="N452" t="s">
        <v>2619</v>
      </c>
      <c r="O452" t="s">
        <v>2615</v>
      </c>
    </row>
    <row r="453" spans="1:15" x14ac:dyDescent="0.2">
      <c r="A453">
        <v>99</v>
      </c>
      <c r="B453" t="s">
        <v>2117</v>
      </c>
      <c r="C453" t="s">
        <v>203</v>
      </c>
      <c r="D453" t="s">
        <v>792</v>
      </c>
      <c r="E453" t="s">
        <v>335</v>
      </c>
      <c r="F453">
        <v>0</v>
      </c>
      <c r="G453">
        <v>11.1343</v>
      </c>
      <c r="H453" t="s">
        <v>151</v>
      </c>
      <c r="I453" t="s">
        <v>1052</v>
      </c>
      <c r="J453">
        <v>0</v>
      </c>
      <c r="K453">
        <v>0</v>
      </c>
      <c r="L453" t="s">
        <v>1687</v>
      </c>
      <c r="M453">
        <v>30360.19</v>
      </c>
      <c r="N453" t="s">
        <v>2631</v>
      </c>
      <c r="O453" t="s">
        <v>2624</v>
      </c>
    </row>
    <row r="454" spans="1:15" x14ac:dyDescent="0.2">
      <c r="A454">
        <v>99</v>
      </c>
      <c r="B454" t="s">
        <v>2117</v>
      </c>
      <c r="C454" t="s">
        <v>203</v>
      </c>
      <c r="D454" t="s">
        <v>498</v>
      </c>
      <c r="E454" t="s">
        <v>773</v>
      </c>
      <c r="F454">
        <v>1.2</v>
      </c>
      <c r="G454">
        <v>0</v>
      </c>
      <c r="H454" t="s">
        <v>84</v>
      </c>
      <c r="I454" t="s">
        <v>1052</v>
      </c>
      <c r="J454">
        <v>0</v>
      </c>
      <c r="K454">
        <v>0</v>
      </c>
      <c r="L454" t="s">
        <v>1687</v>
      </c>
      <c r="M454">
        <v>30360.19</v>
      </c>
      <c r="N454" t="s">
        <v>2626</v>
      </c>
      <c r="O454" t="s">
        <v>2624</v>
      </c>
    </row>
    <row r="455" spans="1:15" x14ac:dyDescent="0.2">
      <c r="A455">
        <v>99</v>
      </c>
      <c r="B455" t="s">
        <v>2117</v>
      </c>
      <c r="C455" t="s">
        <v>203</v>
      </c>
      <c r="D455" t="s">
        <v>1547</v>
      </c>
      <c r="E455" t="s">
        <v>1483</v>
      </c>
      <c r="F455">
        <v>1</v>
      </c>
      <c r="G455">
        <v>0.87</v>
      </c>
      <c r="H455" t="s">
        <v>1052</v>
      </c>
      <c r="I455" t="s">
        <v>1052</v>
      </c>
      <c r="J455">
        <v>0.87</v>
      </c>
      <c r="K455">
        <v>26413.365300000001</v>
      </c>
      <c r="L455" t="s">
        <v>1687</v>
      </c>
      <c r="M455">
        <v>30360.19</v>
      </c>
      <c r="N455" t="s">
        <v>2623</v>
      </c>
      <c r="O455" t="s">
        <v>2624</v>
      </c>
    </row>
    <row r="456" spans="1:15" x14ac:dyDescent="0.2">
      <c r="A456">
        <v>99</v>
      </c>
      <c r="B456" t="s">
        <v>2117</v>
      </c>
      <c r="C456" t="s">
        <v>203</v>
      </c>
      <c r="D456" t="s">
        <v>935</v>
      </c>
      <c r="E456" t="s">
        <v>1352</v>
      </c>
      <c r="F456">
        <v>0</v>
      </c>
      <c r="G456">
        <v>15.1457</v>
      </c>
      <c r="H456" t="s">
        <v>151</v>
      </c>
      <c r="I456" t="s">
        <v>1052</v>
      </c>
      <c r="J456">
        <v>0</v>
      </c>
      <c r="K456">
        <v>0</v>
      </c>
      <c r="L456" t="s">
        <v>1687</v>
      </c>
      <c r="M456">
        <v>30360.19</v>
      </c>
      <c r="N456" t="s">
        <v>2630</v>
      </c>
      <c r="O456" t="s">
        <v>2624</v>
      </c>
    </row>
    <row r="457" spans="1:15" x14ac:dyDescent="0.2">
      <c r="A457">
        <v>99</v>
      </c>
      <c r="B457" t="s">
        <v>2117</v>
      </c>
      <c r="C457" t="s">
        <v>203</v>
      </c>
      <c r="D457" t="s">
        <v>1555</v>
      </c>
      <c r="E457" t="s">
        <v>177</v>
      </c>
      <c r="F457">
        <v>1</v>
      </c>
      <c r="G457">
        <v>3.51</v>
      </c>
      <c r="H457" t="s">
        <v>1052</v>
      </c>
      <c r="I457" t="s">
        <v>1052</v>
      </c>
      <c r="J457">
        <v>3.51</v>
      </c>
      <c r="K457">
        <v>106564.2669</v>
      </c>
      <c r="L457" t="s">
        <v>1687</v>
      </c>
      <c r="M457">
        <v>30360.19</v>
      </c>
      <c r="N457" t="s">
        <v>2625</v>
      </c>
      <c r="O457" t="s">
        <v>2624</v>
      </c>
    </row>
    <row r="458" spans="1:15" x14ac:dyDescent="0.2">
      <c r="A458">
        <v>99</v>
      </c>
      <c r="B458" t="s">
        <v>2117</v>
      </c>
      <c r="C458" t="s">
        <v>203</v>
      </c>
      <c r="D458" t="s">
        <v>1371</v>
      </c>
      <c r="E458" t="s">
        <v>2406</v>
      </c>
      <c r="F458">
        <v>0.74299999999999999</v>
      </c>
      <c r="G458">
        <v>0.22</v>
      </c>
      <c r="H458" t="s">
        <v>1781</v>
      </c>
      <c r="I458" t="s">
        <v>1052</v>
      </c>
      <c r="J458">
        <v>0.16345999999999999</v>
      </c>
      <c r="K458">
        <v>4962.676657</v>
      </c>
      <c r="L458" t="s">
        <v>1687</v>
      </c>
      <c r="M458">
        <v>30360.19</v>
      </c>
      <c r="N458" t="s">
        <v>2629</v>
      </c>
      <c r="O458" t="s">
        <v>2624</v>
      </c>
    </row>
    <row r="459" spans="1:15" x14ac:dyDescent="0.2">
      <c r="A459">
        <v>99</v>
      </c>
      <c r="B459" t="s">
        <v>2117</v>
      </c>
      <c r="C459" t="s">
        <v>203</v>
      </c>
      <c r="D459" t="s">
        <v>1561</v>
      </c>
      <c r="E459" t="s">
        <v>1939</v>
      </c>
      <c r="F459">
        <v>2.5000000000000001E-2</v>
      </c>
      <c r="G459">
        <v>9.8886000000000003</v>
      </c>
      <c r="H459" t="s">
        <v>1052</v>
      </c>
      <c r="I459" t="s">
        <v>1052</v>
      </c>
      <c r="J459">
        <v>0.24721499999999999</v>
      </c>
      <c r="K459">
        <v>7505.4943709999998</v>
      </c>
      <c r="L459" t="s">
        <v>1687</v>
      </c>
      <c r="M459">
        <v>30360.19</v>
      </c>
      <c r="N459" t="s">
        <v>2628</v>
      </c>
      <c r="O459" t="s">
        <v>2624</v>
      </c>
    </row>
    <row r="460" spans="1:15" x14ac:dyDescent="0.2">
      <c r="A460">
        <v>99</v>
      </c>
      <c r="B460" t="s">
        <v>2117</v>
      </c>
      <c r="C460" t="s">
        <v>203</v>
      </c>
      <c r="D460" t="s">
        <v>105</v>
      </c>
      <c r="E460" t="s">
        <v>707</v>
      </c>
      <c r="F460">
        <v>1.0049999999999999</v>
      </c>
      <c r="G460">
        <v>5.5869</v>
      </c>
      <c r="H460" t="s">
        <v>1052</v>
      </c>
      <c r="I460" t="s">
        <v>1052</v>
      </c>
      <c r="J460">
        <v>5.6148344999999997</v>
      </c>
      <c r="K460">
        <v>170467.442239</v>
      </c>
      <c r="L460" t="s">
        <v>1687</v>
      </c>
      <c r="M460">
        <v>30360.19</v>
      </c>
      <c r="N460" t="s">
        <v>2627</v>
      </c>
      <c r="O460" t="s">
        <v>2624</v>
      </c>
    </row>
    <row r="461" spans="1:15" x14ac:dyDescent="0.2">
      <c r="A461">
        <v>99</v>
      </c>
      <c r="B461" t="s">
        <v>2117</v>
      </c>
      <c r="C461" t="s">
        <v>206</v>
      </c>
      <c r="D461" t="s">
        <v>1561</v>
      </c>
      <c r="E461" t="s">
        <v>1939</v>
      </c>
      <c r="F461">
        <v>2.5000000000000001E-2</v>
      </c>
      <c r="G461">
        <v>9.8886000000000003</v>
      </c>
      <c r="H461" t="s">
        <v>1052</v>
      </c>
      <c r="I461" t="s">
        <v>1052</v>
      </c>
      <c r="J461">
        <v>0.24721499999999999</v>
      </c>
      <c r="K461">
        <v>21034.846980999999</v>
      </c>
      <c r="L461" t="s">
        <v>1689</v>
      </c>
      <c r="M461">
        <v>85087.26</v>
      </c>
      <c r="N461" t="s">
        <v>2634</v>
      </c>
      <c r="O461" t="s">
        <v>2633</v>
      </c>
    </row>
    <row r="462" spans="1:15" x14ac:dyDescent="0.2">
      <c r="A462">
        <v>99</v>
      </c>
      <c r="B462" t="s">
        <v>2117</v>
      </c>
      <c r="C462" t="s">
        <v>206</v>
      </c>
      <c r="D462" t="s">
        <v>1371</v>
      </c>
      <c r="E462" t="s">
        <v>2406</v>
      </c>
      <c r="F462">
        <v>0.54300000000000004</v>
      </c>
      <c r="G462">
        <v>0.22</v>
      </c>
      <c r="H462" t="s">
        <v>1781</v>
      </c>
      <c r="I462" t="s">
        <v>1052</v>
      </c>
      <c r="J462">
        <v>0.11946</v>
      </c>
      <c r="K462">
        <v>10164.524079999999</v>
      </c>
      <c r="L462" t="s">
        <v>1689</v>
      </c>
      <c r="M462">
        <v>85087.26</v>
      </c>
      <c r="N462" t="s">
        <v>2635</v>
      </c>
      <c r="O462" t="s">
        <v>2633</v>
      </c>
    </row>
    <row r="463" spans="1:15" x14ac:dyDescent="0.2">
      <c r="A463">
        <v>99</v>
      </c>
      <c r="B463" t="s">
        <v>2117</v>
      </c>
      <c r="C463" t="s">
        <v>206</v>
      </c>
      <c r="D463" t="s">
        <v>1555</v>
      </c>
      <c r="E463" t="s">
        <v>177</v>
      </c>
      <c r="F463">
        <v>1</v>
      </c>
      <c r="G463">
        <v>3.51</v>
      </c>
      <c r="H463" t="s">
        <v>1052</v>
      </c>
      <c r="I463" t="s">
        <v>1052</v>
      </c>
      <c r="J463">
        <v>3.51</v>
      </c>
      <c r="K463">
        <v>298656.28259999998</v>
      </c>
      <c r="L463" t="s">
        <v>1689</v>
      </c>
      <c r="M463">
        <v>85087.26</v>
      </c>
      <c r="N463" t="s">
        <v>2639</v>
      </c>
      <c r="O463" t="s">
        <v>2633</v>
      </c>
    </row>
    <row r="464" spans="1:15" x14ac:dyDescent="0.2">
      <c r="A464">
        <v>99</v>
      </c>
      <c r="B464" t="s">
        <v>2117</v>
      </c>
      <c r="C464" t="s">
        <v>206</v>
      </c>
      <c r="D464" t="s">
        <v>935</v>
      </c>
      <c r="E464" t="s">
        <v>1352</v>
      </c>
      <c r="F464">
        <v>0</v>
      </c>
      <c r="G464">
        <v>15.1457</v>
      </c>
      <c r="H464" t="s">
        <v>151</v>
      </c>
      <c r="I464" t="s">
        <v>1052</v>
      </c>
      <c r="J464">
        <v>0</v>
      </c>
      <c r="K464">
        <v>0</v>
      </c>
      <c r="L464" t="s">
        <v>1689</v>
      </c>
      <c r="M464">
        <v>85087.26</v>
      </c>
      <c r="N464" t="s">
        <v>2636</v>
      </c>
      <c r="O464" t="s">
        <v>2633</v>
      </c>
    </row>
    <row r="465" spans="1:15" x14ac:dyDescent="0.2">
      <c r="A465">
        <v>99</v>
      </c>
      <c r="B465" t="s">
        <v>2117</v>
      </c>
      <c r="C465" t="s">
        <v>206</v>
      </c>
      <c r="D465" t="s">
        <v>107</v>
      </c>
      <c r="E465" t="s">
        <v>564</v>
      </c>
      <c r="F465">
        <v>1.0049999999999999</v>
      </c>
      <c r="G465">
        <v>6.1578999999999997</v>
      </c>
      <c r="H465" t="s">
        <v>1052</v>
      </c>
      <c r="I465" t="s">
        <v>1052</v>
      </c>
      <c r="J465">
        <v>6.1886894999999997</v>
      </c>
      <c r="K465">
        <v>526578.63254599995</v>
      </c>
      <c r="L465" t="s">
        <v>1689</v>
      </c>
      <c r="M465">
        <v>85087.26</v>
      </c>
      <c r="N465" t="s">
        <v>2632</v>
      </c>
      <c r="O465" t="s">
        <v>2633</v>
      </c>
    </row>
    <row r="466" spans="1:15" x14ac:dyDescent="0.2">
      <c r="A466">
        <v>99</v>
      </c>
      <c r="B466" t="s">
        <v>2117</v>
      </c>
      <c r="C466" t="s">
        <v>206</v>
      </c>
      <c r="D466" t="s">
        <v>1547</v>
      </c>
      <c r="E466" t="s">
        <v>1483</v>
      </c>
      <c r="F466">
        <v>1</v>
      </c>
      <c r="G466">
        <v>0.87</v>
      </c>
      <c r="H466" t="s">
        <v>1052</v>
      </c>
      <c r="I466" t="s">
        <v>1052</v>
      </c>
      <c r="J466">
        <v>0.87</v>
      </c>
      <c r="K466">
        <v>74025.916200000007</v>
      </c>
      <c r="L466" t="s">
        <v>1689</v>
      </c>
      <c r="M466">
        <v>85087.26</v>
      </c>
      <c r="N466" t="s">
        <v>2638</v>
      </c>
      <c r="O466" t="s">
        <v>2633</v>
      </c>
    </row>
    <row r="467" spans="1:15" x14ac:dyDescent="0.2">
      <c r="A467">
        <v>99</v>
      </c>
      <c r="B467" t="s">
        <v>2117</v>
      </c>
      <c r="C467" t="s">
        <v>206</v>
      </c>
      <c r="D467" t="s">
        <v>498</v>
      </c>
      <c r="E467" t="s">
        <v>773</v>
      </c>
      <c r="F467">
        <v>1.2</v>
      </c>
      <c r="G467">
        <v>0</v>
      </c>
      <c r="H467" t="s">
        <v>84</v>
      </c>
      <c r="I467" t="s">
        <v>1052</v>
      </c>
      <c r="J467">
        <v>0</v>
      </c>
      <c r="K467">
        <v>0</v>
      </c>
      <c r="L467" t="s">
        <v>1689</v>
      </c>
      <c r="M467">
        <v>85087.26</v>
      </c>
      <c r="N467" t="s">
        <v>2640</v>
      </c>
      <c r="O467" t="s">
        <v>2633</v>
      </c>
    </row>
    <row r="468" spans="1:15" x14ac:dyDescent="0.2">
      <c r="A468">
        <v>99</v>
      </c>
      <c r="B468" t="s">
        <v>2117</v>
      </c>
      <c r="C468" t="s">
        <v>206</v>
      </c>
      <c r="D468" t="s">
        <v>792</v>
      </c>
      <c r="E468" t="s">
        <v>335</v>
      </c>
      <c r="F468">
        <v>0</v>
      </c>
      <c r="G468">
        <v>11.1343</v>
      </c>
      <c r="H468" t="s">
        <v>151</v>
      </c>
      <c r="I468" t="s">
        <v>1052</v>
      </c>
      <c r="J468">
        <v>0</v>
      </c>
      <c r="K468">
        <v>0</v>
      </c>
      <c r="L468" t="s">
        <v>1689</v>
      </c>
      <c r="M468">
        <v>85087.26</v>
      </c>
      <c r="N468" t="s">
        <v>2637</v>
      </c>
      <c r="O468" t="s">
        <v>2633</v>
      </c>
    </row>
    <row r="469" spans="1:15" x14ac:dyDescent="0.2">
      <c r="A469">
        <v>99</v>
      </c>
      <c r="B469" t="s">
        <v>2117</v>
      </c>
      <c r="C469" t="s">
        <v>210</v>
      </c>
      <c r="D469" t="s">
        <v>792</v>
      </c>
      <c r="E469" t="s">
        <v>335</v>
      </c>
      <c r="F469">
        <v>0</v>
      </c>
      <c r="G469">
        <v>11.1343</v>
      </c>
      <c r="H469" t="s">
        <v>151</v>
      </c>
      <c r="I469" t="s">
        <v>1052</v>
      </c>
      <c r="J469">
        <v>0</v>
      </c>
      <c r="K469">
        <v>0</v>
      </c>
      <c r="L469" t="s">
        <v>1690</v>
      </c>
      <c r="M469">
        <v>69781.69</v>
      </c>
      <c r="N469" t="s">
        <v>2648</v>
      </c>
      <c r="O469" t="s">
        <v>2642</v>
      </c>
    </row>
    <row r="470" spans="1:15" x14ac:dyDescent="0.2">
      <c r="A470">
        <v>99</v>
      </c>
      <c r="B470" t="s">
        <v>2117</v>
      </c>
      <c r="C470" t="s">
        <v>210</v>
      </c>
      <c r="D470" t="s">
        <v>498</v>
      </c>
      <c r="E470" t="s">
        <v>773</v>
      </c>
      <c r="F470">
        <v>1.2</v>
      </c>
      <c r="G470">
        <v>0</v>
      </c>
      <c r="H470" t="s">
        <v>84</v>
      </c>
      <c r="I470" t="s">
        <v>1052</v>
      </c>
      <c r="J470">
        <v>0</v>
      </c>
      <c r="K470">
        <v>0</v>
      </c>
      <c r="L470" t="s">
        <v>1690</v>
      </c>
      <c r="M470">
        <v>69781.69</v>
      </c>
      <c r="N470" t="s">
        <v>2643</v>
      </c>
      <c r="O470" t="s">
        <v>2642</v>
      </c>
    </row>
    <row r="471" spans="1:15" x14ac:dyDescent="0.2">
      <c r="A471">
        <v>99</v>
      </c>
      <c r="B471" t="s">
        <v>2117</v>
      </c>
      <c r="C471" t="s">
        <v>210</v>
      </c>
      <c r="D471" t="s">
        <v>1547</v>
      </c>
      <c r="E471" t="s">
        <v>1483</v>
      </c>
      <c r="F471">
        <v>1</v>
      </c>
      <c r="G471">
        <v>0.87</v>
      </c>
      <c r="H471" t="s">
        <v>1052</v>
      </c>
      <c r="I471" t="s">
        <v>1052</v>
      </c>
      <c r="J471">
        <v>0.87</v>
      </c>
      <c r="K471">
        <v>60710.070299999999</v>
      </c>
      <c r="L471" t="s">
        <v>1690</v>
      </c>
      <c r="M471">
        <v>69781.69</v>
      </c>
      <c r="N471" t="s">
        <v>2649</v>
      </c>
      <c r="O471" t="s">
        <v>2642</v>
      </c>
    </row>
    <row r="472" spans="1:15" x14ac:dyDescent="0.2">
      <c r="A472">
        <v>99</v>
      </c>
      <c r="B472" t="s">
        <v>2117</v>
      </c>
      <c r="C472" t="s">
        <v>210</v>
      </c>
      <c r="D472" t="s">
        <v>935</v>
      </c>
      <c r="E472" t="s">
        <v>1352</v>
      </c>
      <c r="F472">
        <v>0</v>
      </c>
      <c r="G472">
        <v>15.1457</v>
      </c>
      <c r="H472" t="s">
        <v>151</v>
      </c>
      <c r="I472" t="s">
        <v>1052</v>
      </c>
      <c r="J472">
        <v>0</v>
      </c>
      <c r="K472">
        <v>0</v>
      </c>
      <c r="L472" t="s">
        <v>1690</v>
      </c>
      <c r="M472">
        <v>69781.69</v>
      </c>
      <c r="N472" t="s">
        <v>2647</v>
      </c>
      <c r="O472" t="s">
        <v>2642</v>
      </c>
    </row>
    <row r="473" spans="1:15" x14ac:dyDescent="0.2">
      <c r="A473">
        <v>99</v>
      </c>
      <c r="B473" t="s">
        <v>2117</v>
      </c>
      <c r="C473" t="s">
        <v>210</v>
      </c>
      <c r="D473" t="s">
        <v>1555</v>
      </c>
      <c r="E473" t="s">
        <v>177</v>
      </c>
      <c r="F473">
        <v>1</v>
      </c>
      <c r="G473">
        <v>3.51</v>
      </c>
      <c r="H473" t="s">
        <v>1052</v>
      </c>
      <c r="I473" t="s">
        <v>1052</v>
      </c>
      <c r="J473">
        <v>3.51</v>
      </c>
      <c r="K473">
        <v>244933.73190000001</v>
      </c>
      <c r="L473" t="s">
        <v>1690</v>
      </c>
      <c r="M473">
        <v>69781.69</v>
      </c>
      <c r="N473" t="s">
        <v>2641</v>
      </c>
      <c r="O473" t="s">
        <v>2642</v>
      </c>
    </row>
    <row r="474" spans="1:15" x14ac:dyDescent="0.2">
      <c r="A474">
        <v>99</v>
      </c>
      <c r="B474" t="s">
        <v>2117</v>
      </c>
      <c r="C474" t="s">
        <v>210</v>
      </c>
      <c r="D474" t="s">
        <v>1371</v>
      </c>
      <c r="E474" t="s">
        <v>2406</v>
      </c>
      <c r="F474">
        <v>0.36699999999999999</v>
      </c>
      <c r="G474">
        <v>0.22</v>
      </c>
      <c r="H474" t="s">
        <v>1781</v>
      </c>
      <c r="I474" t="s">
        <v>1052</v>
      </c>
      <c r="J474">
        <v>8.0740000000000006E-2</v>
      </c>
      <c r="K474">
        <v>5634.1736510000001</v>
      </c>
      <c r="L474" t="s">
        <v>1690</v>
      </c>
      <c r="M474">
        <v>69781.69</v>
      </c>
      <c r="N474" t="s">
        <v>2646</v>
      </c>
      <c r="O474" t="s">
        <v>2642</v>
      </c>
    </row>
    <row r="475" spans="1:15" x14ac:dyDescent="0.2">
      <c r="A475">
        <v>99</v>
      </c>
      <c r="B475" t="s">
        <v>2117</v>
      </c>
      <c r="C475" t="s">
        <v>210</v>
      </c>
      <c r="D475" t="s">
        <v>1561</v>
      </c>
      <c r="E475" t="s">
        <v>1939</v>
      </c>
      <c r="F475">
        <v>2.5000000000000001E-2</v>
      </c>
      <c r="G475">
        <v>9.8886000000000003</v>
      </c>
      <c r="H475" t="s">
        <v>1052</v>
      </c>
      <c r="I475" t="s">
        <v>1052</v>
      </c>
      <c r="J475">
        <v>0.24721499999999999</v>
      </c>
      <c r="K475">
        <v>17251.080493000001</v>
      </c>
      <c r="L475" t="s">
        <v>1690</v>
      </c>
      <c r="M475">
        <v>69781.69</v>
      </c>
      <c r="N475" t="s">
        <v>2645</v>
      </c>
      <c r="O475" t="s">
        <v>2642</v>
      </c>
    </row>
    <row r="476" spans="1:15" x14ac:dyDescent="0.2">
      <c r="A476">
        <v>99</v>
      </c>
      <c r="B476" t="s">
        <v>2117</v>
      </c>
      <c r="C476" t="s">
        <v>210</v>
      </c>
      <c r="D476" t="s">
        <v>110</v>
      </c>
      <c r="E476" t="s">
        <v>1544</v>
      </c>
      <c r="F476">
        <v>1.0049999999999999</v>
      </c>
      <c r="G476">
        <v>5.9786000000000001</v>
      </c>
      <c r="H476" t="s">
        <v>1052</v>
      </c>
      <c r="I476" t="s">
        <v>1052</v>
      </c>
      <c r="J476">
        <v>6.0084929999999996</v>
      </c>
      <c r="K476">
        <v>419282.79589299997</v>
      </c>
      <c r="L476" t="s">
        <v>1690</v>
      </c>
      <c r="M476">
        <v>69781.69</v>
      </c>
      <c r="N476" t="s">
        <v>2644</v>
      </c>
      <c r="O476" t="s">
        <v>2642</v>
      </c>
    </row>
    <row r="477" spans="1:15" x14ac:dyDescent="0.2">
      <c r="A477">
        <v>99</v>
      </c>
      <c r="B477" t="s">
        <v>2117</v>
      </c>
      <c r="C477" t="s">
        <v>217</v>
      </c>
      <c r="D477" t="s">
        <v>1561</v>
      </c>
      <c r="E477" t="s">
        <v>1939</v>
      </c>
      <c r="F477">
        <v>2.5000000000000001E-2</v>
      </c>
      <c r="G477">
        <v>9.8886000000000003</v>
      </c>
      <c r="H477" t="s">
        <v>1052</v>
      </c>
      <c r="I477" t="s">
        <v>1052</v>
      </c>
      <c r="J477">
        <v>0.24721499999999999</v>
      </c>
      <c r="K477">
        <v>31548.371890999999</v>
      </c>
      <c r="L477" t="s">
        <v>1692</v>
      </c>
      <c r="M477">
        <v>127615.12</v>
      </c>
      <c r="N477" t="s">
        <v>2652</v>
      </c>
      <c r="O477" t="s">
        <v>2651</v>
      </c>
    </row>
    <row r="478" spans="1:15" x14ac:dyDescent="0.2">
      <c r="A478">
        <v>99</v>
      </c>
      <c r="B478" t="s">
        <v>2117</v>
      </c>
      <c r="C478" t="s">
        <v>217</v>
      </c>
      <c r="D478" t="s">
        <v>1371</v>
      </c>
      <c r="E478" t="s">
        <v>2406</v>
      </c>
      <c r="F478">
        <v>0.21199999999999999</v>
      </c>
      <c r="G478">
        <v>0.22</v>
      </c>
      <c r="H478" t="s">
        <v>1781</v>
      </c>
      <c r="I478" t="s">
        <v>1052</v>
      </c>
      <c r="J478">
        <v>4.6640000000000001E-2</v>
      </c>
      <c r="K478">
        <v>5951.9691970000003</v>
      </c>
      <c r="L478" t="s">
        <v>1692</v>
      </c>
      <c r="M478">
        <v>127615.12</v>
      </c>
      <c r="N478" t="s">
        <v>2653</v>
      </c>
      <c r="O478" t="s">
        <v>2651</v>
      </c>
    </row>
    <row r="479" spans="1:15" x14ac:dyDescent="0.2">
      <c r="A479">
        <v>99</v>
      </c>
      <c r="B479" t="s">
        <v>2117</v>
      </c>
      <c r="C479" t="s">
        <v>217</v>
      </c>
      <c r="D479" t="s">
        <v>1555</v>
      </c>
      <c r="E479" t="s">
        <v>177</v>
      </c>
      <c r="F479">
        <v>1</v>
      </c>
      <c r="G479">
        <v>3.51</v>
      </c>
      <c r="H479" t="s">
        <v>1052</v>
      </c>
      <c r="I479" t="s">
        <v>1052</v>
      </c>
      <c r="J479">
        <v>3.51</v>
      </c>
      <c r="K479">
        <v>447929.07120000001</v>
      </c>
      <c r="L479" t="s">
        <v>1692</v>
      </c>
      <c r="M479">
        <v>127615.12</v>
      </c>
      <c r="N479" t="s">
        <v>2657</v>
      </c>
      <c r="O479" t="s">
        <v>2651</v>
      </c>
    </row>
    <row r="480" spans="1:15" x14ac:dyDescent="0.2">
      <c r="A480">
        <v>99</v>
      </c>
      <c r="B480" t="s">
        <v>2117</v>
      </c>
      <c r="C480" t="s">
        <v>217</v>
      </c>
      <c r="D480" t="s">
        <v>935</v>
      </c>
      <c r="E480" t="s">
        <v>1352</v>
      </c>
      <c r="F480">
        <v>0</v>
      </c>
      <c r="G480">
        <v>15.1457</v>
      </c>
      <c r="H480" t="s">
        <v>151</v>
      </c>
      <c r="I480" t="s">
        <v>1052</v>
      </c>
      <c r="J480">
        <v>0</v>
      </c>
      <c r="K480">
        <v>0</v>
      </c>
      <c r="L480" t="s">
        <v>1692</v>
      </c>
      <c r="M480">
        <v>127615.12</v>
      </c>
      <c r="N480" t="s">
        <v>2654</v>
      </c>
      <c r="O480" t="s">
        <v>2651</v>
      </c>
    </row>
    <row r="481" spans="1:15" x14ac:dyDescent="0.2">
      <c r="A481">
        <v>99</v>
      </c>
      <c r="B481" t="s">
        <v>2117</v>
      </c>
      <c r="C481" t="s">
        <v>217</v>
      </c>
      <c r="D481" t="s">
        <v>112</v>
      </c>
      <c r="E481" t="s">
        <v>1303</v>
      </c>
      <c r="F481">
        <v>1.0049999999999999</v>
      </c>
      <c r="G481">
        <v>5.9786000000000001</v>
      </c>
      <c r="H481" t="s">
        <v>1052</v>
      </c>
      <c r="I481" t="s">
        <v>1052</v>
      </c>
      <c r="J481">
        <v>6.0084929999999996</v>
      </c>
      <c r="K481">
        <v>766774.55521400005</v>
      </c>
      <c r="L481" t="s">
        <v>1692</v>
      </c>
      <c r="M481">
        <v>127615.12</v>
      </c>
      <c r="N481" t="s">
        <v>2650</v>
      </c>
      <c r="O481" t="s">
        <v>2651</v>
      </c>
    </row>
    <row r="482" spans="1:15" x14ac:dyDescent="0.2">
      <c r="A482">
        <v>99</v>
      </c>
      <c r="B482" t="s">
        <v>2117</v>
      </c>
      <c r="C482" t="s">
        <v>217</v>
      </c>
      <c r="D482" t="s">
        <v>1547</v>
      </c>
      <c r="E482" t="s">
        <v>1483</v>
      </c>
      <c r="F482">
        <v>1</v>
      </c>
      <c r="G482">
        <v>0.87</v>
      </c>
      <c r="H482" t="s">
        <v>1052</v>
      </c>
      <c r="I482" t="s">
        <v>1052</v>
      </c>
      <c r="J482">
        <v>0.87</v>
      </c>
      <c r="K482">
        <v>111025.1544</v>
      </c>
      <c r="L482" t="s">
        <v>1692</v>
      </c>
      <c r="M482">
        <v>127615.12</v>
      </c>
      <c r="N482" t="s">
        <v>2656</v>
      </c>
      <c r="O482" t="s">
        <v>2651</v>
      </c>
    </row>
    <row r="483" spans="1:15" x14ac:dyDescent="0.2">
      <c r="A483">
        <v>99</v>
      </c>
      <c r="B483" t="s">
        <v>2117</v>
      </c>
      <c r="C483" t="s">
        <v>217</v>
      </c>
      <c r="D483" t="s">
        <v>498</v>
      </c>
      <c r="E483" t="s">
        <v>773</v>
      </c>
      <c r="F483">
        <v>1.2</v>
      </c>
      <c r="G483">
        <v>0</v>
      </c>
      <c r="H483" t="s">
        <v>84</v>
      </c>
      <c r="I483" t="s">
        <v>1052</v>
      </c>
      <c r="J483">
        <v>0</v>
      </c>
      <c r="K483">
        <v>0</v>
      </c>
      <c r="L483" t="s">
        <v>1692</v>
      </c>
      <c r="M483">
        <v>127615.12</v>
      </c>
      <c r="N483" t="s">
        <v>2658</v>
      </c>
      <c r="O483" t="s">
        <v>2651</v>
      </c>
    </row>
    <row r="484" spans="1:15" x14ac:dyDescent="0.2">
      <c r="A484">
        <v>99</v>
      </c>
      <c r="B484" t="s">
        <v>2117</v>
      </c>
      <c r="C484" t="s">
        <v>217</v>
      </c>
      <c r="D484" t="s">
        <v>792</v>
      </c>
      <c r="E484" t="s">
        <v>335</v>
      </c>
      <c r="F484">
        <v>0</v>
      </c>
      <c r="G484">
        <v>11.1343</v>
      </c>
      <c r="H484" t="s">
        <v>151</v>
      </c>
      <c r="I484" t="s">
        <v>1052</v>
      </c>
      <c r="J484">
        <v>0</v>
      </c>
      <c r="K484">
        <v>0</v>
      </c>
      <c r="L484" t="s">
        <v>1692</v>
      </c>
      <c r="M484">
        <v>127615.12</v>
      </c>
      <c r="N484" t="s">
        <v>2655</v>
      </c>
      <c r="O484" t="s">
        <v>2651</v>
      </c>
    </row>
    <row r="485" spans="1:15" x14ac:dyDescent="0.2">
      <c r="A485">
        <v>99</v>
      </c>
      <c r="B485" t="s">
        <v>2117</v>
      </c>
      <c r="C485" t="s">
        <v>220</v>
      </c>
      <c r="D485" t="s">
        <v>792</v>
      </c>
      <c r="E485" t="s">
        <v>335</v>
      </c>
      <c r="F485">
        <v>0</v>
      </c>
      <c r="G485">
        <v>11.1343</v>
      </c>
      <c r="H485" t="s">
        <v>151</v>
      </c>
      <c r="I485" t="s">
        <v>1052</v>
      </c>
      <c r="J485">
        <v>0</v>
      </c>
      <c r="K485">
        <v>0</v>
      </c>
      <c r="L485" t="s">
        <v>1697</v>
      </c>
      <c r="M485">
        <v>228434.02</v>
      </c>
      <c r="N485" t="s">
        <v>2664</v>
      </c>
      <c r="O485" t="s">
        <v>2660</v>
      </c>
    </row>
    <row r="486" spans="1:15" x14ac:dyDescent="0.2">
      <c r="A486">
        <v>99</v>
      </c>
      <c r="B486" t="s">
        <v>2117</v>
      </c>
      <c r="C486" t="s">
        <v>220</v>
      </c>
      <c r="D486" t="s">
        <v>498</v>
      </c>
      <c r="E486" t="s">
        <v>773</v>
      </c>
      <c r="F486">
        <v>1.2</v>
      </c>
      <c r="G486">
        <v>0</v>
      </c>
      <c r="H486" t="s">
        <v>84</v>
      </c>
      <c r="I486" t="s">
        <v>1052</v>
      </c>
      <c r="J486">
        <v>0</v>
      </c>
      <c r="K486">
        <v>0</v>
      </c>
      <c r="L486" t="s">
        <v>1697</v>
      </c>
      <c r="M486">
        <v>228434.02</v>
      </c>
      <c r="N486" t="s">
        <v>2667</v>
      </c>
      <c r="O486" t="s">
        <v>2660</v>
      </c>
    </row>
    <row r="487" spans="1:15" x14ac:dyDescent="0.2">
      <c r="A487">
        <v>99</v>
      </c>
      <c r="B487" t="s">
        <v>2117</v>
      </c>
      <c r="C487" t="s">
        <v>220</v>
      </c>
      <c r="D487" t="s">
        <v>1547</v>
      </c>
      <c r="E487" t="s">
        <v>1483</v>
      </c>
      <c r="F487">
        <v>1</v>
      </c>
      <c r="G487">
        <v>0.87</v>
      </c>
      <c r="H487" t="s">
        <v>1052</v>
      </c>
      <c r="I487" t="s">
        <v>1052</v>
      </c>
      <c r="J487">
        <v>0.87</v>
      </c>
      <c r="K487">
        <v>198737.5974</v>
      </c>
      <c r="L487" t="s">
        <v>1697</v>
      </c>
      <c r="M487">
        <v>228434.02</v>
      </c>
      <c r="N487" t="s">
        <v>2665</v>
      </c>
      <c r="O487" t="s">
        <v>2660</v>
      </c>
    </row>
    <row r="488" spans="1:15" x14ac:dyDescent="0.2">
      <c r="A488">
        <v>99</v>
      </c>
      <c r="B488" t="s">
        <v>2117</v>
      </c>
      <c r="C488" t="s">
        <v>220</v>
      </c>
      <c r="D488" t="s">
        <v>935</v>
      </c>
      <c r="E488" t="s">
        <v>1352</v>
      </c>
      <c r="F488">
        <v>0</v>
      </c>
      <c r="G488">
        <v>15.1457</v>
      </c>
      <c r="H488" t="s">
        <v>151</v>
      </c>
      <c r="I488" t="s">
        <v>1052</v>
      </c>
      <c r="J488">
        <v>0</v>
      </c>
      <c r="K488">
        <v>0</v>
      </c>
      <c r="L488" t="s">
        <v>1697</v>
      </c>
      <c r="M488">
        <v>228434.02</v>
      </c>
      <c r="N488" t="s">
        <v>2663</v>
      </c>
      <c r="O488" t="s">
        <v>2660</v>
      </c>
    </row>
    <row r="489" spans="1:15" x14ac:dyDescent="0.2">
      <c r="A489">
        <v>99</v>
      </c>
      <c r="B489" t="s">
        <v>2117</v>
      </c>
      <c r="C489" t="s">
        <v>220</v>
      </c>
      <c r="D489" t="s">
        <v>1555</v>
      </c>
      <c r="E489" t="s">
        <v>177</v>
      </c>
      <c r="F489">
        <v>1</v>
      </c>
      <c r="G489">
        <v>3.51</v>
      </c>
      <c r="H489" t="s">
        <v>1052</v>
      </c>
      <c r="I489" t="s">
        <v>1052</v>
      </c>
      <c r="J489">
        <v>3.51</v>
      </c>
      <c r="K489">
        <v>801803.41020000004</v>
      </c>
      <c r="L489" t="s">
        <v>1697</v>
      </c>
      <c r="M489">
        <v>228434.02</v>
      </c>
      <c r="N489" t="s">
        <v>2666</v>
      </c>
      <c r="O489" t="s">
        <v>2660</v>
      </c>
    </row>
    <row r="490" spans="1:15" x14ac:dyDescent="0.2">
      <c r="A490">
        <v>99</v>
      </c>
      <c r="B490" t="s">
        <v>2117</v>
      </c>
      <c r="C490" t="s">
        <v>220</v>
      </c>
      <c r="D490" t="s">
        <v>1371</v>
      </c>
      <c r="E490" t="s">
        <v>2406</v>
      </c>
      <c r="F490">
        <v>0.113</v>
      </c>
      <c r="G490">
        <v>0.22</v>
      </c>
      <c r="H490" t="s">
        <v>1781</v>
      </c>
      <c r="I490" t="s">
        <v>1052</v>
      </c>
      <c r="J490">
        <v>2.486E-2</v>
      </c>
      <c r="K490">
        <v>5678.869737</v>
      </c>
      <c r="L490" t="s">
        <v>1697</v>
      </c>
      <c r="M490">
        <v>228434.02</v>
      </c>
      <c r="N490" t="s">
        <v>2662</v>
      </c>
      <c r="O490" t="s">
        <v>2660</v>
      </c>
    </row>
    <row r="491" spans="1:15" x14ac:dyDescent="0.2">
      <c r="A491">
        <v>99</v>
      </c>
      <c r="B491" t="s">
        <v>2117</v>
      </c>
      <c r="C491" t="s">
        <v>220</v>
      </c>
      <c r="D491" t="s">
        <v>1561</v>
      </c>
      <c r="E491" t="s">
        <v>1939</v>
      </c>
      <c r="F491">
        <v>2.5000000000000001E-2</v>
      </c>
      <c r="G491">
        <v>9.8886000000000003</v>
      </c>
      <c r="H491" t="s">
        <v>1052</v>
      </c>
      <c r="I491" t="s">
        <v>1052</v>
      </c>
      <c r="J491">
        <v>0.24721499999999999</v>
      </c>
      <c r="K491">
        <v>56472.316253999998</v>
      </c>
      <c r="L491" t="s">
        <v>1697</v>
      </c>
      <c r="M491">
        <v>228434.02</v>
      </c>
      <c r="N491" t="s">
        <v>2661</v>
      </c>
      <c r="O491" t="s">
        <v>2660</v>
      </c>
    </row>
    <row r="492" spans="1:15" x14ac:dyDescent="0.2">
      <c r="A492">
        <v>99</v>
      </c>
      <c r="B492" t="s">
        <v>2117</v>
      </c>
      <c r="C492" t="s">
        <v>220</v>
      </c>
      <c r="D492" t="s">
        <v>116</v>
      </c>
      <c r="E492" t="s">
        <v>516</v>
      </c>
      <c r="F492">
        <v>1.0049999999999999</v>
      </c>
      <c r="G492">
        <v>5.9786000000000001</v>
      </c>
      <c r="H492" t="s">
        <v>1052</v>
      </c>
      <c r="I492" t="s">
        <v>1052</v>
      </c>
      <c r="J492">
        <v>6.0084929999999996</v>
      </c>
      <c r="K492">
        <v>1372544.210132</v>
      </c>
      <c r="L492" t="s">
        <v>1697</v>
      </c>
      <c r="M492">
        <v>228434.02</v>
      </c>
      <c r="N492" t="s">
        <v>2659</v>
      </c>
      <c r="O492" t="s">
        <v>2660</v>
      </c>
    </row>
    <row r="493" spans="1:15" x14ac:dyDescent="0.2">
      <c r="A493">
        <v>99</v>
      </c>
      <c r="B493" t="s">
        <v>2117</v>
      </c>
      <c r="C493" t="s">
        <v>226</v>
      </c>
      <c r="D493" t="s">
        <v>1561</v>
      </c>
      <c r="E493" t="s">
        <v>1939</v>
      </c>
      <c r="F493">
        <v>2.5000000000000001E-2</v>
      </c>
      <c r="G493">
        <v>9.8886000000000003</v>
      </c>
      <c r="H493" t="s">
        <v>1052</v>
      </c>
      <c r="I493" t="s">
        <v>1052</v>
      </c>
      <c r="J493">
        <v>0.24721499999999999</v>
      </c>
      <c r="K493">
        <v>42436.739017</v>
      </c>
      <c r="L493" t="s">
        <v>1699</v>
      </c>
      <c r="M493">
        <v>171659.24</v>
      </c>
      <c r="N493" t="s">
        <v>2670</v>
      </c>
      <c r="O493" t="s">
        <v>2669</v>
      </c>
    </row>
    <row r="494" spans="1:15" x14ac:dyDescent="0.2">
      <c r="A494">
        <v>99</v>
      </c>
      <c r="B494" t="s">
        <v>2117</v>
      </c>
      <c r="C494" t="s">
        <v>226</v>
      </c>
      <c r="D494" t="s">
        <v>1371</v>
      </c>
      <c r="E494" t="s">
        <v>2406</v>
      </c>
      <c r="F494">
        <v>5.1999999999999998E-2</v>
      </c>
      <c r="G494">
        <v>0.22</v>
      </c>
      <c r="H494" t="s">
        <v>1781</v>
      </c>
      <c r="I494" t="s">
        <v>1052</v>
      </c>
      <c r="J494">
        <v>1.1440000000000001E-2</v>
      </c>
      <c r="K494">
        <v>1963.781706</v>
      </c>
      <c r="L494" t="s">
        <v>1699</v>
      </c>
      <c r="M494">
        <v>171659.24</v>
      </c>
      <c r="N494" t="s">
        <v>2671</v>
      </c>
      <c r="O494" t="s">
        <v>2669</v>
      </c>
    </row>
    <row r="495" spans="1:15" x14ac:dyDescent="0.2">
      <c r="A495">
        <v>99</v>
      </c>
      <c r="B495" t="s">
        <v>2117</v>
      </c>
      <c r="C495" t="s">
        <v>226</v>
      </c>
      <c r="D495" t="s">
        <v>1555</v>
      </c>
      <c r="E495" t="s">
        <v>177</v>
      </c>
      <c r="F495">
        <v>1</v>
      </c>
      <c r="G495">
        <v>3.51</v>
      </c>
      <c r="H495" t="s">
        <v>1052</v>
      </c>
      <c r="I495" t="s">
        <v>1052</v>
      </c>
      <c r="J495">
        <v>3.51</v>
      </c>
      <c r="K495">
        <v>602523.93240000005</v>
      </c>
      <c r="L495" t="s">
        <v>1699</v>
      </c>
      <c r="M495">
        <v>171659.24</v>
      </c>
      <c r="N495" t="s">
        <v>2675</v>
      </c>
      <c r="O495" t="s">
        <v>2669</v>
      </c>
    </row>
    <row r="496" spans="1:15" x14ac:dyDescent="0.2">
      <c r="A496">
        <v>99</v>
      </c>
      <c r="B496" t="s">
        <v>2117</v>
      </c>
      <c r="C496" t="s">
        <v>226</v>
      </c>
      <c r="D496" t="s">
        <v>935</v>
      </c>
      <c r="E496" t="s">
        <v>1352</v>
      </c>
      <c r="F496">
        <v>0</v>
      </c>
      <c r="G496">
        <v>15.1457</v>
      </c>
      <c r="H496" t="s">
        <v>151</v>
      </c>
      <c r="I496" t="s">
        <v>1052</v>
      </c>
      <c r="J496">
        <v>0</v>
      </c>
      <c r="K496">
        <v>0</v>
      </c>
      <c r="L496" t="s">
        <v>1699</v>
      </c>
      <c r="M496">
        <v>171659.24</v>
      </c>
      <c r="N496" t="s">
        <v>2672</v>
      </c>
      <c r="O496" t="s">
        <v>2669</v>
      </c>
    </row>
    <row r="497" spans="1:15" x14ac:dyDescent="0.2">
      <c r="A497">
        <v>99</v>
      </c>
      <c r="B497" t="s">
        <v>2117</v>
      </c>
      <c r="C497" t="s">
        <v>226</v>
      </c>
      <c r="D497" t="s">
        <v>118</v>
      </c>
      <c r="E497" t="s">
        <v>466</v>
      </c>
      <c r="F497">
        <v>1.0049999999999999</v>
      </c>
      <c r="G497">
        <v>5.1086</v>
      </c>
      <c r="H497" t="s">
        <v>1052</v>
      </c>
      <c r="I497" t="s">
        <v>1052</v>
      </c>
      <c r="J497">
        <v>5.1341429999999999</v>
      </c>
      <c r="K497">
        <v>881323.08543099998</v>
      </c>
      <c r="L497" t="s">
        <v>1699</v>
      </c>
      <c r="M497">
        <v>171659.24</v>
      </c>
      <c r="N497" t="s">
        <v>2668</v>
      </c>
      <c r="O497" t="s">
        <v>2669</v>
      </c>
    </row>
    <row r="498" spans="1:15" x14ac:dyDescent="0.2">
      <c r="A498">
        <v>99</v>
      </c>
      <c r="B498" t="s">
        <v>2117</v>
      </c>
      <c r="C498" t="s">
        <v>226</v>
      </c>
      <c r="D498" t="s">
        <v>1547</v>
      </c>
      <c r="E498" t="s">
        <v>1483</v>
      </c>
      <c r="F498">
        <v>1</v>
      </c>
      <c r="G498">
        <v>0.87</v>
      </c>
      <c r="H498" t="s">
        <v>1052</v>
      </c>
      <c r="I498" t="s">
        <v>1052</v>
      </c>
      <c r="J498">
        <v>0.87</v>
      </c>
      <c r="K498">
        <v>149343.53880000001</v>
      </c>
      <c r="L498" t="s">
        <v>1699</v>
      </c>
      <c r="M498">
        <v>171659.24</v>
      </c>
      <c r="N498" t="s">
        <v>2674</v>
      </c>
      <c r="O498" t="s">
        <v>2669</v>
      </c>
    </row>
    <row r="499" spans="1:15" x14ac:dyDescent="0.2">
      <c r="A499">
        <v>99</v>
      </c>
      <c r="B499" t="s">
        <v>2117</v>
      </c>
      <c r="C499" t="s">
        <v>226</v>
      </c>
      <c r="D499" t="s">
        <v>498</v>
      </c>
      <c r="E499" t="s">
        <v>773</v>
      </c>
      <c r="F499">
        <v>1.2</v>
      </c>
      <c r="G499">
        <v>0</v>
      </c>
      <c r="H499" t="s">
        <v>84</v>
      </c>
      <c r="I499" t="s">
        <v>1052</v>
      </c>
      <c r="J499">
        <v>0</v>
      </c>
      <c r="K499">
        <v>0</v>
      </c>
      <c r="L499" t="s">
        <v>1699</v>
      </c>
      <c r="M499">
        <v>171659.24</v>
      </c>
      <c r="N499" t="s">
        <v>2676</v>
      </c>
      <c r="O499" t="s">
        <v>2669</v>
      </c>
    </row>
    <row r="500" spans="1:15" x14ac:dyDescent="0.2">
      <c r="A500">
        <v>99</v>
      </c>
      <c r="B500" t="s">
        <v>2117</v>
      </c>
      <c r="C500" t="s">
        <v>226</v>
      </c>
      <c r="D500" t="s">
        <v>792</v>
      </c>
      <c r="E500" t="s">
        <v>335</v>
      </c>
      <c r="F500">
        <v>0</v>
      </c>
      <c r="G500">
        <v>11.1343</v>
      </c>
      <c r="H500" t="s">
        <v>151</v>
      </c>
      <c r="I500" t="s">
        <v>1052</v>
      </c>
      <c r="J500">
        <v>0</v>
      </c>
      <c r="K500">
        <v>0</v>
      </c>
      <c r="L500" t="s">
        <v>1699</v>
      </c>
      <c r="M500">
        <v>171659.24</v>
      </c>
      <c r="N500" t="s">
        <v>2673</v>
      </c>
      <c r="O500" t="s">
        <v>2669</v>
      </c>
    </row>
    <row r="501" spans="1:15" x14ac:dyDescent="0.2">
      <c r="A501">
        <v>99</v>
      </c>
      <c r="B501" t="s">
        <v>2117</v>
      </c>
      <c r="C501" t="s">
        <v>1771</v>
      </c>
      <c r="D501" t="s">
        <v>1568</v>
      </c>
      <c r="E501" t="s">
        <v>2692</v>
      </c>
      <c r="F501">
        <v>1</v>
      </c>
      <c r="G501">
        <v>49.4</v>
      </c>
      <c r="H501" t="s">
        <v>1152</v>
      </c>
      <c r="I501" t="s">
        <v>1152</v>
      </c>
      <c r="J501">
        <v>49.4</v>
      </c>
      <c r="K501">
        <v>85756.918000000005</v>
      </c>
      <c r="L501" t="s">
        <v>1938</v>
      </c>
      <c r="M501">
        <v>1735.97</v>
      </c>
      <c r="N501" t="s">
        <v>2693</v>
      </c>
      <c r="O501" t="s">
        <v>2678</v>
      </c>
    </row>
    <row r="502" spans="1:15" x14ac:dyDescent="0.2">
      <c r="A502">
        <v>99</v>
      </c>
      <c r="B502" t="s">
        <v>2117</v>
      </c>
      <c r="C502" t="s">
        <v>1771</v>
      </c>
      <c r="D502" t="s">
        <v>189</v>
      </c>
      <c r="E502" t="s">
        <v>2685</v>
      </c>
      <c r="F502">
        <v>1.218</v>
      </c>
      <c r="G502">
        <v>11.05</v>
      </c>
      <c r="H502" t="s">
        <v>153</v>
      </c>
      <c r="I502" t="s">
        <v>1152</v>
      </c>
      <c r="J502">
        <v>13.4589</v>
      </c>
      <c r="K502">
        <v>23364.246632999999</v>
      </c>
      <c r="L502" t="s">
        <v>1938</v>
      </c>
      <c r="M502">
        <v>1735.97</v>
      </c>
      <c r="N502" t="s">
        <v>2686</v>
      </c>
      <c r="O502" t="s">
        <v>2678</v>
      </c>
    </row>
    <row r="503" spans="1:15" x14ac:dyDescent="0.2">
      <c r="A503">
        <v>99</v>
      </c>
      <c r="B503" t="s">
        <v>2117</v>
      </c>
      <c r="C503" t="s">
        <v>1771</v>
      </c>
      <c r="D503" t="s">
        <v>1970</v>
      </c>
      <c r="E503" t="s">
        <v>1166</v>
      </c>
      <c r="F503">
        <v>0</v>
      </c>
      <c r="G503">
        <v>30.29</v>
      </c>
      <c r="H503" t="s">
        <v>764</v>
      </c>
      <c r="I503" t="s">
        <v>1152</v>
      </c>
      <c r="J503">
        <v>0</v>
      </c>
      <c r="K503">
        <v>0</v>
      </c>
      <c r="L503" t="s">
        <v>1938</v>
      </c>
      <c r="M503">
        <v>1735.97</v>
      </c>
      <c r="N503" t="s">
        <v>2695</v>
      </c>
      <c r="O503" t="s">
        <v>2678</v>
      </c>
    </row>
    <row r="504" spans="1:15" x14ac:dyDescent="0.2">
      <c r="A504">
        <v>99</v>
      </c>
      <c r="B504" t="s">
        <v>2117</v>
      </c>
      <c r="C504" t="s">
        <v>1771</v>
      </c>
      <c r="D504" t="s">
        <v>498</v>
      </c>
      <c r="E504" t="s">
        <v>773</v>
      </c>
      <c r="F504">
        <v>1.2</v>
      </c>
      <c r="G504">
        <v>0</v>
      </c>
      <c r="H504" t="s">
        <v>84</v>
      </c>
      <c r="I504" t="s">
        <v>1152</v>
      </c>
      <c r="J504">
        <v>0</v>
      </c>
      <c r="K504">
        <v>0</v>
      </c>
      <c r="L504" t="s">
        <v>1938</v>
      </c>
      <c r="M504">
        <v>1735.97</v>
      </c>
      <c r="N504" t="s">
        <v>2694</v>
      </c>
      <c r="O504" t="s">
        <v>2678</v>
      </c>
    </row>
    <row r="505" spans="1:15" x14ac:dyDescent="0.2">
      <c r="A505">
        <v>99</v>
      </c>
      <c r="B505" t="s">
        <v>2117</v>
      </c>
      <c r="C505" t="s">
        <v>1771</v>
      </c>
      <c r="D505" t="s">
        <v>1065</v>
      </c>
      <c r="E505" t="s">
        <v>1026</v>
      </c>
      <c r="F505">
        <v>0.01</v>
      </c>
      <c r="G505">
        <v>14.2</v>
      </c>
      <c r="H505" t="s">
        <v>1052</v>
      </c>
      <c r="I505" t="s">
        <v>1152</v>
      </c>
      <c r="J505">
        <v>0.14199999999999999</v>
      </c>
      <c r="K505">
        <v>246.50774000000001</v>
      </c>
      <c r="L505" t="s">
        <v>1938</v>
      </c>
      <c r="M505">
        <v>1735.97</v>
      </c>
      <c r="N505" t="s">
        <v>2680</v>
      </c>
      <c r="O505" t="s">
        <v>2678</v>
      </c>
    </row>
    <row r="506" spans="1:15" x14ac:dyDescent="0.2">
      <c r="A506">
        <v>99</v>
      </c>
      <c r="B506" t="s">
        <v>2117</v>
      </c>
      <c r="C506" t="s">
        <v>1771</v>
      </c>
      <c r="D506" t="s">
        <v>944</v>
      </c>
      <c r="E506" t="s">
        <v>1601</v>
      </c>
      <c r="F506">
        <v>0</v>
      </c>
      <c r="G506">
        <v>19.170000000000002</v>
      </c>
      <c r="H506" t="s">
        <v>151</v>
      </c>
      <c r="I506" t="s">
        <v>1152</v>
      </c>
      <c r="J506">
        <v>0</v>
      </c>
      <c r="K506">
        <v>0</v>
      </c>
      <c r="L506" t="s">
        <v>1938</v>
      </c>
      <c r="M506">
        <v>1735.97</v>
      </c>
      <c r="N506" t="s">
        <v>2690</v>
      </c>
      <c r="O506" t="s">
        <v>2678</v>
      </c>
    </row>
    <row r="507" spans="1:15" x14ac:dyDescent="0.2">
      <c r="A507">
        <v>99</v>
      </c>
      <c r="B507" t="s">
        <v>2117</v>
      </c>
      <c r="C507" t="s">
        <v>1771</v>
      </c>
      <c r="D507" t="s">
        <v>82</v>
      </c>
      <c r="E507" t="s">
        <v>2688</v>
      </c>
      <c r="F507">
        <v>0.72199999999999998</v>
      </c>
      <c r="G507">
        <v>2.04</v>
      </c>
      <c r="H507" t="s">
        <v>153</v>
      </c>
      <c r="I507" t="s">
        <v>1152</v>
      </c>
      <c r="J507">
        <v>1.47288</v>
      </c>
      <c r="K507">
        <v>2556.8754939999999</v>
      </c>
      <c r="L507" t="s">
        <v>1938</v>
      </c>
      <c r="M507">
        <v>1735.97</v>
      </c>
      <c r="N507" t="s">
        <v>2689</v>
      </c>
      <c r="O507" t="s">
        <v>2678</v>
      </c>
    </row>
    <row r="508" spans="1:15" x14ac:dyDescent="0.2">
      <c r="A508">
        <v>99</v>
      </c>
      <c r="B508" t="s">
        <v>2117</v>
      </c>
      <c r="C508" t="s">
        <v>1771</v>
      </c>
      <c r="D508" t="s">
        <v>1043</v>
      </c>
      <c r="E508" t="s">
        <v>1497</v>
      </c>
      <c r="F508">
        <v>4.0000000000000001E-3</v>
      </c>
      <c r="G508">
        <v>12.1</v>
      </c>
      <c r="H508" t="s">
        <v>1052</v>
      </c>
      <c r="I508" t="s">
        <v>1152</v>
      </c>
      <c r="J508">
        <v>4.8399999999999999E-2</v>
      </c>
      <c r="K508">
        <v>84.020948000000004</v>
      </c>
      <c r="L508" t="s">
        <v>1938</v>
      </c>
      <c r="M508">
        <v>1735.97</v>
      </c>
      <c r="N508" t="s">
        <v>2677</v>
      </c>
      <c r="O508" t="s">
        <v>2678</v>
      </c>
    </row>
    <row r="509" spans="1:15" x14ac:dyDescent="0.2">
      <c r="A509">
        <v>99</v>
      </c>
      <c r="B509" t="s">
        <v>2117</v>
      </c>
      <c r="C509" t="s">
        <v>1771</v>
      </c>
      <c r="D509" t="s">
        <v>1129</v>
      </c>
      <c r="E509" t="s">
        <v>2681</v>
      </c>
      <c r="F509">
        <v>0.01</v>
      </c>
      <c r="G509">
        <v>19.722200000000001</v>
      </c>
      <c r="H509" t="s">
        <v>152</v>
      </c>
      <c r="I509" t="s">
        <v>1152</v>
      </c>
      <c r="J509">
        <v>0.19722200000000001</v>
      </c>
      <c r="K509">
        <v>342.37147499999998</v>
      </c>
      <c r="L509" t="s">
        <v>1938</v>
      </c>
      <c r="M509">
        <v>1735.97</v>
      </c>
      <c r="N509" t="s">
        <v>2682</v>
      </c>
      <c r="O509" t="s">
        <v>2678</v>
      </c>
    </row>
    <row r="510" spans="1:15" x14ac:dyDescent="0.2">
      <c r="A510">
        <v>99</v>
      </c>
      <c r="B510" t="s">
        <v>2117</v>
      </c>
      <c r="C510" t="s">
        <v>1771</v>
      </c>
      <c r="D510" t="s">
        <v>794</v>
      </c>
      <c r="E510" t="s">
        <v>446</v>
      </c>
      <c r="F510">
        <v>0</v>
      </c>
      <c r="G510">
        <v>11.1343</v>
      </c>
      <c r="H510" t="s">
        <v>151</v>
      </c>
      <c r="I510" t="s">
        <v>1152</v>
      </c>
      <c r="J510">
        <v>0</v>
      </c>
      <c r="K510">
        <v>0</v>
      </c>
      <c r="L510" t="s">
        <v>1938</v>
      </c>
      <c r="M510">
        <v>1735.97</v>
      </c>
      <c r="N510" t="s">
        <v>2691</v>
      </c>
      <c r="O510" t="s">
        <v>2678</v>
      </c>
    </row>
    <row r="511" spans="1:15" x14ac:dyDescent="0.2">
      <c r="A511">
        <v>99</v>
      </c>
      <c r="B511" t="s">
        <v>2117</v>
      </c>
      <c r="C511" t="s">
        <v>1771</v>
      </c>
      <c r="D511" t="s">
        <v>1051</v>
      </c>
      <c r="E511" t="s">
        <v>1130</v>
      </c>
      <c r="F511">
        <v>1.9E-2</v>
      </c>
      <c r="G511">
        <v>11.57</v>
      </c>
      <c r="H511" t="s">
        <v>1052</v>
      </c>
      <c r="I511" t="s">
        <v>1152</v>
      </c>
      <c r="J511">
        <v>0.21983</v>
      </c>
      <c r="K511">
        <v>381.61828500000001</v>
      </c>
      <c r="L511" t="s">
        <v>1938</v>
      </c>
      <c r="M511">
        <v>1735.97</v>
      </c>
      <c r="N511" t="s">
        <v>2679</v>
      </c>
      <c r="O511" t="s">
        <v>2678</v>
      </c>
    </row>
    <row r="512" spans="1:15" x14ac:dyDescent="0.2">
      <c r="A512">
        <v>99</v>
      </c>
      <c r="B512" t="s">
        <v>2117</v>
      </c>
      <c r="C512" t="s">
        <v>1771</v>
      </c>
      <c r="D512" t="s">
        <v>423</v>
      </c>
      <c r="E512" t="s">
        <v>2683</v>
      </c>
      <c r="F512">
        <v>0.315</v>
      </c>
      <c r="G512">
        <v>55.495800000000003</v>
      </c>
      <c r="H512" t="s">
        <v>1152</v>
      </c>
      <c r="I512" t="s">
        <v>1152</v>
      </c>
      <c r="J512">
        <v>17.481176999999999</v>
      </c>
      <c r="K512">
        <v>30346.798836999998</v>
      </c>
      <c r="L512" t="s">
        <v>1938</v>
      </c>
      <c r="M512">
        <v>1735.97</v>
      </c>
      <c r="N512" t="s">
        <v>2684</v>
      </c>
      <c r="O512" t="s">
        <v>2678</v>
      </c>
    </row>
    <row r="513" spans="1:15" x14ac:dyDescent="0.2">
      <c r="A513">
        <v>99</v>
      </c>
      <c r="B513" t="s">
        <v>2117</v>
      </c>
      <c r="C513" t="s">
        <v>1771</v>
      </c>
      <c r="D513" t="s">
        <v>1971</v>
      </c>
      <c r="E513" t="s">
        <v>1147</v>
      </c>
      <c r="F513">
        <v>0</v>
      </c>
      <c r="G513">
        <v>28.81</v>
      </c>
      <c r="H513" t="s">
        <v>742</v>
      </c>
      <c r="I513" t="s">
        <v>1152</v>
      </c>
      <c r="J513">
        <v>0</v>
      </c>
      <c r="K513">
        <v>0</v>
      </c>
      <c r="L513" t="s">
        <v>1938</v>
      </c>
      <c r="M513">
        <v>1735.97</v>
      </c>
      <c r="N513" t="s">
        <v>2687</v>
      </c>
      <c r="O513" t="s">
        <v>2678</v>
      </c>
    </row>
    <row r="514" spans="1:15" x14ac:dyDescent="0.2">
      <c r="A514">
        <v>99</v>
      </c>
      <c r="B514" t="s">
        <v>2117</v>
      </c>
      <c r="C514" t="s">
        <v>1776</v>
      </c>
      <c r="D514" t="s">
        <v>1971</v>
      </c>
      <c r="E514" t="s">
        <v>1147</v>
      </c>
      <c r="F514">
        <v>0</v>
      </c>
      <c r="G514">
        <v>28.81</v>
      </c>
      <c r="H514" t="s">
        <v>742</v>
      </c>
      <c r="I514" t="s">
        <v>1152</v>
      </c>
      <c r="J514">
        <v>0</v>
      </c>
      <c r="K514">
        <v>0</v>
      </c>
      <c r="L514" t="s">
        <v>1401</v>
      </c>
      <c r="M514">
        <v>3059.1</v>
      </c>
      <c r="N514" t="s">
        <v>2705</v>
      </c>
      <c r="O514" t="s">
        <v>2697</v>
      </c>
    </row>
    <row r="515" spans="1:15" x14ac:dyDescent="0.2">
      <c r="A515">
        <v>99</v>
      </c>
      <c r="B515" t="s">
        <v>2117</v>
      </c>
      <c r="C515" t="s">
        <v>1776</v>
      </c>
      <c r="D515" t="s">
        <v>423</v>
      </c>
      <c r="E515" t="s">
        <v>2683</v>
      </c>
      <c r="F515">
        <v>1.3360000000000001</v>
      </c>
      <c r="G515">
        <v>55.495800000000003</v>
      </c>
      <c r="H515" t="s">
        <v>1152</v>
      </c>
      <c r="I515" t="s">
        <v>1152</v>
      </c>
      <c r="J515">
        <v>74.142388800000006</v>
      </c>
      <c r="K515">
        <v>226808.98157800001</v>
      </c>
      <c r="L515" t="s">
        <v>1401</v>
      </c>
      <c r="M515">
        <v>3059.1</v>
      </c>
      <c r="N515" t="s">
        <v>2698</v>
      </c>
      <c r="O515" t="s">
        <v>2697</v>
      </c>
    </row>
    <row r="516" spans="1:15" x14ac:dyDescent="0.2">
      <c r="A516">
        <v>99</v>
      </c>
      <c r="B516" t="s">
        <v>2117</v>
      </c>
      <c r="C516" t="s">
        <v>1776</v>
      </c>
      <c r="D516" t="s">
        <v>794</v>
      </c>
      <c r="E516" t="s">
        <v>446</v>
      </c>
      <c r="F516">
        <v>0</v>
      </c>
      <c r="G516">
        <v>11.1343</v>
      </c>
      <c r="H516" t="s">
        <v>151</v>
      </c>
      <c r="I516" t="s">
        <v>1152</v>
      </c>
      <c r="J516">
        <v>0</v>
      </c>
      <c r="K516">
        <v>0</v>
      </c>
      <c r="L516" t="s">
        <v>1401</v>
      </c>
      <c r="M516">
        <v>3059.1</v>
      </c>
      <c r="N516" t="s">
        <v>2702</v>
      </c>
      <c r="O516" t="s">
        <v>2697</v>
      </c>
    </row>
    <row r="517" spans="1:15" x14ac:dyDescent="0.2">
      <c r="A517">
        <v>99</v>
      </c>
      <c r="B517" t="s">
        <v>2117</v>
      </c>
      <c r="C517" t="s">
        <v>1776</v>
      </c>
      <c r="D517" t="s">
        <v>82</v>
      </c>
      <c r="E517" t="s">
        <v>2688</v>
      </c>
      <c r="F517">
        <v>9.2370000000000001</v>
      </c>
      <c r="G517">
        <v>2.04</v>
      </c>
      <c r="H517" t="s">
        <v>153</v>
      </c>
      <c r="I517" t="s">
        <v>1152</v>
      </c>
      <c r="J517">
        <v>18.84348</v>
      </c>
      <c r="K517">
        <v>57644.089668000001</v>
      </c>
      <c r="L517" t="s">
        <v>1401</v>
      </c>
      <c r="M517">
        <v>3059.1</v>
      </c>
      <c r="N517" t="s">
        <v>2700</v>
      </c>
      <c r="O517" t="s">
        <v>2697</v>
      </c>
    </row>
    <row r="518" spans="1:15" x14ac:dyDescent="0.2">
      <c r="A518">
        <v>99</v>
      </c>
      <c r="B518" t="s">
        <v>2117</v>
      </c>
      <c r="C518" t="s">
        <v>1776</v>
      </c>
      <c r="D518" t="s">
        <v>1047</v>
      </c>
      <c r="E518" t="s">
        <v>1127</v>
      </c>
      <c r="F518">
        <v>0.20799999999999999</v>
      </c>
      <c r="G518">
        <v>13.77</v>
      </c>
      <c r="H518" t="s">
        <v>1052</v>
      </c>
      <c r="I518" t="s">
        <v>1152</v>
      </c>
      <c r="J518">
        <v>2.86416</v>
      </c>
      <c r="K518">
        <v>8761.7518560000008</v>
      </c>
      <c r="L518" t="s">
        <v>1401</v>
      </c>
      <c r="M518">
        <v>3059.1</v>
      </c>
      <c r="N518" t="s">
        <v>2696</v>
      </c>
      <c r="O518" t="s">
        <v>2697</v>
      </c>
    </row>
    <row r="519" spans="1:15" x14ac:dyDescent="0.2">
      <c r="A519">
        <v>99</v>
      </c>
      <c r="B519" t="s">
        <v>2117</v>
      </c>
      <c r="C519" t="s">
        <v>1776</v>
      </c>
      <c r="D519" t="s">
        <v>944</v>
      </c>
      <c r="E519" t="s">
        <v>1601</v>
      </c>
      <c r="F519">
        <v>0</v>
      </c>
      <c r="G519">
        <v>19.170000000000002</v>
      </c>
      <c r="H519" t="s">
        <v>151</v>
      </c>
      <c r="I519" t="s">
        <v>1152</v>
      </c>
      <c r="J519">
        <v>0</v>
      </c>
      <c r="K519">
        <v>0</v>
      </c>
      <c r="L519" t="s">
        <v>1401</v>
      </c>
      <c r="M519">
        <v>3059.1</v>
      </c>
      <c r="N519" t="s">
        <v>2701</v>
      </c>
      <c r="O519" t="s">
        <v>2697</v>
      </c>
    </row>
    <row r="520" spans="1:15" x14ac:dyDescent="0.2">
      <c r="A520">
        <v>99</v>
      </c>
      <c r="B520" t="s">
        <v>2117</v>
      </c>
      <c r="C520" t="s">
        <v>1776</v>
      </c>
      <c r="D520" t="s">
        <v>498</v>
      </c>
      <c r="E520" t="s">
        <v>773</v>
      </c>
      <c r="F520">
        <v>1.2</v>
      </c>
      <c r="G520">
        <v>0</v>
      </c>
      <c r="H520" t="s">
        <v>84</v>
      </c>
      <c r="I520" t="s">
        <v>1152</v>
      </c>
      <c r="J520">
        <v>0</v>
      </c>
      <c r="K520">
        <v>0</v>
      </c>
      <c r="L520" t="s">
        <v>1401</v>
      </c>
      <c r="M520">
        <v>3059.1</v>
      </c>
      <c r="N520" t="s">
        <v>2703</v>
      </c>
      <c r="O520" t="s">
        <v>2697</v>
      </c>
    </row>
    <row r="521" spans="1:15" x14ac:dyDescent="0.2">
      <c r="A521">
        <v>99</v>
      </c>
      <c r="B521" t="s">
        <v>2117</v>
      </c>
      <c r="C521" t="s">
        <v>1776</v>
      </c>
      <c r="D521" t="s">
        <v>1970</v>
      </c>
      <c r="E521" t="s">
        <v>1166</v>
      </c>
      <c r="F521">
        <v>0</v>
      </c>
      <c r="G521">
        <v>30.29</v>
      </c>
      <c r="H521" t="s">
        <v>764</v>
      </c>
      <c r="I521" t="s">
        <v>1152</v>
      </c>
      <c r="J521">
        <v>0</v>
      </c>
      <c r="K521">
        <v>0</v>
      </c>
      <c r="L521" t="s">
        <v>1401</v>
      </c>
      <c r="M521">
        <v>3059.1</v>
      </c>
      <c r="N521" t="s">
        <v>2704</v>
      </c>
      <c r="O521" t="s">
        <v>2697</v>
      </c>
    </row>
    <row r="522" spans="1:15" x14ac:dyDescent="0.2">
      <c r="A522">
        <v>99</v>
      </c>
      <c r="B522" t="s">
        <v>2117</v>
      </c>
      <c r="C522" t="s">
        <v>1776</v>
      </c>
      <c r="D522" t="s">
        <v>189</v>
      </c>
      <c r="E522" t="s">
        <v>2685</v>
      </c>
      <c r="F522">
        <v>2.3079999999999998</v>
      </c>
      <c r="G522">
        <v>11.05</v>
      </c>
      <c r="H522" t="s">
        <v>153</v>
      </c>
      <c r="I522" t="s">
        <v>1152</v>
      </c>
      <c r="J522">
        <v>25.503399999999999</v>
      </c>
      <c r="K522">
        <v>78017.450939999995</v>
      </c>
      <c r="L522" t="s">
        <v>1401</v>
      </c>
      <c r="M522">
        <v>3059.1</v>
      </c>
      <c r="N522" t="s">
        <v>2699</v>
      </c>
      <c r="O522" t="s">
        <v>2697</v>
      </c>
    </row>
    <row r="523" spans="1:15" x14ac:dyDescent="0.2">
      <c r="A523">
        <v>99</v>
      </c>
      <c r="B523" t="s">
        <v>2117</v>
      </c>
      <c r="C523" t="s">
        <v>1779</v>
      </c>
      <c r="D523" t="s">
        <v>189</v>
      </c>
      <c r="E523" t="s">
        <v>2685</v>
      </c>
      <c r="F523">
        <v>0.16600000000000001</v>
      </c>
      <c r="G523">
        <v>11.05</v>
      </c>
      <c r="H523" t="s">
        <v>153</v>
      </c>
      <c r="I523" t="s">
        <v>1152</v>
      </c>
      <c r="J523">
        <v>1.8343</v>
      </c>
      <c r="K523">
        <v>5611.3071300000001</v>
      </c>
      <c r="L523" t="s">
        <v>1406</v>
      </c>
      <c r="M523">
        <v>3059.1</v>
      </c>
      <c r="N523" t="s">
        <v>2709</v>
      </c>
      <c r="O523" t="s">
        <v>2707</v>
      </c>
    </row>
    <row r="524" spans="1:15" x14ac:dyDescent="0.2">
      <c r="A524">
        <v>99</v>
      </c>
      <c r="B524" t="s">
        <v>2117</v>
      </c>
      <c r="C524" t="s">
        <v>1779</v>
      </c>
      <c r="D524" t="s">
        <v>1970</v>
      </c>
      <c r="E524" t="s">
        <v>1166</v>
      </c>
      <c r="F524">
        <v>0</v>
      </c>
      <c r="G524">
        <v>30.29</v>
      </c>
      <c r="H524" t="s">
        <v>764</v>
      </c>
      <c r="I524" t="s">
        <v>1152</v>
      </c>
      <c r="J524">
        <v>0</v>
      </c>
      <c r="K524">
        <v>0</v>
      </c>
      <c r="L524" t="s">
        <v>1406</v>
      </c>
      <c r="M524">
        <v>3059.1</v>
      </c>
      <c r="N524" t="s">
        <v>2714</v>
      </c>
      <c r="O524" t="s">
        <v>2707</v>
      </c>
    </row>
    <row r="525" spans="1:15" x14ac:dyDescent="0.2">
      <c r="A525">
        <v>99</v>
      </c>
      <c r="B525" t="s">
        <v>2117</v>
      </c>
      <c r="C525" t="s">
        <v>1779</v>
      </c>
      <c r="D525" t="s">
        <v>498</v>
      </c>
      <c r="E525" t="s">
        <v>773</v>
      </c>
      <c r="F525">
        <v>1.2</v>
      </c>
      <c r="G525">
        <v>0</v>
      </c>
      <c r="H525" t="s">
        <v>84</v>
      </c>
      <c r="I525" t="s">
        <v>1152</v>
      </c>
      <c r="J525">
        <v>0</v>
      </c>
      <c r="K525">
        <v>0</v>
      </c>
      <c r="L525" t="s">
        <v>1406</v>
      </c>
      <c r="M525">
        <v>3059.1</v>
      </c>
      <c r="N525" t="s">
        <v>2713</v>
      </c>
      <c r="O525" t="s">
        <v>2707</v>
      </c>
    </row>
    <row r="526" spans="1:15" x14ac:dyDescent="0.2">
      <c r="A526">
        <v>99</v>
      </c>
      <c r="B526" t="s">
        <v>2117</v>
      </c>
      <c r="C526" t="s">
        <v>1779</v>
      </c>
      <c r="D526" t="s">
        <v>944</v>
      </c>
      <c r="E526" t="s">
        <v>1601</v>
      </c>
      <c r="F526">
        <v>0</v>
      </c>
      <c r="G526">
        <v>19.170000000000002</v>
      </c>
      <c r="H526" t="s">
        <v>151</v>
      </c>
      <c r="I526" t="s">
        <v>1152</v>
      </c>
      <c r="J526">
        <v>0</v>
      </c>
      <c r="K526">
        <v>0</v>
      </c>
      <c r="L526" t="s">
        <v>1406</v>
      </c>
      <c r="M526">
        <v>3059.1</v>
      </c>
      <c r="N526" t="s">
        <v>2711</v>
      </c>
      <c r="O526" t="s">
        <v>2707</v>
      </c>
    </row>
    <row r="527" spans="1:15" x14ac:dyDescent="0.2">
      <c r="A527">
        <v>99</v>
      </c>
      <c r="B527" t="s">
        <v>2117</v>
      </c>
      <c r="C527" t="s">
        <v>1779</v>
      </c>
      <c r="D527" t="s">
        <v>1047</v>
      </c>
      <c r="E527" t="s">
        <v>1127</v>
      </c>
      <c r="F527">
        <v>0.159</v>
      </c>
      <c r="G527">
        <v>13.77</v>
      </c>
      <c r="H527" t="s">
        <v>1052</v>
      </c>
      <c r="I527" t="s">
        <v>1152</v>
      </c>
      <c r="J527">
        <v>2.1894300000000002</v>
      </c>
      <c r="K527">
        <v>6697.685313</v>
      </c>
      <c r="L527" t="s">
        <v>1406</v>
      </c>
      <c r="M527">
        <v>3059.1</v>
      </c>
      <c r="N527" t="s">
        <v>2706</v>
      </c>
      <c r="O527" t="s">
        <v>2707</v>
      </c>
    </row>
    <row r="528" spans="1:15" x14ac:dyDescent="0.2">
      <c r="A528">
        <v>99</v>
      </c>
      <c r="B528" t="s">
        <v>2117</v>
      </c>
      <c r="C528" t="s">
        <v>1779</v>
      </c>
      <c r="D528" t="s">
        <v>82</v>
      </c>
      <c r="E528" t="s">
        <v>2688</v>
      </c>
      <c r="F528">
        <v>6.952</v>
      </c>
      <c r="G528">
        <v>2.04</v>
      </c>
      <c r="H528" t="s">
        <v>153</v>
      </c>
      <c r="I528" t="s">
        <v>1152</v>
      </c>
      <c r="J528">
        <v>14.182079999999999</v>
      </c>
      <c r="K528">
        <v>43384.400928000003</v>
      </c>
      <c r="L528" t="s">
        <v>1406</v>
      </c>
      <c r="M528">
        <v>3059.1</v>
      </c>
      <c r="N528" t="s">
        <v>2710</v>
      </c>
      <c r="O528" t="s">
        <v>2707</v>
      </c>
    </row>
    <row r="529" spans="1:15" x14ac:dyDescent="0.2">
      <c r="A529">
        <v>99</v>
      </c>
      <c r="B529" t="s">
        <v>2117</v>
      </c>
      <c r="C529" t="s">
        <v>1779</v>
      </c>
      <c r="D529" t="s">
        <v>794</v>
      </c>
      <c r="E529" t="s">
        <v>446</v>
      </c>
      <c r="F529">
        <v>0</v>
      </c>
      <c r="G529">
        <v>11.1343</v>
      </c>
      <c r="H529" t="s">
        <v>151</v>
      </c>
      <c r="I529" t="s">
        <v>1152</v>
      </c>
      <c r="J529">
        <v>0</v>
      </c>
      <c r="K529">
        <v>0</v>
      </c>
      <c r="L529" t="s">
        <v>1406</v>
      </c>
      <c r="M529">
        <v>3059.1</v>
      </c>
      <c r="N529" t="s">
        <v>2712</v>
      </c>
      <c r="O529" t="s">
        <v>2707</v>
      </c>
    </row>
    <row r="530" spans="1:15" x14ac:dyDescent="0.2">
      <c r="A530">
        <v>99</v>
      </c>
      <c r="B530" t="s">
        <v>2117</v>
      </c>
      <c r="C530" t="s">
        <v>1779</v>
      </c>
      <c r="D530" t="s">
        <v>423</v>
      </c>
      <c r="E530" t="s">
        <v>2683</v>
      </c>
      <c r="F530">
        <v>1.1459999999999999</v>
      </c>
      <c r="G530">
        <v>55.495800000000003</v>
      </c>
      <c r="H530" t="s">
        <v>1152</v>
      </c>
      <c r="I530" t="s">
        <v>1152</v>
      </c>
      <c r="J530">
        <v>63.598186800000001</v>
      </c>
      <c r="K530">
        <v>194553.21324000001</v>
      </c>
      <c r="L530" t="s">
        <v>1406</v>
      </c>
      <c r="M530">
        <v>3059.1</v>
      </c>
      <c r="N530" t="s">
        <v>2708</v>
      </c>
      <c r="O530" t="s">
        <v>2707</v>
      </c>
    </row>
    <row r="531" spans="1:15" x14ac:dyDescent="0.2">
      <c r="A531">
        <v>99</v>
      </c>
      <c r="B531" t="s">
        <v>2117</v>
      </c>
      <c r="C531" t="s">
        <v>1779</v>
      </c>
      <c r="D531" t="s">
        <v>1971</v>
      </c>
      <c r="E531" t="s">
        <v>1147</v>
      </c>
      <c r="F531">
        <v>0</v>
      </c>
      <c r="G531">
        <v>28.81</v>
      </c>
      <c r="H531" t="s">
        <v>742</v>
      </c>
      <c r="I531" t="s">
        <v>1152</v>
      </c>
      <c r="J531">
        <v>0</v>
      </c>
      <c r="K531">
        <v>0</v>
      </c>
      <c r="L531" t="s">
        <v>1406</v>
      </c>
      <c r="M531">
        <v>3059.1</v>
      </c>
      <c r="N531" t="s">
        <v>2715</v>
      </c>
      <c r="O531" t="s">
        <v>2707</v>
      </c>
    </row>
    <row r="532" spans="1:15" x14ac:dyDescent="0.2">
      <c r="A532">
        <v>99</v>
      </c>
      <c r="B532" t="s">
        <v>2117</v>
      </c>
      <c r="C532" t="s">
        <v>1823</v>
      </c>
      <c r="D532" t="s">
        <v>1971</v>
      </c>
      <c r="E532" t="s">
        <v>1147</v>
      </c>
      <c r="F532">
        <v>0</v>
      </c>
      <c r="G532">
        <v>28.81</v>
      </c>
      <c r="H532" t="s">
        <v>742</v>
      </c>
      <c r="I532" t="s">
        <v>1152</v>
      </c>
      <c r="J532">
        <v>0</v>
      </c>
      <c r="K532">
        <v>0</v>
      </c>
      <c r="L532" t="s">
        <v>1409</v>
      </c>
      <c r="M532">
        <v>12236.035</v>
      </c>
      <c r="N532" t="s">
        <v>2728</v>
      </c>
      <c r="O532" t="s">
        <v>2717</v>
      </c>
    </row>
    <row r="533" spans="1:15" x14ac:dyDescent="0.2">
      <c r="A533">
        <v>99</v>
      </c>
      <c r="B533" t="s">
        <v>2117</v>
      </c>
      <c r="C533" t="s">
        <v>1823</v>
      </c>
      <c r="D533" t="s">
        <v>423</v>
      </c>
      <c r="E533" t="s">
        <v>2683</v>
      </c>
      <c r="F533">
        <v>0.35139999999999999</v>
      </c>
      <c r="G533">
        <v>55.495800000000003</v>
      </c>
      <c r="H533" t="s">
        <v>1152</v>
      </c>
      <c r="I533" t="s">
        <v>1152</v>
      </c>
      <c r="J533">
        <v>19.50122412</v>
      </c>
      <c r="K533">
        <v>238617.660875</v>
      </c>
      <c r="L533" t="s">
        <v>1409</v>
      </c>
      <c r="M533">
        <v>12236.035</v>
      </c>
      <c r="N533" t="s">
        <v>2720</v>
      </c>
      <c r="O533" t="s">
        <v>2717</v>
      </c>
    </row>
    <row r="534" spans="1:15" x14ac:dyDescent="0.2">
      <c r="A534">
        <v>99</v>
      </c>
      <c r="B534" t="s">
        <v>2117</v>
      </c>
      <c r="C534" t="s">
        <v>1823</v>
      </c>
      <c r="D534" t="s">
        <v>794</v>
      </c>
      <c r="E534" t="s">
        <v>446</v>
      </c>
      <c r="F534">
        <v>0</v>
      </c>
      <c r="G534">
        <v>11.1343</v>
      </c>
      <c r="H534" t="s">
        <v>151</v>
      </c>
      <c r="I534" t="s">
        <v>1152</v>
      </c>
      <c r="J534">
        <v>0</v>
      </c>
      <c r="K534">
        <v>0</v>
      </c>
      <c r="L534" t="s">
        <v>1409</v>
      </c>
      <c r="M534">
        <v>12236.035</v>
      </c>
      <c r="N534" t="s">
        <v>2724</v>
      </c>
      <c r="O534" t="s">
        <v>2717</v>
      </c>
    </row>
    <row r="535" spans="1:15" x14ac:dyDescent="0.2">
      <c r="A535">
        <v>99</v>
      </c>
      <c r="B535" t="s">
        <v>2117</v>
      </c>
      <c r="C535" t="s">
        <v>1823</v>
      </c>
      <c r="D535" t="s">
        <v>1129</v>
      </c>
      <c r="E535" t="s">
        <v>2681</v>
      </c>
      <c r="F535">
        <v>0.01</v>
      </c>
      <c r="G535">
        <v>19.722200000000001</v>
      </c>
      <c r="H535" t="s">
        <v>152</v>
      </c>
      <c r="I535" t="s">
        <v>1152</v>
      </c>
      <c r="J535">
        <v>0.19722200000000001</v>
      </c>
      <c r="K535">
        <v>2413.215295</v>
      </c>
      <c r="L535" t="s">
        <v>1409</v>
      </c>
      <c r="M535">
        <v>12236.035</v>
      </c>
      <c r="N535" t="s">
        <v>2719</v>
      </c>
      <c r="O535" t="s">
        <v>2717</v>
      </c>
    </row>
    <row r="536" spans="1:15" x14ac:dyDescent="0.2">
      <c r="A536">
        <v>99</v>
      </c>
      <c r="B536" t="s">
        <v>2117</v>
      </c>
      <c r="C536" t="s">
        <v>1823</v>
      </c>
      <c r="D536" t="s">
        <v>82</v>
      </c>
      <c r="E536" t="s">
        <v>2688</v>
      </c>
      <c r="F536">
        <v>2.4293</v>
      </c>
      <c r="G536">
        <v>2.04</v>
      </c>
      <c r="H536" t="s">
        <v>153</v>
      </c>
      <c r="I536" t="s">
        <v>1152</v>
      </c>
      <c r="J536">
        <v>4.9557719999999996</v>
      </c>
      <c r="K536">
        <v>60638.999644000003</v>
      </c>
      <c r="L536" t="s">
        <v>1409</v>
      </c>
      <c r="M536">
        <v>12236.035</v>
      </c>
      <c r="N536" t="s">
        <v>2722</v>
      </c>
      <c r="O536" t="s">
        <v>2717</v>
      </c>
    </row>
    <row r="537" spans="1:15" x14ac:dyDescent="0.2">
      <c r="A537">
        <v>99</v>
      </c>
      <c r="B537" t="s">
        <v>2117</v>
      </c>
      <c r="C537" t="s">
        <v>1823</v>
      </c>
      <c r="D537" t="s">
        <v>1047</v>
      </c>
      <c r="E537" t="s">
        <v>1127</v>
      </c>
      <c r="F537">
        <v>5.4699999999999999E-2</v>
      </c>
      <c r="G537">
        <v>13.77</v>
      </c>
      <c r="H537" t="s">
        <v>1052</v>
      </c>
      <c r="I537" t="s">
        <v>1152</v>
      </c>
      <c r="J537">
        <v>0.75321899999999997</v>
      </c>
      <c r="K537">
        <v>9216.4140470000002</v>
      </c>
      <c r="L537" t="s">
        <v>1409</v>
      </c>
      <c r="M537">
        <v>12236.035</v>
      </c>
      <c r="N537" t="s">
        <v>2716</v>
      </c>
      <c r="O537" t="s">
        <v>2717</v>
      </c>
    </row>
    <row r="538" spans="1:15" x14ac:dyDescent="0.2">
      <c r="A538">
        <v>99</v>
      </c>
      <c r="B538" t="s">
        <v>2117</v>
      </c>
      <c r="C538" t="s">
        <v>1823</v>
      </c>
      <c r="D538" t="s">
        <v>944</v>
      </c>
      <c r="E538" t="s">
        <v>1601</v>
      </c>
      <c r="F538">
        <v>0</v>
      </c>
      <c r="G538">
        <v>19.170000000000002</v>
      </c>
      <c r="H538" t="s">
        <v>151</v>
      </c>
      <c r="I538" t="s">
        <v>1152</v>
      </c>
      <c r="J538">
        <v>0</v>
      </c>
      <c r="K538">
        <v>0</v>
      </c>
      <c r="L538" t="s">
        <v>1409</v>
      </c>
      <c r="M538">
        <v>12236.035</v>
      </c>
      <c r="N538" t="s">
        <v>2723</v>
      </c>
      <c r="O538" t="s">
        <v>2717</v>
      </c>
    </row>
    <row r="539" spans="1:15" x14ac:dyDescent="0.2">
      <c r="A539">
        <v>99</v>
      </c>
      <c r="B539" t="s">
        <v>2117</v>
      </c>
      <c r="C539" t="s">
        <v>1823</v>
      </c>
      <c r="D539" t="s">
        <v>498</v>
      </c>
      <c r="E539" t="s">
        <v>773</v>
      </c>
      <c r="F539">
        <v>1.2</v>
      </c>
      <c r="G539">
        <v>0</v>
      </c>
      <c r="H539" t="s">
        <v>84</v>
      </c>
      <c r="I539" t="s">
        <v>1152</v>
      </c>
      <c r="J539">
        <v>0</v>
      </c>
      <c r="K539">
        <v>0</v>
      </c>
      <c r="L539" t="s">
        <v>1409</v>
      </c>
      <c r="M539">
        <v>12236.035</v>
      </c>
      <c r="N539" t="s">
        <v>2726</v>
      </c>
      <c r="O539" t="s">
        <v>2717</v>
      </c>
    </row>
    <row r="540" spans="1:15" x14ac:dyDescent="0.2">
      <c r="A540">
        <v>99</v>
      </c>
      <c r="B540" t="s">
        <v>2117</v>
      </c>
      <c r="C540" t="s">
        <v>1823</v>
      </c>
      <c r="D540" t="s">
        <v>1065</v>
      </c>
      <c r="E540" t="s">
        <v>1026</v>
      </c>
      <c r="F540">
        <v>1.9E-2</v>
      </c>
      <c r="G540">
        <v>14.2</v>
      </c>
      <c r="H540" t="s">
        <v>1052</v>
      </c>
      <c r="I540" t="s">
        <v>1152</v>
      </c>
      <c r="J540">
        <v>0.26979999999999998</v>
      </c>
      <c r="K540">
        <v>3301.2822430000001</v>
      </c>
      <c r="L540" t="s">
        <v>1409</v>
      </c>
      <c r="M540">
        <v>12236.035</v>
      </c>
      <c r="N540" t="s">
        <v>2718</v>
      </c>
      <c r="O540" t="s">
        <v>2717</v>
      </c>
    </row>
    <row r="541" spans="1:15" x14ac:dyDescent="0.2">
      <c r="A541">
        <v>99</v>
      </c>
      <c r="B541" t="s">
        <v>2117</v>
      </c>
      <c r="C541" t="s">
        <v>1823</v>
      </c>
      <c r="D541" t="s">
        <v>1970</v>
      </c>
      <c r="E541" t="s">
        <v>1166</v>
      </c>
      <c r="F541">
        <v>0</v>
      </c>
      <c r="G541">
        <v>30.29</v>
      </c>
      <c r="H541" t="s">
        <v>764</v>
      </c>
      <c r="I541" t="s">
        <v>1152</v>
      </c>
      <c r="J541">
        <v>0</v>
      </c>
      <c r="K541">
        <v>0</v>
      </c>
      <c r="L541" t="s">
        <v>1409</v>
      </c>
      <c r="M541">
        <v>12236.035</v>
      </c>
      <c r="N541" t="s">
        <v>2727</v>
      </c>
      <c r="O541" t="s">
        <v>2717</v>
      </c>
    </row>
    <row r="542" spans="1:15" x14ac:dyDescent="0.2">
      <c r="A542">
        <v>99</v>
      </c>
      <c r="B542" t="s">
        <v>2117</v>
      </c>
      <c r="C542" t="s">
        <v>1823</v>
      </c>
      <c r="D542" t="s">
        <v>189</v>
      </c>
      <c r="E542" t="s">
        <v>2685</v>
      </c>
      <c r="F542">
        <v>0.60699999999999998</v>
      </c>
      <c r="G542">
        <v>11.05</v>
      </c>
      <c r="H542" t="s">
        <v>153</v>
      </c>
      <c r="I542" t="s">
        <v>1152</v>
      </c>
      <c r="J542">
        <v>6.7073499999999999</v>
      </c>
      <c r="K542">
        <v>82071.369357000003</v>
      </c>
      <c r="L542" t="s">
        <v>1409</v>
      </c>
      <c r="M542">
        <v>12236.035</v>
      </c>
      <c r="N542" t="s">
        <v>2721</v>
      </c>
      <c r="O542" t="s">
        <v>2717</v>
      </c>
    </row>
    <row r="543" spans="1:15" x14ac:dyDescent="0.2">
      <c r="A543">
        <v>99</v>
      </c>
      <c r="B543" t="s">
        <v>2117</v>
      </c>
      <c r="C543" t="s">
        <v>1823</v>
      </c>
      <c r="D543" t="s">
        <v>1568</v>
      </c>
      <c r="E543" t="s">
        <v>2692</v>
      </c>
      <c r="F543">
        <v>1</v>
      </c>
      <c r="G543">
        <v>49.4</v>
      </c>
      <c r="H543" t="s">
        <v>1152</v>
      </c>
      <c r="I543" t="s">
        <v>1152</v>
      </c>
      <c r="J543">
        <v>49.4</v>
      </c>
      <c r="K543">
        <v>604460.12899999996</v>
      </c>
      <c r="L543" t="s">
        <v>1409</v>
      </c>
      <c r="M543">
        <v>12236.035</v>
      </c>
      <c r="N543" t="s">
        <v>2725</v>
      </c>
      <c r="O543" t="s">
        <v>2717</v>
      </c>
    </row>
    <row r="544" spans="1:15" x14ac:dyDescent="0.2">
      <c r="A544">
        <v>99</v>
      </c>
      <c r="B544" t="s">
        <v>2117</v>
      </c>
      <c r="C544" t="s">
        <v>1824</v>
      </c>
      <c r="D544" t="s">
        <v>1568</v>
      </c>
      <c r="E544" t="s">
        <v>2692</v>
      </c>
      <c r="F544">
        <v>1</v>
      </c>
      <c r="G544">
        <v>49.4</v>
      </c>
      <c r="H544" t="s">
        <v>1152</v>
      </c>
      <c r="I544" t="s">
        <v>1152</v>
      </c>
      <c r="J544">
        <v>49.4</v>
      </c>
      <c r="K544">
        <v>604460.12899999996</v>
      </c>
      <c r="L544" t="s">
        <v>1413</v>
      </c>
      <c r="M544">
        <v>12236.035</v>
      </c>
      <c r="N544" t="s">
        <v>2738</v>
      </c>
      <c r="O544" t="s">
        <v>2730</v>
      </c>
    </row>
    <row r="545" spans="1:15" x14ac:dyDescent="0.2">
      <c r="A545">
        <v>99</v>
      </c>
      <c r="B545" t="s">
        <v>2117</v>
      </c>
      <c r="C545" t="s">
        <v>1824</v>
      </c>
      <c r="D545" t="s">
        <v>189</v>
      </c>
      <c r="E545" t="s">
        <v>2685</v>
      </c>
      <c r="F545">
        <v>0.5877</v>
      </c>
      <c r="G545">
        <v>11.05</v>
      </c>
      <c r="H545" t="s">
        <v>153</v>
      </c>
      <c r="I545" t="s">
        <v>1152</v>
      </c>
      <c r="J545">
        <v>6.4940850000000001</v>
      </c>
      <c r="K545">
        <v>79461.851353000005</v>
      </c>
      <c r="L545" t="s">
        <v>1413</v>
      </c>
      <c r="M545">
        <v>12236.035</v>
      </c>
      <c r="N545" t="s">
        <v>2734</v>
      </c>
      <c r="O545" t="s">
        <v>2730</v>
      </c>
    </row>
    <row r="546" spans="1:15" x14ac:dyDescent="0.2">
      <c r="A546">
        <v>99</v>
      </c>
      <c r="B546" t="s">
        <v>2117</v>
      </c>
      <c r="C546" t="s">
        <v>1824</v>
      </c>
      <c r="D546" t="s">
        <v>1970</v>
      </c>
      <c r="E546" t="s">
        <v>1166</v>
      </c>
      <c r="F546">
        <v>0</v>
      </c>
      <c r="G546">
        <v>30.29</v>
      </c>
      <c r="H546" t="s">
        <v>764</v>
      </c>
      <c r="I546" t="s">
        <v>1152</v>
      </c>
      <c r="J546">
        <v>0</v>
      </c>
      <c r="K546">
        <v>0</v>
      </c>
      <c r="L546" t="s">
        <v>1413</v>
      </c>
      <c r="M546">
        <v>12236.035</v>
      </c>
      <c r="N546" t="s">
        <v>2731</v>
      </c>
      <c r="O546" t="s">
        <v>2730</v>
      </c>
    </row>
    <row r="547" spans="1:15" x14ac:dyDescent="0.2">
      <c r="A547">
        <v>99</v>
      </c>
      <c r="B547" t="s">
        <v>2117</v>
      </c>
      <c r="C547" t="s">
        <v>1824</v>
      </c>
      <c r="D547" t="s">
        <v>1065</v>
      </c>
      <c r="E547" t="s">
        <v>1026</v>
      </c>
      <c r="F547">
        <v>3.3000000000000002E-2</v>
      </c>
      <c r="G547">
        <v>14.2</v>
      </c>
      <c r="H547" t="s">
        <v>1052</v>
      </c>
      <c r="I547" t="s">
        <v>1152</v>
      </c>
      <c r="J547">
        <v>0.46860000000000002</v>
      </c>
      <c r="K547">
        <v>5733.8060009999999</v>
      </c>
      <c r="L547" t="s">
        <v>1413</v>
      </c>
      <c r="M547">
        <v>12236.035</v>
      </c>
      <c r="N547" t="s">
        <v>2740</v>
      </c>
      <c r="O547" t="s">
        <v>2730</v>
      </c>
    </row>
    <row r="548" spans="1:15" x14ac:dyDescent="0.2">
      <c r="A548">
        <v>99</v>
      </c>
      <c r="B548" t="s">
        <v>2117</v>
      </c>
      <c r="C548" t="s">
        <v>1824</v>
      </c>
      <c r="D548" t="s">
        <v>498</v>
      </c>
      <c r="E548" t="s">
        <v>773</v>
      </c>
      <c r="F548">
        <v>1.2</v>
      </c>
      <c r="G548">
        <v>0</v>
      </c>
      <c r="H548" t="s">
        <v>84</v>
      </c>
      <c r="I548" t="s">
        <v>1152</v>
      </c>
      <c r="J548">
        <v>0</v>
      </c>
      <c r="K548">
        <v>0</v>
      </c>
      <c r="L548" t="s">
        <v>1413</v>
      </c>
      <c r="M548">
        <v>12236.035</v>
      </c>
      <c r="N548" t="s">
        <v>2729</v>
      </c>
      <c r="O548" t="s">
        <v>2730</v>
      </c>
    </row>
    <row r="549" spans="1:15" x14ac:dyDescent="0.2">
      <c r="A549">
        <v>99</v>
      </c>
      <c r="B549" t="s">
        <v>2117</v>
      </c>
      <c r="C549" t="s">
        <v>1824</v>
      </c>
      <c r="D549" t="s">
        <v>944</v>
      </c>
      <c r="E549" t="s">
        <v>1601</v>
      </c>
      <c r="F549">
        <v>0</v>
      </c>
      <c r="G549">
        <v>19.170000000000002</v>
      </c>
      <c r="H549" t="s">
        <v>151</v>
      </c>
      <c r="I549" t="s">
        <v>1152</v>
      </c>
      <c r="J549">
        <v>0</v>
      </c>
      <c r="K549">
        <v>0</v>
      </c>
      <c r="L549" t="s">
        <v>1413</v>
      </c>
      <c r="M549">
        <v>12236.035</v>
      </c>
      <c r="N549" t="s">
        <v>2736</v>
      </c>
      <c r="O549" t="s">
        <v>2730</v>
      </c>
    </row>
    <row r="550" spans="1:15" x14ac:dyDescent="0.2">
      <c r="A550">
        <v>99</v>
      </c>
      <c r="B550" t="s">
        <v>2117</v>
      </c>
      <c r="C550" t="s">
        <v>1824</v>
      </c>
      <c r="D550" t="s">
        <v>1047</v>
      </c>
      <c r="E550" t="s">
        <v>1127</v>
      </c>
      <c r="F550">
        <v>6.5799999999999997E-2</v>
      </c>
      <c r="G550">
        <v>13.77</v>
      </c>
      <c r="H550" t="s">
        <v>1052</v>
      </c>
      <c r="I550" t="s">
        <v>1152</v>
      </c>
      <c r="J550">
        <v>0.90606600000000004</v>
      </c>
      <c r="K550">
        <v>11086.655288</v>
      </c>
      <c r="L550" t="s">
        <v>1413</v>
      </c>
      <c r="M550">
        <v>12236.035</v>
      </c>
      <c r="N550" t="s">
        <v>2739</v>
      </c>
      <c r="O550" t="s">
        <v>2730</v>
      </c>
    </row>
    <row r="551" spans="1:15" x14ac:dyDescent="0.2">
      <c r="A551">
        <v>99</v>
      </c>
      <c r="B551" t="s">
        <v>2117</v>
      </c>
      <c r="C551" t="s">
        <v>1824</v>
      </c>
      <c r="D551" t="s">
        <v>82</v>
      </c>
      <c r="E551" t="s">
        <v>2688</v>
      </c>
      <c r="F551">
        <v>2.8780999999999999</v>
      </c>
      <c r="G551">
        <v>2.04</v>
      </c>
      <c r="H551" t="s">
        <v>153</v>
      </c>
      <c r="I551" t="s">
        <v>1152</v>
      </c>
      <c r="J551">
        <v>5.8713240000000004</v>
      </c>
      <c r="K551">
        <v>71841.725959999996</v>
      </c>
      <c r="L551" t="s">
        <v>1413</v>
      </c>
      <c r="M551">
        <v>12236.035</v>
      </c>
      <c r="N551" t="s">
        <v>2735</v>
      </c>
      <c r="O551" t="s">
        <v>2730</v>
      </c>
    </row>
    <row r="552" spans="1:15" x14ac:dyDescent="0.2">
      <c r="A552">
        <v>99</v>
      </c>
      <c r="B552" t="s">
        <v>2117</v>
      </c>
      <c r="C552" t="s">
        <v>1824</v>
      </c>
      <c r="D552" t="s">
        <v>1129</v>
      </c>
      <c r="E552" t="s">
        <v>2681</v>
      </c>
      <c r="F552">
        <v>0.01</v>
      </c>
      <c r="G552">
        <v>19.722200000000001</v>
      </c>
      <c r="H552" t="s">
        <v>152</v>
      </c>
      <c r="I552" t="s">
        <v>1152</v>
      </c>
      <c r="J552">
        <v>0.19722200000000001</v>
      </c>
      <c r="K552">
        <v>2413.215295</v>
      </c>
      <c r="L552" t="s">
        <v>1413</v>
      </c>
      <c r="M552">
        <v>12236.035</v>
      </c>
      <c r="N552" t="s">
        <v>2741</v>
      </c>
      <c r="O552" t="s">
        <v>2730</v>
      </c>
    </row>
    <row r="553" spans="1:15" x14ac:dyDescent="0.2">
      <c r="A553">
        <v>99</v>
      </c>
      <c r="B553" t="s">
        <v>2117</v>
      </c>
      <c r="C553" t="s">
        <v>1824</v>
      </c>
      <c r="D553" t="s">
        <v>794</v>
      </c>
      <c r="E553" t="s">
        <v>446</v>
      </c>
      <c r="F553">
        <v>0</v>
      </c>
      <c r="G553">
        <v>11.1343</v>
      </c>
      <c r="H553" t="s">
        <v>151</v>
      </c>
      <c r="I553" t="s">
        <v>1152</v>
      </c>
      <c r="J553">
        <v>0</v>
      </c>
      <c r="K553">
        <v>0</v>
      </c>
      <c r="L553" t="s">
        <v>1413</v>
      </c>
      <c r="M553">
        <v>12236.035</v>
      </c>
      <c r="N553" t="s">
        <v>2737</v>
      </c>
      <c r="O553" t="s">
        <v>2730</v>
      </c>
    </row>
    <row r="554" spans="1:15" x14ac:dyDescent="0.2">
      <c r="A554">
        <v>99</v>
      </c>
      <c r="B554" t="s">
        <v>2117</v>
      </c>
      <c r="C554" t="s">
        <v>1824</v>
      </c>
      <c r="D554" t="s">
        <v>423</v>
      </c>
      <c r="E554" t="s">
        <v>2683</v>
      </c>
      <c r="F554">
        <v>0.47439999999999999</v>
      </c>
      <c r="G554">
        <v>55.495800000000003</v>
      </c>
      <c r="H554" t="s">
        <v>1152</v>
      </c>
      <c r="I554" t="s">
        <v>1152</v>
      </c>
      <c r="J554">
        <v>26.327207520000002</v>
      </c>
      <c r="K554">
        <v>322140.632667</v>
      </c>
      <c r="L554" t="s">
        <v>1413</v>
      </c>
      <c r="M554">
        <v>12236.035</v>
      </c>
      <c r="N554" t="s">
        <v>2733</v>
      </c>
      <c r="O554" t="s">
        <v>2730</v>
      </c>
    </row>
    <row r="555" spans="1:15" x14ac:dyDescent="0.2">
      <c r="A555">
        <v>99</v>
      </c>
      <c r="B555" t="s">
        <v>2117</v>
      </c>
      <c r="C555" t="s">
        <v>1824</v>
      </c>
      <c r="D555" t="s">
        <v>1971</v>
      </c>
      <c r="E555" t="s">
        <v>1147</v>
      </c>
      <c r="F555">
        <v>0</v>
      </c>
      <c r="G555">
        <v>28.81</v>
      </c>
      <c r="H555" t="s">
        <v>742</v>
      </c>
      <c r="I555" t="s">
        <v>1152</v>
      </c>
      <c r="J555">
        <v>0</v>
      </c>
      <c r="K555">
        <v>0</v>
      </c>
      <c r="L555" t="s">
        <v>1413</v>
      </c>
      <c r="M555">
        <v>12236.035</v>
      </c>
      <c r="N555" t="s">
        <v>2732</v>
      </c>
      <c r="O555" t="s">
        <v>2730</v>
      </c>
    </row>
    <row r="556" spans="1:15" x14ac:dyDescent="0.2">
      <c r="A556">
        <v>99</v>
      </c>
      <c r="B556" t="s">
        <v>2117</v>
      </c>
      <c r="C556" t="s">
        <v>1826</v>
      </c>
      <c r="D556" t="s">
        <v>794</v>
      </c>
      <c r="E556" t="s">
        <v>446</v>
      </c>
      <c r="F556">
        <v>0</v>
      </c>
      <c r="G556">
        <v>11.1343</v>
      </c>
      <c r="H556" t="s">
        <v>151</v>
      </c>
      <c r="I556" t="s">
        <v>1152</v>
      </c>
      <c r="J556">
        <v>0</v>
      </c>
      <c r="K556">
        <v>0</v>
      </c>
      <c r="L556" t="s">
        <v>1417</v>
      </c>
      <c r="M556">
        <v>40834</v>
      </c>
      <c r="N556" t="s">
        <v>2744</v>
      </c>
      <c r="O556" t="s">
        <v>2743</v>
      </c>
    </row>
    <row r="557" spans="1:15" x14ac:dyDescent="0.2">
      <c r="A557">
        <v>99</v>
      </c>
      <c r="B557" t="s">
        <v>2117</v>
      </c>
      <c r="C557" t="s">
        <v>1826</v>
      </c>
      <c r="D557" t="s">
        <v>1557</v>
      </c>
      <c r="E557" t="s">
        <v>1481</v>
      </c>
      <c r="F557">
        <v>1</v>
      </c>
      <c r="G557">
        <v>14.6373</v>
      </c>
      <c r="H557" t="s">
        <v>1152</v>
      </c>
      <c r="I557" t="s">
        <v>1152</v>
      </c>
      <c r="J557">
        <v>14.6373</v>
      </c>
      <c r="K557">
        <v>597699.50820000004</v>
      </c>
      <c r="L557" t="s">
        <v>1417</v>
      </c>
      <c r="M557">
        <v>40834</v>
      </c>
      <c r="N557" t="s">
        <v>2745</v>
      </c>
      <c r="O557" t="s">
        <v>2743</v>
      </c>
    </row>
    <row r="558" spans="1:15" x14ac:dyDescent="0.2">
      <c r="A558">
        <v>99</v>
      </c>
      <c r="B558" t="s">
        <v>2117</v>
      </c>
      <c r="C558" t="s">
        <v>1826</v>
      </c>
      <c r="D558" t="s">
        <v>944</v>
      </c>
      <c r="E558" t="s">
        <v>1601</v>
      </c>
      <c r="F558">
        <v>0</v>
      </c>
      <c r="G558">
        <v>19.170000000000002</v>
      </c>
      <c r="H558" t="s">
        <v>151</v>
      </c>
      <c r="I558" t="s">
        <v>1152</v>
      </c>
      <c r="J558">
        <v>0</v>
      </c>
      <c r="K558">
        <v>0</v>
      </c>
      <c r="L558" t="s">
        <v>1417</v>
      </c>
      <c r="M558">
        <v>40834</v>
      </c>
      <c r="N558" t="s">
        <v>2742</v>
      </c>
      <c r="O558" t="s">
        <v>2743</v>
      </c>
    </row>
    <row r="559" spans="1:15" x14ac:dyDescent="0.2">
      <c r="A559">
        <v>99</v>
      </c>
      <c r="B559" t="s">
        <v>2117</v>
      </c>
      <c r="C559" t="s">
        <v>1826</v>
      </c>
      <c r="D559" t="s">
        <v>498</v>
      </c>
      <c r="E559" t="s">
        <v>773</v>
      </c>
      <c r="F559">
        <v>1.2</v>
      </c>
      <c r="G559">
        <v>0</v>
      </c>
      <c r="H559" t="s">
        <v>84</v>
      </c>
      <c r="I559" t="s">
        <v>1152</v>
      </c>
      <c r="J559">
        <v>0</v>
      </c>
      <c r="K559">
        <v>0</v>
      </c>
      <c r="L559" t="s">
        <v>1417</v>
      </c>
      <c r="M559">
        <v>40834</v>
      </c>
      <c r="N559" t="s">
        <v>2747</v>
      </c>
      <c r="O559" t="s">
        <v>2743</v>
      </c>
    </row>
    <row r="560" spans="1:15" x14ac:dyDescent="0.2">
      <c r="A560">
        <v>99</v>
      </c>
      <c r="B560" t="s">
        <v>2117</v>
      </c>
      <c r="C560" t="s">
        <v>1826</v>
      </c>
      <c r="D560" t="s">
        <v>1568</v>
      </c>
      <c r="E560" t="s">
        <v>2692</v>
      </c>
      <c r="F560">
        <v>1</v>
      </c>
      <c r="G560">
        <v>49.4</v>
      </c>
      <c r="H560" t="s">
        <v>1152</v>
      </c>
      <c r="I560" t="s">
        <v>1152</v>
      </c>
      <c r="J560">
        <v>49.4</v>
      </c>
      <c r="K560">
        <v>2017199.6</v>
      </c>
      <c r="L560" t="s">
        <v>1417</v>
      </c>
      <c r="M560">
        <v>40834</v>
      </c>
      <c r="N560" t="s">
        <v>2746</v>
      </c>
      <c r="O560" t="s">
        <v>2743</v>
      </c>
    </row>
    <row r="561" spans="1:15" x14ac:dyDescent="0.2">
      <c r="A561">
        <v>99</v>
      </c>
      <c r="B561" t="s">
        <v>2117</v>
      </c>
      <c r="C561" t="s">
        <v>4898</v>
      </c>
      <c r="D561" t="s">
        <v>1568</v>
      </c>
      <c r="E561" t="s">
        <v>2692</v>
      </c>
      <c r="F561">
        <v>1</v>
      </c>
      <c r="G561">
        <v>49.4</v>
      </c>
      <c r="H561" t="s">
        <v>1152</v>
      </c>
      <c r="I561" t="s">
        <v>1152</v>
      </c>
      <c r="J561">
        <v>49.4</v>
      </c>
      <c r="K561">
        <v>95458.584000000003</v>
      </c>
      <c r="L561" t="s">
        <v>1944</v>
      </c>
      <c r="M561">
        <v>1932.36</v>
      </c>
      <c r="N561" t="s">
        <v>4899</v>
      </c>
      <c r="O561" t="s">
        <v>4900</v>
      </c>
    </row>
    <row r="562" spans="1:15" x14ac:dyDescent="0.2">
      <c r="A562">
        <v>99</v>
      </c>
      <c r="B562" t="s">
        <v>2117</v>
      </c>
      <c r="C562" t="s">
        <v>4898</v>
      </c>
      <c r="D562" t="s">
        <v>189</v>
      </c>
      <c r="E562" t="s">
        <v>2685</v>
      </c>
      <c r="F562">
        <v>1.5549999999999999</v>
      </c>
      <c r="G562">
        <v>11.05</v>
      </c>
      <c r="H562" t="s">
        <v>153</v>
      </c>
      <c r="I562" t="s">
        <v>1152</v>
      </c>
      <c r="J562">
        <v>17.182749999999999</v>
      </c>
      <c r="K562">
        <v>33203.25879</v>
      </c>
      <c r="L562" t="s">
        <v>1944</v>
      </c>
      <c r="M562">
        <v>1932.36</v>
      </c>
      <c r="N562" t="s">
        <v>4901</v>
      </c>
      <c r="O562" t="s">
        <v>4900</v>
      </c>
    </row>
    <row r="563" spans="1:15" x14ac:dyDescent="0.2">
      <c r="A563">
        <v>99</v>
      </c>
      <c r="B563" t="s">
        <v>2117</v>
      </c>
      <c r="C563" t="s">
        <v>4898</v>
      </c>
      <c r="D563" t="s">
        <v>1970</v>
      </c>
      <c r="E563" t="s">
        <v>1166</v>
      </c>
      <c r="F563">
        <v>0</v>
      </c>
      <c r="G563">
        <v>30.29</v>
      </c>
      <c r="H563" t="s">
        <v>764</v>
      </c>
      <c r="I563" t="s">
        <v>1152</v>
      </c>
      <c r="J563">
        <v>0</v>
      </c>
      <c r="K563">
        <v>0</v>
      </c>
      <c r="L563" t="s">
        <v>1944</v>
      </c>
      <c r="M563">
        <v>1932.36</v>
      </c>
      <c r="N563" t="s">
        <v>4902</v>
      </c>
      <c r="O563" t="s">
        <v>4900</v>
      </c>
    </row>
    <row r="564" spans="1:15" x14ac:dyDescent="0.2">
      <c r="A564">
        <v>99</v>
      </c>
      <c r="B564" t="s">
        <v>2117</v>
      </c>
      <c r="C564" t="s">
        <v>4898</v>
      </c>
      <c r="D564" t="s">
        <v>498</v>
      </c>
      <c r="E564" t="s">
        <v>773</v>
      </c>
      <c r="F564">
        <v>1.2</v>
      </c>
      <c r="G564">
        <v>0</v>
      </c>
      <c r="H564" t="s">
        <v>84</v>
      </c>
      <c r="I564" t="s">
        <v>1152</v>
      </c>
      <c r="J564">
        <v>0</v>
      </c>
      <c r="K564">
        <v>0</v>
      </c>
      <c r="L564" t="s">
        <v>1944</v>
      </c>
      <c r="M564">
        <v>1932.36</v>
      </c>
      <c r="N564" t="s">
        <v>4903</v>
      </c>
      <c r="O564" t="s">
        <v>4900</v>
      </c>
    </row>
    <row r="565" spans="1:15" x14ac:dyDescent="0.2">
      <c r="A565">
        <v>99</v>
      </c>
      <c r="B565" t="s">
        <v>2117</v>
      </c>
      <c r="C565" t="s">
        <v>4898</v>
      </c>
      <c r="D565" t="s">
        <v>1065</v>
      </c>
      <c r="E565" t="s">
        <v>1026</v>
      </c>
      <c r="F565">
        <v>3.2000000000000001E-2</v>
      </c>
      <c r="G565">
        <v>14.2</v>
      </c>
      <c r="H565" t="s">
        <v>1052</v>
      </c>
      <c r="I565" t="s">
        <v>1152</v>
      </c>
      <c r="J565">
        <v>0.45440000000000003</v>
      </c>
      <c r="K565">
        <v>878.06438400000002</v>
      </c>
      <c r="L565" t="s">
        <v>1944</v>
      </c>
      <c r="M565">
        <v>1932.36</v>
      </c>
      <c r="N565" t="s">
        <v>4904</v>
      </c>
      <c r="O565" t="s">
        <v>4900</v>
      </c>
    </row>
    <row r="566" spans="1:15" x14ac:dyDescent="0.2">
      <c r="A566">
        <v>99</v>
      </c>
      <c r="B566" t="s">
        <v>2117</v>
      </c>
      <c r="C566" t="s">
        <v>4898</v>
      </c>
      <c r="D566" t="s">
        <v>944</v>
      </c>
      <c r="E566" t="s">
        <v>1601</v>
      </c>
      <c r="F566">
        <v>0</v>
      </c>
      <c r="G566">
        <v>19.170000000000002</v>
      </c>
      <c r="H566" t="s">
        <v>151</v>
      </c>
      <c r="I566" t="s">
        <v>1152</v>
      </c>
      <c r="J566">
        <v>0</v>
      </c>
      <c r="K566">
        <v>0</v>
      </c>
      <c r="L566" t="s">
        <v>1944</v>
      </c>
      <c r="M566">
        <v>1932.36</v>
      </c>
      <c r="N566" t="s">
        <v>4905</v>
      </c>
      <c r="O566" t="s">
        <v>4900</v>
      </c>
    </row>
    <row r="567" spans="1:15" x14ac:dyDescent="0.2">
      <c r="A567">
        <v>99</v>
      </c>
      <c r="B567" t="s">
        <v>2117</v>
      </c>
      <c r="C567" t="s">
        <v>4898</v>
      </c>
      <c r="D567" t="s">
        <v>1043</v>
      </c>
      <c r="E567" t="s">
        <v>1497</v>
      </c>
      <c r="F567">
        <v>1.2999999999999999E-2</v>
      </c>
      <c r="G567">
        <v>12.1</v>
      </c>
      <c r="H567" t="s">
        <v>1052</v>
      </c>
      <c r="I567" t="s">
        <v>1152</v>
      </c>
      <c r="J567">
        <v>0.1573</v>
      </c>
      <c r="K567">
        <v>303.96022799999997</v>
      </c>
      <c r="L567" t="s">
        <v>1944</v>
      </c>
      <c r="M567">
        <v>1932.36</v>
      </c>
      <c r="N567" t="s">
        <v>4906</v>
      </c>
      <c r="O567" t="s">
        <v>4900</v>
      </c>
    </row>
    <row r="568" spans="1:15" x14ac:dyDescent="0.2">
      <c r="A568">
        <v>99</v>
      </c>
      <c r="B568" t="s">
        <v>2117</v>
      </c>
      <c r="C568" t="s">
        <v>4898</v>
      </c>
      <c r="D568" t="s">
        <v>1129</v>
      </c>
      <c r="E568" t="s">
        <v>2681</v>
      </c>
      <c r="F568">
        <v>9.4999999999999998E-3</v>
      </c>
      <c r="G568">
        <v>19.722200000000001</v>
      </c>
      <c r="H568" t="s">
        <v>152</v>
      </c>
      <c r="I568" t="s">
        <v>1152</v>
      </c>
      <c r="J568">
        <v>0.1873609</v>
      </c>
      <c r="K568">
        <v>362.04870899999997</v>
      </c>
      <c r="L568" t="s">
        <v>1944</v>
      </c>
      <c r="M568">
        <v>1932.36</v>
      </c>
      <c r="N568" t="s">
        <v>4907</v>
      </c>
      <c r="O568" t="s">
        <v>4900</v>
      </c>
    </row>
    <row r="569" spans="1:15" x14ac:dyDescent="0.2">
      <c r="A569">
        <v>99</v>
      </c>
      <c r="B569" t="s">
        <v>2117</v>
      </c>
      <c r="C569" t="s">
        <v>4898</v>
      </c>
      <c r="D569" t="s">
        <v>794</v>
      </c>
      <c r="E569" t="s">
        <v>446</v>
      </c>
      <c r="F569">
        <v>0</v>
      </c>
      <c r="G569">
        <v>11.1343</v>
      </c>
      <c r="H569" t="s">
        <v>151</v>
      </c>
      <c r="I569" t="s">
        <v>1152</v>
      </c>
      <c r="J569">
        <v>0</v>
      </c>
      <c r="K569">
        <v>0</v>
      </c>
      <c r="L569" t="s">
        <v>1944</v>
      </c>
      <c r="M569">
        <v>1932.36</v>
      </c>
      <c r="N569" t="s">
        <v>4908</v>
      </c>
      <c r="O569" t="s">
        <v>4900</v>
      </c>
    </row>
    <row r="570" spans="1:15" x14ac:dyDescent="0.2">
      <c r="A570">
        <v>99</v>
      </c>
      <c r="B570" t="s">
        <v>2117</v>
      </c>
      <c r="C570" t="s">
        <v>4898</v>
      </c>
      <c r="D570" t="s">
        <v>1051</v>
      </c>
      <c r="E570" t="s">
        <v>1130</v>
      </c>
      <c r="F570">
        <v>3.4000000000000002E-2</v>
      </c>
      <c r="G570">
        <v>11.57</v>
      </c>
      <c r="H570" t="s">
        <v>1052</v>
      </c>
      <c r="I570" t="s">
        <v>1152</v>
      </c>
      <c r="J570">
        <v>0.39338000000000001</v>
      </c>
      <c r="K570">
        <v>760.15177700000004</v>
      </c>
      <c r="L570" t="s">
        <v>1944</v>
      </c>
      <c r="M570">
        <v>1932.36</v>
      </c>
      <c r="N570" t="s">
        <v>4909</v>
      </c>
      <c r="O570" t="s">
        <v>4900</v>
      </c>
    </row>
    <row r="571" spans="1:15" x14ac:dyDescent="0.2">
      <c r="A571">
        <v>99</v>
      </c>
      <c r="B571" t="s">
        <v>2117</v>
      </c>
      <c r="C571" t="s">
        <v>4898</v>
      </c>
      <c r="D571" t="s">
        <v>1971</v>
      </c>
      <c r="E571" t="s">
        <v>1147</v>
      </c>
      <c r="F571">
        <v>0</v>
      </c>
      <c r="G571">
        <v>28.81</v>
      </c>
      <c r="H571" t="s">
        <v>742</v>
      </c>
      <c r="I571" t="s">
        <v>1152</v>
      </c>
      <c r="J571">
        <v>0</v>
      </c>
      <c r="K571">
        <v>0</v>
      </c>
      <c r="L571" t="s">
        <v>1944</v>
      </c>
      <c r="M571">
        <v>1932.36</v>
      </c>
      <c r="N571" t="s">
        <v>4910</v>
      </c>
      <c r="O571" t="s">
        <v>4900</v>
      </c>
    </row>
    <row r="572" spans="1:15" x14ac:dyDescent="0.2">
      <c r="A572">
        <v>99</v>
      </c>
      <c r="B572" t="s">
        <v>2117</v>
      </c>
      <c r="C572" t="s">
        <v>4898</v>
      </c>
      <c r="D572" t="s">
        <v>423</v>
      </c>
      <c r="E572" t="s">
        <v>2683</v>
      </c>
      <c r="F572">
        <v>0.33400000000000002</v>
      </c>
      <c r="G572">
        <v>55.495800000000003</v>
      </c>
      <c r="H572" t="s">
        <v>1152</v>
      </c>
      <c r="I572" t="s">
        <v>1152</v>
      </c>
      <c r="J572">
        <v>18.535597200000002</v>
      </c>
      <c r="K572">
        <v>35817.446604999997</v>
      </c>
      <c r="L572" t="s">
        <v>1944</v>
      </c>
      <c r="M572">
        <v>1932.36</v>
      </c>
      <c r="N572" t="s">
        <v>4911</v>
      </c>
      <c r="O572" t="s">
        <v>4900</v>
      </c>
    </row>
    <row r="573" spans="1:15" x14ac:dyDescent="0.2">
      <c r="A573">
        <v>99</v>
      </c>
      <c r="B573" t="s">
        <v>2117</v>
      </c>
      <c r="C573" t="s">
        <v>4898</v>
      </c>
      <c r="D573" t="s">
        <v>320</v>
      </c>
      <c r="E573" t="s">
        <v>2871</v>
      </c>
      <c r="F573">
        <v>0.6</v>
      </c>
      <c r="G573">
        <v>18.329999999999998</v>
      </c>
      <c r="H573" t="s">
        <v>153</v>
      </c>
      <c r="I573" t="s">
        <v>1152</v>
      </c>
      <c r="J573">
        <v>10.997999999999999</v>
      </c>
      <c r="K573">
        <v>21252.095280000001</v>
      </c>
      <c r="L573" t="s">
        <v>1944</v>
      </c>
      <c r="M573">
        <v>1932.36</v>
      </c>
      <c r="N573" t="s">
        <v>4912</v>
      </c>
      <c r="O573" t="s">
        <v>4900</v>
      </c>
    </row>
    <row r="574" spans="1:15" x14ac:dyDescent="0.2">
      <c r="A574">
        <v>99</v>
      </c>
      <c r="B574" t="s">
        <v>2117</v>
      </c>
      <c r="C574" t="s">
        <v>4898</v>
      </c>
      <c r="D574" t="s">
        <v>82</v>
      </c>
      <c r="E574" t="s">
        <v>2688</v>
      </c>
      <c r="F574">
        <v>1.796</v>
      </c>
      <c r="G574">
        <v>2.04</v>
      </c>
      <c r="H574" t="s">
        <v>153</v>
      </c>
      <c r="I574" t="s">
        <v>1152</v>
      </c>
      <c r="J574">
        <v>3.66384</v>
      </c>
      <c r="K574">
        <v>7079.8578619999998</v>
      </c>
      <c r="L574" t="s">
        <v>1944</v>
      </c>
      <c r="M574">
        <v>1932.36</v>
      </c>
      <c r="N574" t="s">
        <v>4913</v>
      </c>
      <c r="O574" t="s">
        <v>4900</v>
      </c>
    </row>
    <row r="575" spans="1:15" x14ac:dyDescent="0.2">
      <c r="A575">
        <v>99</v>
      </c>
      <c r="B575" t="s">
        <v>2117</v>
      </c>
      <c r="C575" t="s">
        <v>1623</v>
      </c>
      <c r="D575" t="s">
        <v>1969</v>
      </c>
      <c r="E575" t="s">
        <v>2502</v>
      </c>
      <c r="F575">
        <v>0</v>
      </c>
      <c r="G575">
        <v>0.53</v>
      </c>
      <c r="H575" t="s">
        <v>742</v>
      </c>
      <c r="I575" t="s">
        <v>1153</v>
      </c>
      <c r="J575">
        <v>0</v>
      </c>
      <c r="K575">
        <v>0</v>
      </c>
      <c r="L575" t="s">
        <v>75</v>
      </c>
      <c r="M575">
        <v>35.93</v>
      </c>
      <c r="N575" t="s">
        <v>2757</v>
      </c>
      <c r="O575" t="s">
        <v>2749</v>
      </c>
    </row>
    <row r="576" spans="1:15" x14ac:dyDescent="0.2">
      <c r="A576">
        <v>99</v>
      </c>
      <c r="B576" t="s">
        <v>2117</v>
      </c>
      <c r="C576" t="s">
        <v>1623</v>
      </c>
      <c r="D576" t="s">
        <v>801</v>
      </c>
      <c r="E576" t="s">
        <v>402</v>
      </c>
      <c r="F576">
        <v>0</v>
      </c>
      <c r="G576">
        <v>10.3</v>
      </c>
      <c r="H576" t="s">
        <v>151</v>
      </c>
      <c r="I576" t="s">
        <v>1153</v>
      </c>
      <c r="J576">
        <v>0</v>
      </c>
      <c r="K576">
        <v>0</v>
      </c>
      <c r="L576" t="s">
        <v>75</v>
      </c>
      <c r="M576">
        <v>35.93</v>
      </c>
      <c r="N576" t="s">
        <v>2753</v>
      </c>
      <c r="O576" t="s">
        <v>2749</v>
      </c>
    </row>
    <row r="577" spans="1:15" x14ac:dyDescent="0.2">
      <c r="A577">
        <v>99</v>
      </c>
      <c r="B577" t="s">
        <v>2117</v>
      </c>
      <c r="C577" t="s">
        <v>1623</v>
      </c>
      <c r="D577" t="s">
        <v>814</v>
      </c>
      <c r="E577" t="s">
        <v>1959</v>
      </c>
      <c r="F577">
        <v>1.0349999999999999</v>
      </c>
      <c r="G577">
        <v>55</v>
      </c>
      <c r="H577" t="s">
        <v>1153</v>
      </c>
      <c r="I577" t="s">
        <v>1153</v>
      </c>
      <c r="J577">
        <v>56.924999999999997</v>
      </c>
      <c r="K577">
        <v>2045.3152500000001</v>
      </c>
      <c r="L577" t="s">
        <v>75</v>
      </c>
      <c r="M577">
        <v>35.93</v>
      </c>
      <c r="N577" t="s">
        <v>2748</v>
      </c>
      <c r="O577" t="s">
        <v>2749</v>
      </c>
    </row>
    <row r="578" spans="1:15" x14ac:dyDescent="0.2">
      <c r="A578">
        <v>99</v>
      </c>
      <c r="B578" t="s">
        <v>2117</v>
      </c>
      <c r="C578" t="s">
        <v>1623</v>
      </c>
      <c r="D578" t="s">
        <v>1575</v>
      </c>
      <c r="E578" t="s">
        <v>2428</v>
      </c>
      <c r="F578">
        <v>1</v>
      </c>
      <c r="G578">
        <v>96.42</v>
      </c>
      <c r="H578" t="s">
        <v>1153</v>
      </c>
      <c r="I578" t="s">
        <v>1153</v>
      </c>
      <c r="J578">
        <v>96.42</v>
      </c>
      <c r="K578">
        <v>3464.3706000000002</v>
      </c>
      <c r="L578" t="s">
        <v>75</v>
      </c>
      <c r="M578">
        <v>35.93</v>
      </c>
      <c r="N578" t="s">
        <v>2754</v>
      </c>
      <c r="O578" t="s">
        <v>2749</v>
      </c>
    </row>
    <row r="579" spans="1:15" x14ac:dyDescent="0.2">
      <c r="A579">
        <v>99</v>
      </c>
      <c r="B579" t="s">
        <v>2117</v>
      </c>
      <c r="C579" t="s">
        <v>1623</v>
      </c>
      <c r="D579" t="s">
        <v>686</v>
      </c>
      <c r="E579" t="s">
        <v>846</v>
      </c>
      <c r="F579">
        <v>1.1499999999999999</v>
      </c>
      <c r="G579">
        <v>540</v>
      </c>
      <c r="H579" t="s">
        <v>1153</v>
      </c>
      <c r="I579" t="s">
        <v>1153</v>
      </c>
      <c r="J579">
        <v>621</v>
      </c>
      <c r="K579">
        <v>22312.53</v>
      </c>
      <c r="L579" t="s">
        <v>75</v>
      </c>
      <c r="M579">
        <v>35.93</v>
      </c>
      <c r="N579" t="s">
        <v>2751</v>
      </c>
      <c r="O579" t="s">
        <v>2749</v>
      </c>
    </row>
    <row r="580" spans="1:15" x14ac:dyDescent="0.2">
      <c r="A580">
        <v>99</v>
      </c>
      <c r="B580" t="s">
        <v>2117</v>
      </c>
      <c r="C580" t="s">
        <v>1623</v>
      </c>
      <c r="D580" t="s">
        <v>498</v>
      </c>
      <c r="E580" t="s">
        <v>773</v>
      </c>
      <c r="F580">
        <v>1.2</v>
      </c>
      <c r="G580">
        <v>0</v>
      </c>
      <c r="H580" t="s">
        <v>84</v>
      </c>
      <c r="I580" t="s">
        <v>1153</v>
      </c>
      <c r="J580">
        <v>0</v>
      </c>
      <c r="K580">
        <v>0</v>
      </c>
      <c r="L580" t="s">
        <v>75</v>
      </c>
      <c r="M580">
        <v>35.93</v>
      </c>
      <c r="N580" t="s">
        <v>2755</v>
      </c>
      <c r="O580" t="s">
        <v>2749</v>
      </c>
    </row>
    <row r="581" spans="1:15" x14ac:dyDescent="0.2">
      <c r="A581">
        <v>99</v>
      </c>
      <c r="B581" t="s">
        <v>2117</v>
      </c>
      <c r="C581" t="s">
        <v>1623</v>
      </c>
      <c r="D581" t="s">
        <v>1968</v>
      </c>
      <c r="E581" t="s">
        <v>2500</v>
      </c>
      <c r="F581">
        <v>0</v>
      </c>
      <c r="G581">
        <v>1.39</v>
      </c>
      <c r="H581" t="s">
        <v>764</v>
      </c>
      <c r="I581" t="s">
        <v>1153</v>
      </c>
      <c r="J581">
        <v>0</v>
      </c>
      <c r="K581">
        <v>0</v>
      </c>
      <c r="L581" t="s">
        <v>75</v>
      </c>
      <c r="M581">
        <v>35.93</v>
      </c>
      <c r="N581" t="s">
        <v>2756</v>
      </c>
      <c r="O581" t="s">
        <v>2749</v>
      </c>
    </row>
    <row r="582" spans="1:15" x14ac:dyDescent="0.2">
      <c r="A582">
        <v>99</v>
      </c>
      <c r="B582" t="s">
        <v>2117</v>
      </c>
      <c r="C582" t="s">
        <v>1623</v>
      </c>
      <c r="D582" t="s">
        <v>1009</v>
      </c>
      <c r="E582" t="s">
        <v>672</v>
      </c>
      <c r="F582">
        <v>0</v>
      </c>
      <c r="G582">
        <v>16.489999999999998</v>
      </c>
      <c r="H582" t="s">
        <v>151</v>
      </c>
      <c r="I582" t="s">
        <v>1153</v>
      </c>
      <c r="J582">
        <v>0</v>
      </c>
      <c r="K582">
        <v>0</v>
      </c>
      <c r="L582" t="s">
        <v>75</v>
      </c>
      <c r="M582">
        <v>35.93</v>
      </c>
      <c r="N582" t="s">
        <v>2752</v>
      </c>
      <c r="O582" t="s">
        <v>2749</v>
      </c>
    </row>
    <row r="583" spans="1:15" x14ac:dyDescent="0.2">
      <c r="A583">
        <v>99</v>
      </c>
      <c r="B583" t="s">
        <v>2117</v>
      </c>
      <c r="C583" t="s">
        <v>1623</v>
      </c>
      <c r="D583" t="s">
        <v>818</v>
      </c>
      <c r="E583" t="s">
        <v>2424</v>
      </c>
      <c r="F583">
        <v>0.115</v>
      </c>
      <c r="G583">
        <v>100</v>
      </c>
      <c r="H583" t="s">
        <v>1153</v>
      </c>
      <c r="I583" t="s">
        <v>1153</v>
      </c>
      <c r="J583">
        <v>11.5</v>
      </c>
      <c r="K583">
        <v>413.19499999999999</v>
      </c>
      <c r="L583" t="s">
        <v>75</v>
      </c>
      <c r="M583">
        <v>35.93</v>
      </c>
      <c r="N583" t="s">
        <v>2750</v>
      </c>
      <c r="O583" t="s">
        <v>2749</v>
      </c>
    </row>
    <row r="584" spans="1:15" x14ac:dyDescent="0.2">
      <c r="A584">
        <v>99</v>
      </c>
      <c r="B584" t="s">
        <v>2117</v>
      </c>
      <c r="C584" t="s">
        <v>1629</v>
      </c>
      <c r="D584" t="s">
        <v>818</v>
      </c>
      <c r="E584" t="s">
        <v>2424</v>
      </c>
      <c r="F584">
        <v>0.1103</v>
      </c>
      <c r="G584">
        <v>100</v>
      </c>
      <c r="H584" t="s">
        <v>1153</v>
      </c>
      <c r="I584" t="s">
        <v>1153</v>
      </c>
      <c r="J584">
        <v>11.03</v>
      </c>
      <c r="K584">
        <v>2867.8</v>
      </c>
      <c r="L584" t="s">
        <v>1535</v>
      </c>
      <c r="M584">
        <v>260</v>
      </c>
      <c r="N584" t="s">
        <v>2760</v>
      </c>
      <c r="O584" t="s">
        <v>2759</v>
      </c>
    </row>
    <row r="585" spans="1:15" x14ac:dyDescent="0.2">
      <c r="A585">
        <v>99</v>
      </c>
      <c r="B585" t="s">
        <v>2117</v>
      </c>
      <c r="C585" t="s">
        <v>1629</v>
      </c>
      <c r="D585" t="s">
        <v>1009</v>
      </c>
      <c r="E585" t="s">
        <v>672</v>
      </c>
      <c r="F585">
        <v>0</v>
      </c>
      <c r="G585">
        <v>16.489999999999998</v>
      </c>
      <c r="H585" t="s">
        <v>151</v>
      </c>
      <c r="I585" t="s">
        <v>1153</v>
      </c>
      <c r="J585">
        <v>0</v>
      </c>
      <c r="K585">
        <v>0</v>
      </c>
      <c r="L585" t="s">
        <v>1535</v>
      </c>
      <c r="M585">
        <v>260</v>
      </c>
      <c r="N585" t="s">
        <v>2764</v>
      </c>
      <c r="O585" t="s">
        <v>2759</v>
      </c>
    </row>
    <row r="586" spans="1:15" x14ac:dyDescent="0.2">
      <c r="A586">
        <v>99</v>
      </c>
      <c r="B586" t="s">
        <v>2117</v>
      </c>
      <c r="C586" t="s">
        <v>1629</v>
      </c>
      <c r="D586" t="s">
        <v>1968</v>
      </c>
      <c r="E586" t="s">
        <v>2500</v>
      </c>
      <c r="F586">
        <v>0</v>
      </c>
      <c r="G586">
        <v>1.39</v>
      </c>
      <c r="H586" t="s">
        <v>764</v>
      </c>
      <c r="I586" t="s">
        <v>1153</v>
      </c>
      <c r="J586">
        <v>0</v>
      </c>
      <c r="K586">
        <v>0</v>
      </c>
      <c r="L586" t="s">
        <v>1535</v>
      </c>
      <c r="M586">
        <v>260</v>
      </c>
      <c r="N586" t="s">
        <v>2768</v>
      </c>
      <c r="O586" t="s">
        <v>2759</v>
      </c>
    </row>
    <row r="587" spans="1:15" x14ac:dyDescent="0.2">
      <c r="A587">
        <v>99</v>
      </c>
      <c r="B587" t="s">
        <v>2117</v>
      </c>
      <c r="C587" t="s">
        <v>1629</v>
      </c>
      <c r="D587" t="s">
        <v>681</v>
      </c>
      <c r="E587" t="s">
        <v>1022</v>
      </c>
      <c r="F587">
        <v>1.103</v>
      </c>
      <c r="G587">
        <v>500</v>
      </c>
      <c r="H587" t="s">
        <v>1153</v>
      </c>
      <c r="I587" t="s">
        <v>1153</v>
      </c>
      <c r="J587">
        <v>551.5</v>
      </c>
      <c r="K587">
        <v>143390</v>
      </c>
      <c r="L587" t="s">
        <v>1535</v>
      </c>
      <c r="M587">
        <v>260</v>
      </c>
      <c r="N587" t="s">
        <v>2761</v>
      </c>
      <c r="O587" t="s">
        <v>2759</v>
      </c>
    </row>
    <row r="588" spans="1:15" x14ac:dyDescent="0.2">
      <c r="A588">
        <v>99</v>
      </c>
      <c r="B588" t="s">
        <v>2117</v>
      </c>
      <c r="C588" t="s">
        <v>1629</v>
      </c>
      <c r="D588" t="s">
        <v>498</v>
      </c>
      <c r="E588" t="s">
        <v>773</v>
      </c>
      <c r="F588">
        <v>1.2</v>
      </c>
      <c r="G588">
        <v>0</v>
      </c>
      <c r="H588" t="s">
        <v>84</v>
      </c>
      <c r="I588" t="s">
        <v>1153</v>
      </c>
      <c r="J588">
        <v>0</v>
      </c>
      <c r="K588">
        <v>0</v>
      </c>
      <c r="L588" t="s">
        <v>1535</v>
      </c>
      <c r="M588">
        <v>260</v>
      </c>
      <c r="N588" t="s">
        <v>2767</v>
      </c>
      <c r="O588" t="s">
        <v>2759</v>
      </c>
    </row>
    <row r="589" spans="1:15" x14ac:dyDescent="0.2">
      <c r="A589">
        <v>99</v>
      </c>
      <c r="B589" t="s">
        <v>2117</v>
      </c>
      <c r="C589" t="s">
        <v>1629</v>
      </c>
      <c r="D589" t="s">
        <v>1575</v>
      </c>
      <c r="E589" t="s">
        <v>2428</v>
      </c>
      <c r="F589">
        <v>1</v>
      </c>
      <c r="G589">
        <v>96.42</v>
      </c>
      <c r="H589" t="s">
        <v>1153</v>
      </c>
      <c r="I589" t="s">
        <v>1153</v>
      </c>
      <c r="J589">
        <v>96.42</v>
      </c>
      <c r="K589">
        <v>25069.200000000001</v>
      </c>
      <c r="L589" t="s">
        <v>1535</v>
      </c>
      <c r="M589">
        <v>260</v>
      </c>
      <c r="N589" t="s">
        <v>2766</v>
      </c>
      <c r="O589" t="s">
        <v>2759</v>
      </c>
    </row>
    <row r="590" spans="1:15" x14ac:dyDescent="0.2">
      <c r="A590">
        <v>99</v>
      </c>
      <c r="B590" t="s">
        <v>2117</v>
      </c>
      <c r="C590" t="s">
        <v>1629</v>
      </c>
      <c r="D590" t="s">
        <v>814</v>
      </c>
      <c r="E590" t="s">
        <v>1959</v>
      </c>
      <c r="F590">
        <v>0.99270000000000003</v>
      </c>
      <c r="G590">
        <v>55</v>
      </c>
      <c r="H590" t="s">
        <v>1153</v>
      </c>
      <c r="I590" t="s">
        <v>1153</v>
      </c>
      <c r="J590">
        <v>54.598500000000001</v>
      </c>
      <c r="K590">
        <v>14195.61</v>
      </c>
      <c r="L590" t="s">
        <v>1535</v>
      </c>
      <c r="M590">
        <v>260</v>
      </c>
      <c r="N590" t="s">
        <v>2758</v>
      </c>
      <c r="O590" t="s">
        <v>2759</v>
      </c>
    </row>
    <row r="591" spans="1:15" x14ac:dyDescent="0.2">
      <c r="A591">
        <v>99</v>
      </c>
      <c r="B591" t="s">
        <v>2117</v>
      </c>
      <c r="C591" t="s">
        <v>1629</v>
      </c>
      <c r="D591" t="s">
        <v>801</v>
      </c>
      <c r="E591" t="s">
        <v>402</v>
      </c>
      <c r="F591">
        <v>0</v>
      </c>
      <c r="G591">
        <v>10.3</v>
      </c>
      <c r="H591" t="s">
        <v>151</v>
      </c>
      <c r="I591" t="s">
        <v>1153</v>
      </c>
      <c r="J591">
        <v>0</v>
      </c>
      <c r="K591">
        <v>0</v>
      </c>
      <c r="L591" t="s">
        <v>1535</v>
      </c>
      <c r="M591">
        <v>260</v>
      </c>
      <c r="N591" t="s">
        <v>2765</v>
      </c>
      <c r="O591" t="s">
        <v>2759</v>
      </c>
    </row>
    <row r="592" spans="1:15" x14ac:dyDescent="0.2">
      <c r="A592">
        <v>99</v>
      </c>
      <c r="B592" t="s">
        <v>2117</v>
      </c>
      <c r="C592" t="s">
        <v>1629</v>
      </c>
      <c r="D592" t="s">
        <v>944</v>
      </c>
      <c r="E592" t="s">
        <v>1601</v>
      </c>
      <c r="F592">
        <v>0</v>
      </c>
      <c r="G592">
        <v>19.170000000000002</v>
      </c>
      <c r="H592" t="s">
        <v>151</v>
      </c>
      <c r="I592" t="s">
        <v>1153</v>
      </c>
      <c r="J592">
        <v>0</v>
      </c>
      <c r="K592">
        <v>0</v>
      </c>
      <c r="L592" t="s">
        <v>1535</v>
      </c>
      <c r="M592">
        <v>260</v>
      </c>
      <c r="N592" t="s">
        <v>2763</v>
      </c>
      <c r="O592" t="s">
        <v>2759</v>
      </c>
    </row>
    <row r="593" spans="1:15" x14ac:dyDescent="0.2">
      <c r="A593">
        <v>99</v>
      </c>
      <c r="B593" t="s">
        <v>2117</v>
      </c>
      <c r="C593" t="s">
        <v>1629</v>
      </c>
      <c r="D593" t="s">
        <v>1969</v>
      </c>
      <c r="E593" t="s">
        <v>2502</v>
      </c>
      <c r="F593">
        <v>0</v>
      </c>
      <c r="G593">
        <v>0.53</v>
      </c>
      <c r="H593" t="s">
        <v>742</v>
      </c>
      <c r="I593" t="s">
        <v>1153</v>
      </c>
      <c r="J593">
        <v>0</v>
      </c>
      <c r="K593">
        <v>0</v>
      </c>
      <c r="L593" t="s">
        <v>1535</v>
      </c>
      <c r="M593">
        <v>260</v>
      </c>
      <c r="N593" t="s">
        <v>2762</v>
      </c>
      <c r="O593" t="s">
        <v>2759</v>
      </c>
    </row>
    <row r="594" spans="1:15" x14ac:dyDescent="0.2">
      <c r="A594">
        <v>99</v>
      </c>
      <c r="B594" t="s">
        <v>2117</v>
      </c>
      <c r="C594" t="s">
        <v>1693</v>
      </c>
      <c r="D594" t="s">
        <v>1969</v>
      </c>
      <c r="E594" t="s">
        <v>2502</v>
      </c>
      <c r="F594">
        <v>0</v>
      </c>
      <c r="G594">
        <v>0.53</v>
      </c>
      <c r="H594" t="s">
        <v>742</v>
      </c>
      <c r="I594" t="s">
        <v>1153</v>
      </c>
      <c r="J594">
        <v>0</v>
      </c>
      <c r="K594">
        <v>0</v>
      </c>
      <c r="L594" t="s">
        <v>72</v>
      </c>
      <c r="M594">
        <v>587.41</v>
      </c>
      <c r="N594" t="s">
        <v>2773</v>
      </c>
      <c r="O594" t="s">
        <v>2770</v>
      </c>
    </row>
    <row r="595" spans="1:15" x14ac:dyDescent="0.2">
      <c r="A595">
        <v>99</v>
      </c>
      <c r="B595" t="s">
        <v>2117</v>
      </c>
      <c r="C595" t="s">
        <v>1693</v>
      </c>
      <c r="D595" t="s">
        <v>688</v>
      </c>
      <c r="E595" t="s">
        <v>268</v>
      </c>
      <c r="F595">
        <v>1.1499999999999999</v>
      </c>
      <c r="G595">
        <v>550</v>
      </c>
      <c r="H595" t="s">
        <v>1153</v>
      </c>
      <c r="I595" t="s">
        <v>1153</v>
      </c>
      <c r="J595">
        <v>632.5</v>
      </c>
      <c r="K595">
        <v>371536.82500000001</v>
      </c>
      <c r="L595" t="s">
        <v>72</v>
      </c>
      <c r="M595">
        <v>587.41</v>
      </c>
      <c r="N595" t="s">
        <v>2776</v>
      </c>
      <c r="O595" t="s">
        <v>2770</v>
      </c>
    </row>
    <row r="596" spans="1:15" x14ac:dyDescent="0.2">
      <c r="A596">
        <v>99</v>
      </c>
      <c r="B596" t="s">
        <v>2117</v>
      </c>
      <c r="C596" t="s">
        <v>1693</v>
      </c>
      <c r="D596" t="s">
        <v>801</v>
      </c>
      <c r="E596" t="s">
        <v>402</v>
      </c>
      <c r="F596">
        <v>0</v>
      </c>
      <c r="G596">
        <v>10.3</v>
      </c>
      <c r="H596" t="s">
        <v>151</v>
      </c>
      <c r="I596" t="s">
        <v>1153</v>
      </c>
      <c r="J596">
        <v>0</v>
      </c>
      <c r="K596">
        <v>0</v>
      </c>
      <c r="L596" t="s">
        <v>72</v>
      </c>
      <c r="M596">
        <v>587.41</v>
      </c>
      <c r="N596" t="s">
        <v>2778</v>
      </c>
      <c r="O596" t="s">
        <v>2770</v>
      </c>
    </row>
    <row r="597" spans="1:15" x14ac:dyDescent="0.2">
      <c r="A597">
        <v>99</v>
      </c>
      <c r="B597" t="s">
        <v>2117</v>
      </c>
      <c r="C597" t="s">
        <v>1693</v>
      </c>
      <c r="D597" t="s">
        <v>814</v>
      </c>
      <c r="E597" t="s">
        <v>1959</v>
      </c>
      <c r="F597">
        <v>1.0349999999999999</v>
      </c>
      <c r="G597">
        <v>55</v>
      </c>
      <c r="H597" t="s">
        <v>1153</v>
      </c>
      <c r="I597" t="s">
        <v>1153</v>
      </c>
      <c r="J597">
        <v>56.924999999999997</v>
      </c>
      <c r="K597">
        <v>33438.314250000003</v>
      </c>
      <c r="L597" t="s">
        <v>72</v>
      </c>
      <c r="M597">
        <v>587.41</v>
      </c>
      <c r="N597" t="s">
        <v>2774</v>
      </c>
      <c r="O597" t="s">
        <v>2770</v>
      </c>
    </row>
    <row r="598" spans="1:15" x14ac:dyDescent="0.2">
      <c r="A598">
        <v>99</v>
      </c>
      <c r="B598" t="s">
        <v>2117</v>
      </c>
      <c r="C598" t="s">
        <v>1693</v>
      </c>
      <c r="D598" t="s">
        <v>1575</v>
      </c>
      <c r="E598" t="s">
        <v>2428</v>
      </c>
      <c r="F598">
        <v>1</v>
      </c>
      <c r="G598">
        <v>96.42</v>
      </c>
      <c r="H598" t="s">
        <v>1153</v>
      </c>
      <c r="I598" t="s">
        <v>1153</v>
      </c>
      <c r="J598">
        <v>96.42</v>
      </c>
      <c r="K598">
        <v>56638.072200000002</v>
      </c>
      <c r="L598" t="s">
        <v>72</v>
      </c>
      <c r="M598">
        <v>587.41</v>
      </c>
      <c r="N598" t="s">
        <v>2769</v>
      </c>
      <c r="O598" t="s">
        <v>2770</v>
      </c>
    </row>
    <row r="599" spans="1:15" x14ac:dyDescent="0.2">
      <c r="A599">
        <v>99</v>
      </c>
      <c r="B599" t="s">
        <v>2117</v>
      </c>
      <c r="C599" t="s">
        <v>1693</v>
      </c>
      <c r="D599" t="s">
        <v>498</v>
      </c>
      <c r="E599" t="s">
        <v>773</v>
      </c>
      <c r="F599">
        <v>1.2</v>
      </c>
      <c r="G599">
        <v>0</v>
      </c>
      <c r="H599" t="s">
        <v>84</v>
      </c>
      <c r="I599" t="s">
        <v>1153</v>
      </c>
      <c r="J599">
        <v>0</v>
      </c>
      <c r="K599">
        <v>0</v>
      </c>
      <c r="L599" t="s">
        <v>72</v>
      </c>
      <c r="M599">
        <v>587.41</v>
      </c>
      <c r="N599" t="s">
        <v>2771</v>
      </c>
      <c r="O599" t="s">
        <v>2770</v>
      </c>
    </row>
    <row r="600" spans="1:15" x14ac:dyDescent="0.2">
      <c r="A600">
        <v>99</v>
      </c>
      <c r="B600" t="s">
        <v>2117</v>
      </c>
      <c r="C600" t="s">
        <v>1693</v>
      </c>
      <c r="D600" t="s">
        <v>1968</v>
      </c>
      <c r="E600" t="s">
        <v>2500</v>
      </c>
      <c r="F600">
        <v>0</v>
      </c>
      <c r="G600">
        <v>1.39</v>
      </c>
      <c r="H600" t="s">
        <v>764</v>
      </c>
      <c r="I600" t="s">
        <v>1153</v>
      </c>
      <c r="J600">
        <v>0</v>
      </c>
      <c r="K600">
        <v>0</v>
      </c>
      <c r="L600" t="s">
        <v>72</v>
      </c>
      <c r="M600">
        <v>587.41</v>
      </c>
      <c r="N600" t="s">
        <v>2772</v>
      </c>
      <c r="O600" t="s">
        <v>2770</v>
      </c>
    </row>
    <row r="601" spans="1:15" x14ac:dyDescent="0.2">
      <c r="A601">
        <v>99</v>
      </c>
      <c r="B601" t="s">
        <v>2117</v>
      </c>
      <c r="C601" t="s">
        <v>1693</v>
      </c>
      <c r="D601" t="s">
        <v>1009</v>
      </c>
      <c r="E601" t="s">
        <v>672</v>
      </c>
      <c r="F601">
        <v>0</v>
      </c>
      <c r="G601">
        <v>16.489999999999998</v>
      </c>
      <c r="H601" t="s">
        <v>151</v>
      </c>
      <c r="I601" t="s">
        <v>1153</v>
      </c>
      <c r="J601">
        <v>0</v>
      </c>
      <c r="K601">
        <v>0</v>
      </c>
      <c r="L601" t="s">
        <v>72</v>
      </c>
      <c r="M601">
        <v>587.41</v>
      </c>
      <c r="N601" t="s">
        <v>2777</v>
      </c>
      <c r="O601" t="s">
        <v>2770</v>
      </c>
    </row>
    <row r="602" spans="1:15" x14ac:dyDescent="0.2">
      <c r="A602">
        <v>99</v>
      </c>
      <c r="B602" t="s">
        <v>2117</v>
      </c>
      <c r="C602" t="s">
        <v>1693</v>
      </c>
      <c r="D602" t="s">
        <v>818</v>
      </c>
      <c r="E602" t="s">
        <v>2424</v>
      </c>
      <c r="F602">
        <v>0.115</v>
      </c>
      <c r="G602">
        <v>100</v>
      </c>
      <c r="H602" t="s">
        <v>1153</v>
      </c>
      <c r="I602" t="s">
        <v>1153</v>
      </c>
      <c r="J602">
        <v>11.5</v>
      </c>
      <c r="K602">
        <v>6755.2150000000001</v>
      </c>
      <c r="L602" t="s">
        <v>72</v>
      </c>
      <c r="M602">
        <v>587.41</v>
      </c>
      <c r="N602" t="s">
        <v>2775</v>
      </c>
      <c r="O602" t="s">
        <v>2770</v>
      </c>
    </row>
    <row r="603" spans="1:15" x14ac:dyDescent="0.2">
      <c r="A603">
        <v>99</v>
      </c>
      <c r="B603" t="s">
        <v>2117</v>
      </c>
      <c r="C603" t="s">
        <v>1696</v>
      </c>
      <c r="D603" t="s">
        <v>818</v>
      </c>
      <c r="E603" t="s">
        <v>2424</v>
      </c>
      <c r="F603">
        <v>0.1103</v>
      </c>
      <c r="G603">
        <v>100</v>
      </c>
      <c r="H603" t="s">
        <v>1153</v>
      </c>
      <c r="I603" t="s">
        <v>1153</v>
      </c>
      <c r="J603">
        <v>11.03</v>
      </c>
      <c r="K603">
        <v>79935.679552999994</v>
      </c>
      <c r="L603" t="s">
        <v>1533</v>
      </c>
      <c r="M603">
        <v>7247.1151</v>
      </c>
      <c r="N603" t="s">
        <v>2781</v>
      </c>
      <c r="O603" t="s">
        <v>2780</v>
      </c>
    </row>
    <row r="604" spans="1:15" x14ac:dyDescent="0.2">
      <c r="A604">
        <v>99</v>
      </c>
      <c r="B604" t="s">
        <v>2117</v>
      </c>
      <c r="C604" t="s">
        <v>1696</v>
      </c>
      <c r="D604" t="s">
        <v>1009</v>
      </c>
      <c r="E604" t="s">
        <v>672</v>
      </c>
      <c r="F604">
        <v>0</v>
      </c>
      <c r="G604">
        <v>16.489999999999998</v>
      </c>
      <c r="H604" t="s">
        <v>151</v>
      </c>
      <c r="I604" t="s">
        <v>1153</v>
      </c>
      <c r="J604">
        <v>0</v>
      </c>
      <c r="K604">
        <v>0</v>
      </c>
      <c r="L604" t="s">
        <v>1533</v>
      </c>
      <c r="M604">
        <v>7247.1151</v>
      </c>
      <c r="N604" t="s">
        <v>2784</v>
      </c>
      <c r="O604" t="s">
        <v>2780</v>
      </c>
    </row>
    <row r="605" spans="1:15" x14ac:dyDescent="0.2">
      <c r="A605">
        <v>99</v>
      </c>
      <c r="B605" t="s">
        <v>2117</v>
      </c>
      <c r="C605" t="s">
        <v>1696</v>
      </c>
      <c r="D605" t="s">
        <v>1968</v>
      </c>
      <c r="E605" t="s">
        <v>2500</v>
      </c>
      <c r="F605">
        <v>0</v>
      </c>
      <c r="G605">
        <v>1.39</v>
      </c>
      <c r="H605" t="s">
        <v>764</v>
      </c>
      <c r="I605" t="s">
        <v>1153</v>
      </c>
      <c r="J605">
        <v>0</v>
      </c>
      <c r="K605">
        <v>0</v>
      </c>
      <c r="L605" t="s">
        <v>1533</v>
      </c>
      <c r="M605">
        <v>7247.1151</v>
      </c>
      <c r="N605" t="s">
        <v>2788</v>
      </c>
      <c r="O605" t="s">
        <v>2780</v>
      </c>
    </row>
    <row r="606" spans="1:15" x14ac:dyDescent="0.2">
      <c r="A606">
        <v>99</v>
      </c>
      <c r="B606" t="s">
        <v>2117</v>
      </c>
      <c r="C606" t="s">
        <v>1696</v>
      </c>
      <c r="D606" t="s">
        <v>498</v>
      </c>
      <c r="E606" t="s">
        <v>773</v>
      </c>
      <c r="F606">
        <v>1.2</v>
      </c>
      <c r="G606">
        <v>0</v>
      </c>
      <c r="H606" t="s">
        <v>84</v>
      </c>
      <c r="I606" t="s">
        <v>1153</v>
      </c>
      <c r="J606">
        <v>0</v>
      </c>
      <c r="K606">
        <v>0</v>
      </c>
      <c r="L606" t="s">
        <v>1533</v>
      </c>
      <c r="M606">
        <v>7247.1151</v>
      </c>
      <c r="N606" t="s">
        <v>2787</v>
      </c>
      <c r="O606" t="s">
        <v>2780</v>
      </c>
    </row>
    <row r="607" spans="1:15" x14ac:dyDescent="0.2">
      <c r="A607">
        <v>99</v>
      </c>
      <c r="B607" t="s">
        <v>2117</v>
      </c>
      <c r="C607" t="s">
        <v>1696</v>
      </c>
      <c r="D607" t="s">
        <v>1575</v>
      </c>
      <c r="E607" t="s">
        <v>2428</v>
      </c>
      <c r="F607">
        <v>1</v>
      </c>
      <c r="G607">
        <v>96.42</v>
      </c>
      <c r="H607" t="s">
        <v>1153</v>
      </c>
      <c r="I607" t="s">
        <v>1153</v>
      </c>
      <c r="J607">
        <v>96.42</v>
      </c>
      <c r="K607">
        <v>698766.83794200001</v>
      </c>
      <c r="L607" t="s">
        <v>1533</v>
      </c>
      <c r="M607">
        <v>7247.1151</v>
      </c>
      <c r="N607" t="s">
        <v>2786</v>
      </c>
      <c r="O607" t="s">
        <v>2780</v>
      </c>
    </row>
    <row r="608" spans="1:15" x14ac:dyDescent="0.2">
      <c r="A608">
        <v>99</v>
      </c>
      <c r="B608" t="s">
        <v>2117</v>
      </c>
      <c r="C608" t="s">
        <v>1696</v>
      </c>
      <c r="D608" t="s">
        <v>814</v>
      </c>
      <c r="E608" t="s">
        <v>1959</v>
      </c>
      <c r="F608">
        <v>0.99270000000000003</v>
      </c>
      <c r="G608">
        <v>55</v>
      </c>
      <c r="H608" t="s">
        <v>1153</v>
      </c>
      <c r="I608" t="s">
        <v>1153</v>
      </c>
      <c r="J608">
        <v>54.598500000000001</v>
      </c>
      <c r="K608">
        <v>395681.61378700001</v>
      </c>
      <c r="L608" t="s">
        <v>1533</v>
      </c>
      <c r="M608">
        <v>7247.1151</v>
      </c>
      <c r="N608" t="s">
        <v>2779</v>
      </c>
      <c r="O608" t="s">
        <v>2780</v>
      </c>
    </row>
    <row r="609" spans="1:15" x14ac:dyDescent="0.2">
      <c r="A609">
        <v>99</v>
      </c>
      <c r="B609" t="s">
        <v>2117</v>
      </c>
      <c r="C609" t="s">
        <v>1696</v>
      </c>
      <c r="D609" t="s">
        <v>801</v>
      </c>
      <c r="E609" t="s">
        <v>402</v>
      </c>
      <c r="F609">
        <v>0</v>
      </c>
      <c r="G609">
        <v>10.3</v>
      </c>
      <c r="H609" t="s">
        <v>151</v>
      </c>
      <c r="I609" t="s">
        <v>1153</v>
      </c>
      <c r="J609">
        <v>0</v>
      </c>
      <c r="K609">
        <v>0</v>
      </c>
      <c r="L609" t="s">
        <v>1533</v>
      </c>
      <c r="M609">
        <v>7247.1151</v>
      </c>
      <c r="N609" t="s">
        <v>2785</v>
      </c>
      <c r="O609" t="s">
        <v>2780</v>
      </c>
    </row>
    <row r="610" spans="1:15" x14ac:dyDescent="0.2">
      <c r="A610">
        <v>99</v>
      </c>
      <c r="B610" t="s">
        <v>2117</v>
      </c>
      <c r="C610" t="s">
        <v>1696</v>
      </c>
      <c r="D610" t="s">
        <v>944</v>
      </c>
      <c r="E610" t="s">
        <v>1601</v>
      </c>
      <c r="F610">
        <v>0</v>
      </c>
      <c r="G610">
        <v>19.170000000000002</v>
      </c>
      <c r="H610" t="s">
        <v>151</v>
      </c>
      <c r="I610" t="s">
        <v>1153</v>
      </c>
      <c r="J610">
        <v>0</v>
      </c>
      <c r="K610">
        <v>0</v>
      </c>
      <c r="L610" t="s">
        <v>1533</v>
      </c>
      <c r="M610">
        <v>7247.1151</v>
      </c>
      <c r="N610" t="s">
        <v>2783</v>
      </c>
      <c r="O610" t="s">
        <v>2780</v>
      </c>
    </row>
    <row r="611" spans="1:15" x14ac:dyDescent="0.2">
      <c r="A611">
        <v>99</v>
      </c>
      <c r="B611" t="s">
        <v>2117</v>
      </c>
      <c r="C611" t="s">
        <v>1696</v>
      </c>
      <c r="D611" t="s">
        <v>688</v>
      </c>
      <c r="E611" t="s">
        <v>268</v>
      </c>
      <c r="F611">
        <v>1.103</v>
      </c>
      <c r="G611">
        <v>550</v>
      </c>
      <c r="H611" t="s">
        <v>1153</v>
      </c>
      <c r="I611" t="s">
        <v>1153</v>
      </c>
      <c r="J611">
        <v>606.65</v>
      </c>
      <c r="K611">
        <v>4396462.3754150001</v>
      </c>
      <c r="L611" t="s">
        <v>1533</v>
      </c>
      <c r="M611">
        <v>7247.1151</v>
      </c>
      <c r="N611" t="s">
        <v>2782</v>
      </c>
      <c r="O611" t="s">
        <v>2780</v>
      </c>
    </row>
    <row r="612" spans="1:15" x14ac:dyDescent="0.2">
      <c r="A612">
        <v>99</v>
      </c>
      <c r="B612" t="s">
        <v>2117</v>
      </c>
      <c r="C612" t="s">
        <v>1696</v>
      </c>
      <c r="D612" t="s">
        <v>1969</v>
      </c>
      <c r="E612" t="s">
        <v>2502</v>
      </c>
      <c r="F612">
        <v>0</v>
      </c>
      <c r="G612">
        <v>0.53</v>
      </c>
      <c r="H612" t="s">
        <v>742</v>
      </c>
      <c r="I612" t="s">
        <v>1153</v>
      </c>
      <c r="J612">
        <v>0</v>
      </c>
      <c r="K612">
        <v>0</v>
      </c>
      <c r="L612" t="s">
        <v>1533</v>
      </c>
      <c r="M612">
        <v>7247.1151</v>
      </c>
      <c r="N612" t="s">
        <v>2789</v>
      </c>
      <c r="O612" t="s">
        <v>2780</v>
      </c>
    </row>
    <row r="613" spans="1:15" x14ac:dyDescent="0.2">
      <c r="A613">
        <v>99</v>
      </c>
      <c r="B613" t="s">
        <v>2117</v>
      </c>
      <c r="C613" t="s">
        <v>4914</v>
      </c>
      <c r="D613" t="s">
        <v>4915</v>
      </c>
      <c r="E613" t="s">
        <v>4916</v>
      </c>
      <c r="F613">
        <v>1</v>
      </c>
      <c r="G613">
        <v>60</v>
      </c>
      <c r="H613" t="s">
        <v>1781</v>
      </c>
      <c r="I613" t="s">
        <v>1781</v>
      </c>
      <c r="J613">
        <v>60</v>
      </c>
      <c r="K613">
        <v>71220</v>
      </c>
      <c r="L613" t="s">
        <v>4917</v>
      </c>
      <c r="M613">
        <v>1187</v>
      </c>
      <c r="N613" t="s">
        <v>4918</v>
      </c>
      <c r="O613" t="s">
        <v>4919</v>
      </c>
    </row>
    <row r="614" spans="1:15" x14ac:dyDescent="0.2">
      <c r="A614">
        <v>99</v>
      </c>
      <c r="B614" t="s">
        <v>2117</v>
      </c>
      <c r="C614" t="s">
        <v>1705</v>
      </c>
      <c r="D614" t="s">
        <v>1367</v>
      </c>
      <c r="E614" t="s">
        <v>2790</v>
      </c>
      <c r="F614">
        <v>1</v>
      </c>
      <c r="G614">
        <v>46.333300000000001</v>
      </c>
      <c r="H614" t="s">
        <v>1152</v>
      </c>
      <c r="I614" t="s">
        <v>1152</v>
      </c>
      <c r="J614">
        <v>46.333300000000001</v>
      </c>
      <c r="K614">
        <v>483.25631900000002</v>
      </c>
      <c r="L614" t="s">
        <v>1887</v>
      </c>
      <c r="M614">
        <v>10.43</v>
      </c>
      <c r="N614" t="s">
        <v>2791</v>
      </c>
      <c r="O614" t="s">
        <v>2792</v>
      </c>
    </row>
    <row r="615" spans="1:15" x14ac:dyDescent="0.2">
      <c r="A615">
        <v>99</v>
      </c>
      <c r="B615" t="s">
        <v>2117</v>
      </c>
      <c r="C615" t="s">
        <v>1775</v>
      </c>
      <c r="D615" t="s">
        <v>1651</v>
      </c>
      <c r="E615" t="s">
        <v>1635</v>
      </c>
      <c r="F615">
        <v>1</v>
      </c>
      <c r="G615">
        <v>12622112.7796</v>
      </c>
      <c r="H615" t="s">
        <v>1819</v>
      </c>
      <c r="I615" t="s">
        <v>1153</v>
      </c>
      <c r="J615">
        <v>12622112.7796</v>
      </c>
      <c r="K615">
        <v>12622112.7796</v>
      </c>
      <c r="L615" t="s">
        <v>31</v>
      </c>
      <c r="M615">
        <v>1</v>
      </c>
      <c r="N615" t="s">
        <v>2793</v>
      </c>
      <c r="O615" t="s">
        <v>2794</v>
      </c>
    </row>
    <row r="616" spans="1:15" x14ac:dyDescent="0.2">
      <c r="A616">
        <v>99</v>
      </c>
      <c r="B616" t="s">
        <v>2117</v>
      </c>
      <c r="C616" t="s">
        <v>1778</v>
      </c>
      <c r="D616" t="s">
        <v>1707</v>
      </c>
      <c r="E616" t="s">
        <v>303</v>
      </c>
      <c r="F616">
        <v>1</v>
      </c>
      <c r="G616">
        <v>3052.56</v>
      </c>
      <c r="H616" t="s">
        <v>1819</v>
      </c>
      <c r="I616" t="s">
        <v>1153</v>
      </c>
      <c r="J616">
        <v>3052.56</v>
      </c>
      <c r="K616">
        <v>1634676.4055999999</v>
      </c>
      <c r="L616" t="s">
        <v>4920</v>
      </c>
      <c r="M616">
        <v>535.51</v>
      </c>
      <c r="N616" t="s">
        <v>2795</v>
      </c>
      <c r="O616" t="s">
        <v>2796</v>
      </c>
    </row>
    <row r="617" spans="1:15" x14ac:dyDescent="0.2">
      <c r="A617">
        <v>99</v>
      </c>
      <c r="B617" t="s">
        <v>2117</v>
      </c>
      <c r="C617" t="s">
        <v>1778</v>
      </c>
      <c r="D617" t="s">
        <v>1707</v>
      </c>
      <c r="E617" t="s">
        <v>303</v>
      </c>
      <c r="F617">
        <v>1</v>
      </c>
      <c r="G617">
        <v>3052.56</v>
      </c>
      <c r="H617" t="s">
        <v>1819</v>
      </c>
      <c r="I617" t="s">
        <v>1153</v>
      </c>
      <c r="J617">
        <v>3052.56</v>
      </c>
      <c r="K617">
        <v>454678.81199999998</v>
      </c>
      <c r="L617" t="s">
        <v>4921</v>
      </c>
      <c r="M617">
        <v>148.94999999999999</v>
      </c>
      <c r="N617" t="s">
        <v>2795</v>
      </c>
      <c r="O617" t="s">
        <v>2796</v>
      </c>
    </row>
    <row r="618" spans="1:15" x14ac:dyDescent="0.2">
      <c r="A618">
        <v>99</v>
      </c>
      <c r="B618" t="s">
        <v>2117</v>
      </c>
      <c r="C618" t="s">
        <v>1479</v>
      </c>
      <c r="D618" t="s">
        <v>1495</v>
      </c>
      <c r="E618" t="s">
        <v>1040</v>
      </c>
      <c r="F618">
        <v>1</v>
      </c>
      <c r="G618">
        <v>38</v>
      </c>
      <c r="H618" t="s">
        <v>1152</v>
      </c>
      <c r="I618" t="s">
        <v>1152</v>
      </c>
      <c r="J618">
        <v>38</v>
      </c>
      <c r="K618">
        <v>1551692</v>
      </c>
      <c r="L618" t="s">
        <v>1285</v>
      </c>
      <c r="M618">
        <v>40834</v>
      </c>
      <c r="N618" t="s">
        <v>2797</v>
      </c>
      <c r="O618" t="s">
        <v>2798</v>
      </c>
    </row>
    <row r="619" spans="1:15" x14ac:dyDescent="0.2">
      <c r="A619">
        <v>99</v>
      </c>
      <c r="B619" t="s">
        <v>2117</v>
      </c>
      <c r="C619" t="s">
        <v>1344</v>
      </c>
      <c r="D619" t="s">
        <v>954</v>
      </c>
      <c r="E619" t="s">
        <v>171</v>
      </c>
      <c r="F619">
        <v>0</v>
      </c>
      <c r="G619">
        <v>15.0943</v>
      </c>
      <c r="H619" t="s">
        <v>151</v>
      </c>
      <c r="I619" t="s">
        <v>1152</v>
      </c>
      <c r="J619">
        <v>0</v>
      </c>
      <c r="K619">
        <v>0</v>
      </c>
      <c r="L619" t="s">
        <v>1821</v>
      </c>
      <c r="M619">
        <v>4530.5</v>
      </c>
      <c r="N619" t="s">
        <v>2802</v>
      </c>
      <c r="O619" t="s">
        <v>2801</v>
      </c>
    </row>
    <row r="620" spans="1:15" x14ac:dyDescent="0.2">
      <c r="A620">
        <v>99</v>
      </c>
      <c r="B620" t="s">
        <v>2117</v>
      </c>
      <c r="C620" t="s">
        <v>1344</v>
      </c>
      <c r="D620" t="s">
        <v>498</v>
      </c>
      <c r="E620" t="s">
        <v>773</v>
      </c>
      <c r="F620">
        <v>1.2</v>
      </c>
      <c r="G620">
        <v>0</v>
      </c>
      <c r="H620" t="s">
        <v>84</v>
      </c>
      <c r="I620" t="s">
        <v>1152</v>
      </c>
      <c r="J620">
        <v>0</v>
      </c>
      <c r="K620">
        <v>0</v>
      </c>
      <c r="L620" t="s">
        <v>1821</v>
      </c>
      <c r="M620">
        <v>4530.5</v>
      </c>
      <c r="N620" t="s">
        <v>2806</v>
      </c>
      <c r="O620" t="s">
        <v>2801</v>
      </c>
    </row>
    <row r="621" spans="1:15" x14ac:dyDescent="0.2">
      <c r="A621">
        <v>99</v>
      </c>
      <c r="B621" t="s">
        <v>2117</v>
      </c>
      <c r="C621" t="s">
        <v>1344</v>
      </c>
      <c r="D621" t="s">
        <v>1644</v>
      </c>
      <c r="E621" t="s">
        <v>2804</v>
      </c>
      <c r="F621">
        <v>1</v>
      </c>
      <c r="G621">
        <v>5.6454000000000004</v>
      </c>
      <c r="H621" t="s">
        <v>1152</v>
      </c>
      <c r="I621" t="s">
        <v>1152</v>
      </c>
      <c r="J621">
        <v>5.6454000000000004</v>
      </c>
      <c r="K621">
        <v>25576.484700000001</v>
      </c>
      <c r="L621" t="s">
        <v>1821</v>
      </c>
      <c r="M621">
        <v>4530.5</v>
      </c>
      <c r="N621" t="s">
        <v>2805</v>
      </c>
      <c r="O621" t="s">
        <v>2801</v>
      </c>
    </row>
    <row r="622" spans="1:15" x14ac:dyDescent="0.2">
      <c r="A622">
        <v>99</v>
      </c>
      <c r="B622" t="s">
        <v>2117</v>
      </c>
      <c r="C622" t="s">
        <v>1344</v>
      </c>
      <c r="D622" t="s">
        <v>1217</v>
      </c>
      <c r="E622" t="s">
        <v>2799</v>
      </c>
      <c r="F622">
        <v>1.5</v>
      </c>
      <c r="G622">
        <v>9.65</v>
      </c>
      <c r="H622" t="s">
        <v>1052</v>
      </c>
      <c r="I622" t="s">
        <v>1152</v>
      </c>
      <c r="J622">
        <v>14.475</v>
      </c>
      <c r="K622">
        <v>65578.987500000003</v>
      </c>
      <c r="L622" t="s">
        <v>1821</v>
      </c>
      <c r="M622">
        <v>4530.5</v>
      </c>
      <c r="N622" t="s">
        <v>2800</v>
      </c>
      <c r="O622" t="s">
        <v>2801</v>
      </c>
    </row>
    <row r="623" spans="1:15" x14ac:dyDescent="0.2">
      <c r="A623">
        <v>99</v>
      </c>
      <c r="B623" t="s">
        <v>2117</v>
      </c>
      <c r="C623" t="s">
        <v>1344</v>
      </c>
      <c r="D623" t="s">
        <v>795</v>
      </c>
      <c r="E623" t="s">
        <v>1842</v>
      </c>
      <c r="F623">
        <v>0</v>
      </c>
      <c r="G623">
        <v>10.525700000000001</v>
      </c>
      <c r="H623" t="s">
        <v>151</v>
      </c>
      <c r="I623" t="s">
        <v>1152</v>
      </c>
      <c r="J623">
        <v>0</v>
      </c>
      <c r="K623">
        <v>0</v>
      </c>
      <c r="L623" t="s">
        <v>1821</v>
      </c>
      <c r="M623">
        <v>4530.5</v>
      </c>
      <c r="N623" t="s">
        <v>2803</v>
      </c>
      <c r="O623" t="s">
        <v>2801</v>
      </c>
    </row>
    <row r="624" spans="1:15" x14ac:dyDescent="0.2">
      <c r="A624">
        <v>99</v>
      </c>
      <c r="B624" t="s">
        <v>2117</v>
      </c>
      <c r="C624" t="s">
        <v>1101</v>
      </c>
      <c r="D624" t="s">
        <v>1636</v>
      </c>
      <c r="E624" t="s">
        <v>2530</v>
      </c>
      <c r="F624">
        <v>0.03</v>
      </c>
      <c r="G624">
        <v>33</v>
      </c>
      <c r="H624" t="s">
        <v>1153</v>
      </c>
      <c r="I624" t="s">
        <v>1152</v>
      </c>
      <c r="J624">
        <v>0.99</v>
      </c>
      <c r="K624">
        <v>484.72379999999998</v>
      </c>
      <c r="L624" t="s">
        <v>77</v>
      </c>
      <c r="M624">
        <v>489.62</v>
      </c>
      <c r="N624" t="s">
        <v>2814</v>
      </c>
      <c r="O624" t="s">
        <v>2808</v>
      </c>
    </row>
    <row r="625" spans="1:15" x14ac:dyDescent="0.2">
      <c r="A625">
        <v>99</v>
      </c>
      <c r="B625" t="s">
        <v>2117</v>
      </c>
      <c r="C625" t="s">
        <v>1101</v>
      </c>
      <c r="D625" t="s">
        <v>1379</v>
      </c>
      <c r="E625" t="s">
        <v>1626</v>
      </c>
      <c r="F625">
        <v>1.9699999999999999E-2</v>
      </c>
      <c r="G625">
        <v>116.09</v>
      </c>
      <c r="H625" t="s">
        <v>1153</v>
      </c>
      <c r="I625" t="s">
        <v>1152</v>
      </c>
      <c r="J625">
        <v>2.2869730000000001</v>
      </c>
      <c r="K625">
        <v>1119.7477200000001</v>
      </c>
      <c r="L625" t="s">
        <v>77</v>
      </c>
      <c r="M625">
        <v>489.62</v>
      </c>
      <c r="N625" t="s">
        <v>2809</v>
      </c>
      <c r="O625" t="s">
        <v>2808</v>
      </c>
    </row>
    <row r="626" spans="1:15" x14ac:dyDescent="0.2">
      <c r="A626">
        <v>99</v>
      </c>
      <c r="B626" t="s">
        <v>2117</v>
      </c>
      <c r="C626" t="s">
        <v>1101</v>
      </c>
      <c r="D626" t="s">
        <v>547</v>
      </c>
      <c r="E626" t="s">
        <v>2320</v>
      </c>
      <c r="F626">
        <v>0</v>
      </c>
      <c r="G626">
        <v>13.51</v>
      </c>
      <c r="H626" t="s">
        <v>151</v>
      </c>
      <c r="I626" t="s">
        <v>1152</v>
      </c>
      <c r="J626">
        <v>0</v>
      </c>
      <c r="K626">
        <v>0</v>
      </c>
      <c r="L626" t="s">
        <v>77</v>
      </c>
      <c r="M626">
        <v>489.62</v>
      </c>
      <c r="N626" t="s">
        <v>2813</v>
      </c>
      <c r="O626" t="s">
        <v>2808</v>
      </c>
    </row>
    <row r="627" spans="1:15" x14ac:dyDescent="0.2">
      <c r="A627">
        <v>99</v>
      </c>
      <c r="B627" t="s">
        <v>2117</v>
      </c>
      <c r="C627" t="s">
        <v>1101</v>
      </c>
      <c r="D627" t="s">
        <v>498</v>
      </c>
      <c r="E627" t="s">
        <v>773</v>
      </c>
      <c r="F627">
        <v>1.2</v>
      </c>
      <c r="G627">
        <v>0</v>
      </c>
      <c r="H627" t="s">
        <v>84</v>
      </c>
      <c r="I627" t="s">
        <v>1152</v>
      </c>
      <c r="J627">
        <v>0</v>
      </c>
      <c r="K627">
        <v>0</v>
      </c>
      <c r="L627" t="s">
        <v>77</v>
      </c>
      <c r="M627">
        <v>489.62</v>
      </c>
      <c r="N627" t="s">
        <v>2815</v>
      </c>
      <c r="O627" t="s">
        <v>2808</v>
      </c>
    </row>
    <row r="628" spans="1:15" x14ac:dyDescent="0.2">
      <c r="A628">
        <v>99</v>
      </c>
      <c r="B628" t="s">
        <v>2117</v>
      </c>
      <c r="C628" t="s">
        <v>1101</v>
      </c>
      <c r="D628" t="s">
        <v>66</v>
      </c>
      <c r="E628" t="s">
        <v>617</v>
      </c>
      <c r="F628">
        <v>0</v>
      </c>
      <c r="G628">
        <v>5.45</v>
      </c>
      <c r="H628" t="s">
        <v>764</v>
      </c>
      <c r="I628" t="s">
        <v>1152</v>
      </c>
      <c r="J628">
        <v>0</v>
      </c>
      <c r="K628">
        <v>0</v>
      </c>
      <c r="L628" t="s">
        <v>77</v>
      </c>
      <c r="M628">
        <v>489.62</v>
      </c>
      <c r="N628" t="s">
        <v>2816</v>
      </c>
      <c r="O628" t="s">
        <v>2808</v>
      </c>
    </row>
    <row r="629" spans="1:15" x14ac:dyDescent="0.2">
      <c r="A629">
        <v>99</v>
      </c>
      <c r="B629" t="s">
        <v>2117</v>
      </c>
      <c r="C629" t="s">
        <v>1101</v>
      </c>
      <c r="D629" t="s">
        <v>1009</v>
      </c>
      <c r="E629" t="s">
        <v>672</v>
      </c>
      <c r="F629">
        <v>0</v>
      </c>
      <c r="G629">
        <v>16.489999999999998</v>
      </c>
      <c r="H629" t="s">
        <v>151</v>
      </c>
      <c r="I629" t="s">
        <v>1152</v>
      </c>
      <c r="J629">
        <v>0</v>
      </c>
      <c r="K629">
        <v>0</v>
      </c>
      <c r="L629" t="s">
        <v>77</v>
      </c>
      <c r="M629">
        <v>489.62</v>
      </c>
      <c r="N629" t="s">
        <v>2811</v>
      </c>
      <c r="O629" t="s">
        <v>2808</v>
      </c>
    </row>
    <row r="630" spans="1:15" x14ac:dyDescent="0.2">
      <c r="A630">
        <v>99</v>
      </c>
      <c r="B630" t="s">
        <v>2117</v>
      </c>
      <c r="C630" t="s">
        <v>1101</v>
      </c>
      <c r="D630" t="s">
        <v>1654</v>
      </c>
      <c r="E630" t="s">
        <v>1551</v>
      </c>
      <c r="F630">
        <v>7.2361000000000004</v>
      </c>
      <c r="G630">
        <v>0.7974</v>
      </c>
      <c r="H630" t="s">
        <v>1052</v>
      </c>
      <c r="I630" t="s">
        <v>1152</v>
      </c>
      <c r="J630">
        <v>5.77006614</v>
      </c>
      <c r="K630">
        <v>2825.1397830000001</v>
      </c>
      <c r="L630" t="s">
        <v>77</v>
      </c>
      <c r="M630">
        <v>489.62</v>
      </c>
      <c r="N630" t="s">
        <v>2807</v>
      </c>
      <c r="O630" t="s">
        <v>2808</v>
      </c>
    </row>
    <row r="631" spans="1:15" x14ac:dyDescent="0.2">
      <c r="A631">
        <v>99</v>
      </c>
      <c r="B631" t="s">
        <v>2117</v>
      </c>
      <c r="C631" t="s">
        <v>1101</v>
      </c>
      <c r="D631" t="s">
        <v>120</v>
      </c>
      <c r="E631" t="s">
        <v>597</v>
      </c>
      <c r="F631">
        <v>0</v>
      </c>
      <c r="G631">
        <v>1.52</v>
      </c>
      <c r="H631" t="s">
        <v>742</v>
      </c>
      <c r="I631" t="s">
        <v>1152</v>
      </c>
      <c r="J631">
        <v>0</v>
      </c>
      <c r="K631">
        <v>0</v>
      </c>
      <c r="L631" t="s">
        <v>77</v>
      </c>
      <c r="M631">
        <v>489.62</v>
      </c>
      <c r="N631" t="s">
        <v>2817</v>
      </c>
      <c r="O631" t="s">
        <v>2808</v>
      </c>
    </row>
    <row r="632" spans="1:15" x14ac:dyDescent="0.2">
      <c r="A632">
        <v>99</v>
      </c>
      <c r="B632" t="s">
        <v>2117</v>
      </c>
      <c r="C632" t="s">
        <v>1101</v>
      </c>
      <c r="D632" t="s">
        <v>1258</v>
      </c>
      <c r="E632" t="s">
        <v>1526</v>
      </c>
      <c r="F632">
        <v>2.8199999999999999E-2</v>
      </c>
      <c r="G632">
        <v>148</v>
      </c>
      <c r="H632" t="s">
        <v>1153</v>
      </c>
      <c r="I632" t="s">
        <v>1152</v>
      </c>
      <c r="J632">
        <v>4.1736000000000004</v>
      </c>
      <c r="K632">
        <v>2043.478032</v>
      </c>
      <c r="L632" t="s">
        <v>77</v>
      </c>
      <c r="M632">
        <v>489.62</v>
      </c>
      <c r="N632" t="s">
        <v>2810</v>
      </c>
      <c r="O632" t="s">
        <v>2808</v>
      </c>
    </row>
    <row r="633" spans="1:15" x14ac:dyDescent="0.2">
      <c r="A633">
        <v>99</v>
      </c>
      <c r="B633" t="s">
        <v>2117</v>
      </c>
      <c r="C633" t="s">
        <v>1101</v>
      </c>
      <c r="D633" t="s">
        <v>801</v>
      </c>
      <c r="E633" t="s">
        <v>402</v>
      </c>
      <c r="F633">
        <v>0</v>
      </c>
      <c r="G633">
        <v>10.3</v>
      </c>
      <c r="H633" t="s">
        <v>151</v>
      </c>
      <c r="I633" t="s">
        <v>1152</v>
      </c>
      <c r="J633">
        <v>0</v>
      </c>
      <c r="K633">
        <v>0</v>
      </c>
      <c r="L633" t="s">
        <v>77</v>
      </c>
      <c r="M633">
        <v>489.62</v>
      </c>
      <c r="N633" t="s">
        <v>2812</v>
      </c>
      <c r="O633" t="s">
        <v>2808</v>
      </c>
    </row>
    <row r="634" spans="1:15" x14ac:dyDescent="0.2">
      <c r="A634">
        <v>99</v>
      </c>
      <c r="B634" t="s">
        <v>2117</v>
      </c>
      <c r="C634" t="s">
        <v>957</v>
      </c>
      <c r="D634" t="s">
        <v>1499</v>
      </c>
      <c r="E634" t="s">
        <v>2818</v>
      </c>
      <c r="F634">
        <v>1</v>
      </c>
      <c r="G634">
        <v>34.566000000000003</v>
      </c>
      <c r="H634" t="s">
        <v>1819</v>
      </c>
      <c r="I634" t="s">
        <v>1052</v>
      </c>
      <c r="J634">
        <v>34.566000000000003</v>
      </c>
      <c r="K634">
        <v>296592.18036</v>
      </c>
      <c r="L634" t="s">
        <v>1500</v>
      </c>
      <c r="M634">
        <v>8580.4599999999991</v>
      </c>
      <c r="N634" t="s">
        <v>2819</v>
      </c>
      <c r="O634" t="s">
        <v>2820</v>
      </c>
    </row>
    <row r="635" spans="1:15" x14ac:dyDescent="0.2">
      <c r="A635">
        <v>99</v>
      </c>
      <c r="B635" t="s">
        <v>2117</v>
      </c>
      <c r="C635" t="s">
        <v>1917</v>
      </c>
      <c r="D635" t="s">
        <v>120</v>
      </c>
      <c r="E635" t="s">
        <v>597</v>
      </c>
      <c r="F635">
        <v>0</v>
      </c>
      <c r="G635">
        <v>1.52</v>
      </c>
      <c r="H635" t="s">
        <v>742</v>
      </c>
      <c r="I635" t="s">
        <v>1152</v>
      </c>
      <c r="J635">
        <v>0</v>
      </c>
      <c r="K635">
        <v>0</v>
      </c>
      <c r="L635" t="s">
        <v>253</v>
      </c>
      <c r="M635">
        <v>18499.439999999999</v>
      </c>
      <c r="N635" t="s">
        <v>2836</v>
      </c>
      <c r="O635" t="s">
        <v>2823</v>
      </c>
    </row>
    <row r="636" spans="1:15" x14ac:dyDescent="0.2">
      <c r="A636">
        <v>99</v>
      </c>
      <c r="B636" t="s">
        <v>2117</v>
      </c>
      <c r="C636" t="s">
        <v>1917</v>
      </c>
      <c r="D636" t="s">
        <v>1359</v>
      </c>
      <c r="E636" t="s">
        <v>2832</v>
      </c>
      <c r="F636">
        <v>1</v>
      </c>
      <c r="G636">
        <v>48</v>
      </c>
      <c r="H636" t="s">
        <v>1152</v>
      </c>
      <c r="I636" t="s">
        <v>1152</v>
      </c>
      <c r="J636">
        <v>48</v>
      </c>
      <c r="K636">
        <v>887973.12</v>
      </c>
      <c r="L636" t="s">
        <v>253</v>
      </c>
      <c r="M636">
        <v>18499.439999999999</v>
      </c>
      <c r="N636" t="s">
        <v>2833</v>
      </c>
      <c r="O636" t="s">
        <v>2823</v>
      </c>
    </row>
    <row r="637" spans="1:15" x14ac:dyDescent="0.2">
      <c r="A637">
        <v>99</v>
      </c>
      <c r="B637" t="s">
        <v>2117</v>
      </c>
      <c r="C637" t="s">
        <v>1917</v>
      </c>
      <c r="D637" t="s">
        <v>801</v>
      </c>
      <c r="E637" t="s">
        <v>402</v>
      </c>
      <c r="F637">
        <v>0</v>
      </c>
      <c r="G637">
        <v>10.3</v>
      </c>
      <c r="H637" t="s">
        <v>151</v>
      </c>
      <c r="I637" t="s">
        <v>1152</v>
      </c>
      <c r="J637">
        <v>0</v>
      </c>
      <c r="K637">
        <v>0</v>
      </c>
      <c r="L637" t="s">
        <v>253</v>
      </c>
      <c r="M637">
        <v>18499.439999999999</v>
      </c>
      <c r="N637" t="s">
        <v>2830</v>
      </c>
      <c r="O637" t="s">
        <v>2823</v>
      </c>
    </row>
    <row r="638" spans="1:15" x14ac:dyDescent="0.2">
      <c r="A638">
        <v>99</v>
      </c>
      <c r="B638" t="s">
        <v>2117</v>
      </c>
      <c r="C638" t="s">
        <v>1917</v>
      </c>
      <c r="D638" t="s">
        <v>1009</v>
      </c>
      <c r="E638" t="s">
        <v>672</v>
      </c>
      <c r="F638">
        <v>0</v>
      </c>
      <c r="G638">
        <v>16.489999999999998</v>
      </c>
      <c r="H638" t="s">
        <v>151</v>
      </c>
      <c r="I638" t="s">
        <v>1152</v>
      </c>
      <c r="J638">
        <v>0</v>
      </c>
      <c r="K638">
        <v>0</v>
      </c>
      <c r="L638" t="s">
        <v>253</v>
      </c>
      <c r="M638">
        <v>18499.439999999999</v>
      </c>
      <c r="N638" t="s">
        <v>2829</v>
      </c>
      <c r="O638" t="s">
        <v>2823</v>
      </c>
    </row>
    <row r="639" spans="1:15" x14ac:dyDescent="0.2">
      <c r="A639">
        <v>99</v>
      </c>
      <c r="B639" t="s">
        <v>2117</v>
      </c>
      <c r="C639" t="s">
        <v>1917</v>
      </c>
      <c r="D639" t="s">
        <v>1429</v>
      </c>
      <c r="E639" t="s">
        <v>2821</v>
      </c>
      <c r="F639">
        <v>0.42</v>
      </c>
      <c r="G639">
        <v>2.5099999999999998</v>
      </c>
      <c r="H639" t="s">
        <v>153</v>
      </c>
      <c r="I639" t="s">
        <v>1152</v>
      </c>
      <c r="J639">
        <v>1.0542</v>
      </c>
      <c r="K639">
        <v>19502.109648000001</v>
      </c>
      <c r="L639" t="s">
        <v>253</v>
      </c>
      <c r="M639">
        <v>18499.439999999999</v>
      </c>
      <c r="N639" t="s">
        <v>2822</v>
      </c>
      <c r="O639" t="s">
        <v>2823</v>
      </c>
    </row>
    <row r="640" spans="1:15" x14ac:dyDescent="0.2">
      <c r="A640">
        <v>99</v>
      </c>
      <c r="B640" t="s">
        <v>2117</v>
      </c>
      <c r="C640" t="s">
        <v>1917</v>
      </c>
      <c r="D640" t="s">
        <v>66</v>
      </c>
      <c r="E640" t="s">
        <v>617</v>
      </c>
      <c r="F640">
        <v>0</v>
      </c>
      <c r="G640">
        <v>5.45</v>
      </c>
      <c r="H640" t="s">
        <v>764</v>
      </c>
      <c r="I640" t="s">
        <v>1152</v>
      </c>
      <c r="J640">
        <v>0</v>
      </c>
      <c r="K640">
        <v>0</v>
      </c>
      <c r="L640" t="s">
        <v>253</v>
      </c>
      <c r="M640">
        <v>18499.439999999999</v>
      </c>
      <c r="N640" t="s">
        <v>2835</v>
      </c>
      <c r="O640" t="s">
        <v>2823</v>
      </c>
    </row>
    <row r="641" spans="1:15" x14ac:dyDescent="0.2">
      <c r="A641">
        <v>99</v>
      </c>
      <c r="B641" t="s">
        <v>2117</v>
      </c>
      <c r="C641" t="s">
        <v>1917</v>
      </c>
      <c r="D641" t="s">
        <v>498</v>
      </c>
      <c r="E641" t="s">
        <v>773</v>
      </c>
      <c r="F641">
        <v>1.2</v>
      </c>
      <c r="G641">
        <v>0</v>
      </c>
      <c r="H641" t="s">
        <v>84</v>
      </c>
      <c r="I641" t="s">
        <v>1152</v>
      </c>
      <c r="J641">
        <v>0</v>
      </c>
      <c r="K641">
        <v>0</v>
      </c>
      <c r="L641" t="s">
        <v>253</v>
      </c>
      <c r="M641">
        <v>18499.439999999999</v>
      </c>
      <c r="N641" t="s">
        <v>2834</v>
      </c>
      <c r="O641" t="s">
        <v>2823</v>
      </c>
    </row>
    <row r="642" spans="1:15" x14ac:dyDescent="0.2">
      <c r="A642">
        <v>99</v>
      </c>
      <c r="B642" t="s">
        <v>2117</v>
      </c>
      <c r="C642" t="s">
        <v>1917</v>
      </c>
      <c r="D642" t="s">
        <v>547</v>
      </c>
      <c r="E642" t="s">
        <v>2320</v>
      </c>
      <c r="F642">
        <v>0</v>
      </c>
      <c r="G642">
        <v>13.51</v>
      </c>
      <c r="H642" t="s">
        <v>151</v>
      </c>
      <c r="I642" t="s">
        <v>1152</v>
      </c>
      <c r="J642">
        <v>0</v>
      </c>
      <c r="K642">
        <v>0</v>
      </c>
      <c r="L642" t="s">
        <v>253</v>
      </c>
      <c r="M642">
        <v>18499.439999999999</v>
      </c>
      <c r="N642" t="s">
        <v>2831</v>
      </c>
      <c r="O642" t="s">
        <v>2823</v>
      </c>
    </row>
    <row r="643" spans="1:15" x14ac:dyDescent="0.2">
      <c r="A643">
        <v>99</v>
      </c>
      <c r="B643" t="s">
        <v>2117</v>
      </c>
      <c r="C643" t="s">
        <v>1917</v>
      </c>
      <c r="D643" t="s">
        <v>891</v>
      </c>
      <c r="E643" t="s">
        <v>1719</v>
      </c>
      <c r="F643">
        <v>0.01</v>
      </c>
      <c r="G643">
        <v>43.84</v>
      </c>
      <c r="H643" t="s">
        <v>2827</v>
      </c>
      <c r="I643" t="s">
        <v>1152</v>
      </c>
      <c r="J643">
        <v>0.43840000000000001</v>
      </c>
      <c r="K643">
        <v>8110.1544960000001</v>
      </c>
      <c r="L643" t="s">
        <v>253</v>
      </c>
      <c r="M643">
        <v>18499.439999999999</v>
      </c>
      <c r="N643" t="s">
        <v>2828</v>
      </c>
      <c r="O643" t="s">
        <v>2823</v>
      </c>
    </row>
    <row r="644" spans="1:15" x14ac:dyDescent="0.2">
      <c r="A644">
        <v>99</v>
      </c>
      <c r="B644" t="s">
        <v>2117</v>
      </c>
      <c r="C644" t="s">
        <v>1917</v>
      </c>
      <c r="D644" t="s">
        <v>472</v>
      </c>
      <c r="E644" t="s">
        <v>1979</v>
      </c>
      <c r="F644">
        <v>17.244499999999999</v>
      </c>
      <c r="G644">
        <v>0.45400000000000001</v>
      </c>
      <c r="H644" t="s">
        <v>1052</v>
      </c>
      <c r="I644" t="s">
        <v>1152</v>
      </c>
      <c r="J644">
        <v>7.8290030000000002</v>
      </c>
      <c r="K644">
        <v>144832.17125799999</v>
      </c>
      <c r="L644" t="s">
        <v>253</v>
      </c>
      <c r="M644">
        <v>18499.439999999999</v>
      </c>
      <c r="N644" t="s">
        <v>2824</v>
      </c>
      <c r="O644" t="s">
        <v>2823</v>
      </c>
    </row>
    <row r="645" spans="1:15" x14ac:dyDescent="0.2">
      <c r="A645">
        <v>99</v>
      </c>
      <c r="B645" t="s">
        <v>2117</v>
      </c>
      <c r="C645" t="s">
        <v>1917</v>
      </c>
      <c r="D645" t="s">
        <v>1901</v>
      </c>
      <c r="E645" t="s">
        <v>2825</v>
      </c>
      <c r="F645">
        <v>14.15</v>
      </c>
      <c r="G645">
        <v>1.76</v>
      </c>
      <c r="H645" t="s">
        <v>1781</v>
      </c>
      <c r="I645" t="s">
        <v>1152</v>
      </c>
      <c r="J645">
        <v>24.904</v>
      </c>
      <c r="K645">
        <v>460710.05375999998</v>
      </c>
      <c r="L645" t="s">
        <v>253</v>
      </c>
      <c r="M645">
        <v>18499.439999999999</v>
      </c>
      <c r="N645" t="s">
        <v>2826</v>
      </c>
      <c r="O645" t="s">
        <v>2823</v>
      </c>
    </row>
    <row r="646" spans="1:15" x14ac:dyDescent="0.2">
      <c r="A646">
        <v>99</v>
      </c>
      <c r="B646" t="s">
        <v>2117</v>
      </c>
      <c r="C646" t="s">
        <v>1586</v>
      </c>
      <c r="D646" t="s">
        <v>1489</v>
      </c>
      <c r="E646" t="s">
        <v>250</v>
      </c>
      <c r="F646">
        <v>0.87690000000000001</v>
      </c>
      <c r="G646">
        <v>0.87</v>
      </c>
      <c r="H646" t="s">
        <v>1052</v>
      </c>
      <c r="I646" t="s">
        <v>153</v>
      </c>
      <c r="J646">
        <v>0.762903</v>
      </c>
      <c r="K646">
        <v>1168.057896</v>
      </c>
      <c r="L646" t="s">
        <v>255</v>
      </c>
      <c r="M646">
        <v>1531.07</v>
      </c>
      <c r="N646" t="s">
        <v>4922</v>
      </c>
      <c r="O646" t="s">
        <v>2838</v>
      </c>
    </row>
    <row r="647" spans="1:15" x14ac:dyDescent="0.2">
      <c r="A647">
        <v>99</v>
      </c>
      <c r="B647" t="s">
        <v>2117</v>
      </c>
      <c r="C647" t="s">
        <v>1586</v>
      </c>
      <c r="D647" t="s">
        <v>606</v>
      </c>
      <c r="E647" t="s">
        <v>2851</v>
      </c>
      <c r="F647">
        <v>5.34</v>
      </c>
      <c r="G647">
        <v>3.32</v>
      </c>
      <c r="H647" t="s">
        <v>1781</v>
      </c>
      <c r="I647" t="s">
        <v>153</v>
      </c>
      <c r="J647">
        <v>17.7288</v>
      </c>
      <c r="K647">
        <v>27144.033815999999</v>
      </c>
      <c r="L647" t="s">
        <v>255</v>
      </c>
      <c r="M647">
        <v>1531.07</v>
      </c>
      <c r="N647" t="s">
        <v>2852</v>
      </c>
      <c r="O647" t="s">
        <v>2838</v>
      </c>
    </row>
    <row r="648" spans="1:15" x14ac:dyDescent="0.2">
      <c r="A648">
        <v>99</v>
      </c>
      <c r="B648" t="s">
        <v>2117</v>
      </c>
      <c r="C648" t="s">
        <v>1586</v>
      </c>
      <c r="D648" t="s">
        <v>105</v>
      </c>
      <c r="E648" t="s">
        <v>707</v>
      </c>
      <c r="F648">
        <v>0.87690000000000001</v>
      </c>
      <c r="G648">
        <v>5.5869</v>
      </c>
      <c r="H648" t="s">
        <v>1052</v>
      </c>
      <c r="I648" t="s">
        <v>153</v>
      </c>
      <c r="J648">
        <v>4.8991526099999998</v>
      </c>
      <c r="K648">
        <v>7500.9455870000002</v>
      </c>
      <c r="L648" t="s">
        <v>255</v>
      </c>
      <c r="M648">
        <v>1531.07</v>
      </c>
      <c r="N648" t="s">
        <v>2837</v>
      </c>
      <c r="O648" t="s">
        <v>2838</v>
      </c>
    </row>
    <row r="649" spans="1:15" x14ac:dyDescent="0.2">
      <c r="A649">
        <v>99</v>
      </c>
      <c r="B649" t="s">
        <v>2117</v>
      </c>
      <c r="C649" t="s">
        <v>1586</v>
      </c>
      <c r="D649" t="s">
        <v>1376</v>
      </c>
      <c r="E649" t="s">
        <v>1622</v>
      </c>
      <c r="F649">
        <v>6.4999999999999997E-3</v>
      </c>
      <c r="G649">
        <v>134.02000000000001</v>
      </c>
      <c r="H649" t="s">
        <v>1153</v>
      </c>
      <c r="I649" t="s">
        <v>153</v>
      </c>
      <c r="J649">
        <v>0.87112999999999996</v>
      </c>
      <c r="K649">
        <v>1333.7610090000001</v>
      </c>
      <c r="L649" t="s">
        <v>255</v>
      </c>
      <c r="M649">
        <v>1531.07</v>
      </c>
      <c r="N649" t="s">
        <v>2840</v>
      </c>
      <c r="O649" t="s">
        <v>2838</v>
      </c>
    </row>
    <row r="650" spans="1:15" x14ac:dyDescent="0.2">
      <c r="A650">
        <v>99</v>
      </c>
      <c r="B650" t="s">
        <v>2117</v>
      </c>
      <c r="C650" t="s">
        <v>1586</v>
      </c>
      <c r="D650" t="s">
        <v>1260</v>
      </c>
      <c r="E650" t="s">
        <v>1455</v>
      </c>
      <c r="F650">
        <v>7.0000000000000001E-3</v>
      </c>
      <c r="G650">
        <v>131.69</v>
      </c>
      <c r="H650" t="s">
        <v>1153</v>
      </c>
      <c r="I650" t="s">
        <v>153</v>
      </c>
      <c r="J650">
        <v>0.92183000000000004</v>
      </c>
      <c r="K650">
        <v>1411.386258</v>
      </c>
      <c r="L650" t="s">
        <v>255</v>
      </c>
      <c r="M650">
        <v>1531.07</v>
      </c>
      <c r="N650" t="s">
        <v>2842</v>
      </c>
      <c r="O650" t="s">
        <v>2838</v>
      </c>
    </row>
    <row r="651" spans="1:15" x14ac:dyDescent="0.2">
      <c r="A651">
        <v>99</v>
      </c>
      <c r="B651" t="s">
        <v>2117</v>
      </c>
      <c r="C651" t="s">
        <v>1586</v>
      </c>
      <c r="D651" t="s">
        <v>1136</v>
      </c>
      <c r="E651" t="s">
        <v>2849</v>
      </c>
      <c r="F651">
        <v>9.7000000000000003E-3</v>
      </c>
      <c r="G651">
        <v>7.81</v>
      </c>
      <c r="H651" t="s">
        <v>152</v>
      </c>
      <c r="I651" t="s">
        <v>153</v>
      </c>
      <c r="J651">
        <v>7.5757000000000005E-2</v>
      </c>
      <c r="K651">
        <v>115.98927</v>
      </c>
      <c r="L651" t="s">
        <v>255</v>
      </c>
      <c r="M651">
        <v>1531.07</v>
      </c>
      <c r="N651" t="s">
        <v>2850</v>
      </c>
      <c r="O651" t="s">
        <v>2838</v>
      </c>
    </row>
    <row r="652" spans="1:15" x14ac:dyDescent="0.2">
      <c r="A652">
        <v>99</v>
      </c>
      <c r="B652" t="s">
        <v>2117</v>
      </c>
      <c r="C652" t="s">
        <v>1586</v>
      </c>
      <c r="D652" t="s">
        <v>547</v>
      </c>
      <c r="E652" t="s">
        <v>2320</v>
      </c>
      <c r="F652">
        <v>0</v>
      </c>
      <c r="G652">
        <v>13.51</v>
      </c>
      <c r="H652" t="s">
        <v>151</v>
      </c>
      <c r="I652" t="s">
        <v>153</v>
      </c>
      <c r="J652">
        <v>0</v>
      </c>
      <c r="K652">
        <v>0</v>
      </c>
      <c r="L652" t="s">
        <v>255</v>
      </c>
      <c r="M652">
        <v>1531.07</v>
      </c>
      <c r="N652" t="s">
        <v>2845</v>
      </c>
      <c r="O652" t="s">
        <v>2838</v>
      </c>
    </row>
    <row r="653" spans="1:15" x14ac:dyDescent="0.2">
      <c r="A653">
        <v>99</v>
      </c>
      <c r="B653" t="s">
        <v>2117</v>
      </c>
      <c r="C653" t="s">
        <v>1586</v>
      </c>
      <c r="D653" t="s">
        <v>935</v>
      </c>
      <c r="E653" t="s">
        <v>1352</v>
      </c>
      <c r="F653">
        <v>0</v>
      </c>
      <c r="G653">
        <v>15.1457</v>
      </c>
      <c r="H653" t="s">
        <v>151</v>
      </c>
      <c r="I653" t="s">
        <v>153</v>
      </c>
      <c r="J653">
        <v>0</v>
      </c>
      <c r="K653">
        <v>0</v>
      </c>
      <c r="L653" t="s">
        <v>255</v>
      </c>
      <c r="M653">
        <v>1531.07</v>
      </c>
      <c r="N653" t="s">
        <v>2853</v>
      </c>
      <c r="O653" t="s">
        <v>2838</v>
      </c>
    </row>
    <row r="654" spans="1:15" x14ac:dyDescent="0.2">
      <c r="A654">
        <v>99</v>
      </c>
      <c r="B654" t="s">
        <v>2117</v>
      </c>
      <c r="C654" t="s">
        <v>1586</v>
      </c>
      <c r="D654" t="s">
        <v>498</v>
      </c>
      <c r="E654" t="s">
        <v>773</v>
      </c>
      <c r="F654">
        <v>1.2</v>
      </c>
      <c r="G654">
        <v>0</v>
      </c>
      <c r="H654" t="s">
        <v>84</v>
      </c>
      <c r="I654" t="s">
        <v>153</v>
      </c>
      <c r="J654">
        <v>0</v>
      </c>
      <c r="K654">
        <v>0</v>
      </c>
      <c r="L654" t="s">
        <v>255</v>
      </c>
      <c r="M654">
        <v>1531.07</v>
      </c>
      <c r="N654" t="s">
        <v>2846</v>
      </c>
      <c r="O654" t="s">
        <v>2838</v>
      </c>
    </row>
    <row r="655" spans="1:15" x14ac:dyDescent="0.2">
      <c r="A655">
        <v>99</v>
      </c>
      <c r="B655" t="s">
        <v>2117</v>
      </c>
      <c r="C655" t="s">
        <v>1586</v>
      </c>
      <c r="D655" t="s">
        <v>66</v>
      </c>
      <c r="E655" t="s">
        <v>617</v>
      </c>
      <c r="F655">
        <v>0</v>
      </c>
      <c r="G655">
        <v>5.45</v>
      </c>
      <c r="H655" t="s">
        <v>764</v>
      </c>
      <c r="I655" t="s">
        <v>153</v>
      </c>
      <c r="J655">
        <v>0</v>
      </c>
      <c r="K655">
        <v>0</v>
      </c>
      <c r="L655" t="s">
        <v>255</v>
      </c>
      <c r="M655">
        <v>1531.07</v>
      </c>
      <c r="N655" t="s">
        <v>2847</v>
      </c>
      <c r="O655" t="s">
        <v>2838</v>
      </c>
    </row>
    <row r="656" spans="1:15" x14ac:dyDescent="0.2">
      <c r="A656">
        <v>99</v>
      </c>
      <c r="B656" t="s">
        <v>2117</v>
      </c>
      <c r="C656" t="s">
        <v>1586</v>
      </c>
      <c r="D656" t="s">
        <v>1133</v>
      </c>
      <c r="E656" t="s">
        <v>2843</v>
      </c>
      <c r="F656">
        <v>1E-4</v>
      </c>
      <c r="G656">
        <v>8.93</v>
      </c>
      <c r="H656" t="s">
        <v>152</v>
      </c>
      <c r="I656" t="s">
        <v>153</v>
      </c>
      <c r="J656">
        <v>8.9300000000000002E-4</v>
      </c>
      <c r="K656">
        <v>1.367246</v>
      </c>
      <c r="L656" t="s">
        <v>255</v>
      </c>
      <c r="M656">
        <v>1531.07</v>
      </c>
      <c r="N656" t="s">
        <v>2844</v>
      </c>
      <c r="O656" t="s">
        <v>2838</v>
      </c>
    </row>
    <row r="657" spans="1:15" x14ac:dyDescent="0.2">
      <c r="A657">
        <v>99</v>
      </c>
      <c r="B657" t="s">
        <v>2117</v>
      </c>
      <c r="C657" t="s">
        <v>1586</v>
      </c>
      <c r="D657" t="s">
        <v>792</v>
      </c>
      <c r="E657" t="s">
        <v>335</v>
      </c>
      <c r="F657">
        <v>0</v>
      </c>
      <c r="G657">
        <v>11.1343</v>
      </c>
      <c r="H657" t="s">
        <v>151</v>
      </c>
      <c r="I657" t="s">
        <v>153</v>
      </c>
      <c r="J657">
        <v>0</v>
      </c>
      <c r="K657">
        <v>0</v>
      </c>
      <c r="L657" t="s">
        <v>255</v>
      </c>
      <c r="M657">
        <v>1531.07</v>
      </c>
      <c r="N657" t="s">
        <v>2855</v>
      </c>
      <c r="O657" t="s">
        <v>2838</v>
      </c>
    </row>
    <row r="658" spans="1:15" x14ac:dyDescent="0.2">
      <c r="A658">
        <v>99</v>
      </c>
      <c r="B658" t="s">
        <v>2117</v>
      </c>
      <c r="C658" t="s">
        <v>1586</v>
      </c>
      <c r="D658" t="s">
        <v>1009</v>
      </c>
      <c r="E658" t="s">
        <v>672</v>
      </c>
      <c r="F658">
        <v>0</v>
      </c>
      <c r="G658">
        <v>16.489999999999998</v>
      </c>
      <c r="H658" t="s">
        <v>151</v>
      </c>
      <c r="I658" t="s">
        <v>153</v>
      </c>
      <c r="J658">
        <v>0</v>
      </c>
      <c r="K658">
        <v>0</v>
      </c>
      <c r="L658" t="s">
        <v>255</v>
      </c>
      <c r="M658">
        <v>1531.07</v>
      </c>
      <c r="N658" t="s">
        <v>2854</v>
      </c>
      <c r="O658" t="s">
        <v>2838</v>
      </c>
    </row>
    <row r="659" spans="1:15" x14ac:dyDescent="0.2">
      <c r="A659">
        <v>99</v>
      </c>
      <c r="B659" t="s">
        <v>2117</v>
      </c>
      <c r="C659" t="s">
        <v>1586</v>
      </c>
      <c r="D659" t="s">
        <v>801</v>
      </c>
      <c r="E659" t="s">
        <v>402</v>
      </c>
      <c r="F659">
        <v>0</v>
      </c>
      <c r="G659">
        <v>10.3</v>
      </c>
      <c r="H659" t="s">
        <v>151</v>
      </c>
      <c r="I659" t="s">
        <v>153</v>
      </c>
      <c r="J659">
        <v>0</v>
      </c>
      <c r="K659">
        <v>0</v>
      </c>
      <c r="L659" t="s">
        <v>255</v>
      </c>
      <c r="M659">
        <v>1531.07</v>
      </c>
      <c r="N659" t="s">
        <v>2856</v>
      </c>
      <c r="O659" t="s">
        <v>2838</v>
      </c>
    </row>
    <row r="660" spans="1:15" x14ac:dyDescent="0.2">
      <c r="A660">
        <v>99</v>
      </c>
      <c r="B660" t="s">
        <v>2117</v>
      </c>
      <c r="C660" t="s">
        <v>1586</v>
      </c>
      <c r="D660" t="s">
        <v>1654</v>
      </c>
      <c r="E660" t="s">
        <v>1551</v>
      </c>
      <c r="F660">
        <v>5.0145999999999997</v>
      </c>
      <c r="G660">
        <v>0.7974</v>
      </c>
      <c r="H660" t="s">
        <v>1052</v>
      </c>
      <c r="I660" t="s">
        <v>153</v>
      </c>
      <c r="J660">
        <v>3.99864204</v>
      </c>
      <c r="K660">
        <v>6122.2008679999999</v>
      </c>
      <c r="L660" t="s">
        <v>255</v>
      </c>
      <c r="M660">
        <v>1531.07</v>
      </c>
      <c r="N660" t="s">
        <v>2839</v>
      </c>
      <c r="O660" t="s">
        <v>2838</v>
      </c>
    </row>
    <row r="661" spans="1:15" x14ac:dyDescent="0.2">
      <c r="A661">
        <v>99</v>
      </c>
      <c r="B661" t="s">
        <v>2117</v>
      </c>
      <c r="C661" t="s">
        <v>1586</v>
      </c>
      <c r="D661" t="s">
        <v>120</v>
      </c>
      <c r="E661" t="s">
        <v>597</v>
      </c>
      <c r="F661">
        <v>0</v>
      </c>
      <c r="G661">
        <v>1.52</v>
      </c>
      <c r="H661" t="s">
        <v>742</v>
      </c>
      <c r="I661" t="s">
        <v>153</v>
      </c>
      <c r="J661">
        <v>0</v>
      </c>
      <c r="K661">
        <v>0</v>
      </c>
      <c r="L661" t="s">
        <v>255</v>
      </c>
      <c r="M661">
        <v>1531.07</v>
      </c>
      <c r="N661" t="s">
        <v>2848</v>
      </c>
      <c r="O661" t="s">
        <v>2838</v>
      </c>
    </row>
    <row r="662" spans="1:15" x14ac:dyDescent="0.2">
      <c r="A662">
        <v>99</v>
      </c>
      <c r="B662" t="s">
        <v>2117</v>
      </c>
      <c r="C662" t="s">
        <v>1586</v>
      </c>
      <c r="D662" t="s">
        <v>1258</v>
      </c>
      <c r="E662" t="s">
        <v>1526</v>
      </c>
      <c r="F662">
        <v>1.6999999999999999E-3</v>
      </c>
      <c r="G662">
        <v>148</v>
      </c>
      <c r="H662" t="s">
        <v>1153</v>
      </c>
      <c r="I662" t="s">
        <v>153</v>
      </c>
      <c r="J662">
        <v>0.25159999999999999</v>
      </c>
      <c r="K662">
        <v>385.21721200000002</v>
      </c>
      <c r="L662" t="s">
        <v>255</v>
      </c>
      <c r="M662">
        <v>1531.07</v>
      </c>
      <c r="N662" t="s">
        <v>2841</v>
      </c>
      <c r="O662" t="s">
        <v>2838</v>
      </c>
    </row>
    <row r="663" spans="1:15" x14ac:dyDescent="0.2">
      <c r="A663">
        <v>99</v>
      </c>
      <c r="B663" t="s">
        <v>2117</v>
      </c>
      <c r="C663" t="s">
        <v>1588</v>
      </c>
      <c r="D663" t="s">
        <v>1258</v>
      </c>
      <c r="E663" t="s">
        <v>1526</v>
      </c>
      <c r="F663">
        <v>1.6999999999999999E-3</v>
      </c>
      <c r="G663">
        <v>148</v>
      </c>
      <c r="H663" t="s">
        <v>1153</v>
      </c>
      <c r="I663" t="s">
        <v>153</v>
      </c>
      <c r="J663">
        <v>0.25159999999999999</v>
      </c>
      <c r="K663">
        <v>385.21721200000002</v>
      </c>
      <c r="L663" t="s">
        <v>259</v>
      </c>
      <c r="M663">
        <v>1531.07</v>
      </c>
      <c r="N663" t="s">
        <v>2861</v>
      </c>
      <c r="O663" t="s">
        <v>2858</v>
      </c>
    </row>
    <row r="664" spans="1:15" x14ac:dyDescent="0.2">
      <c r="A664">
        <v>99</v>
      </c>
      <c r="B664" t="s">
        <v>2117</v>
      </c>
      <c r="C664" t="s">
        <v>1588</v>
      </c>
      <c r="D664" t="s">
        <v>120</v>
      </c>
      <c r="E664" t="s">
        <v>597</v>
      </c>
      <c r="F664">
        <v>0</v>
      </c>
      <c r="G664">
        <v>1.52</v>
      </c>
      <c r="H664" t="s">
        <v>742</v>
      </c>
      <c r="I664" t="s">
        <v>153</v>
      </c>
      <c r="J664">
        <v>0</v>
      </c>
      <c r="K664">
        <v>0</v>
      </c>
      <c r="L664" t="s">
        <v>259</v>
      </c>
      <c r="M664">
        <v>1531.07</v>
      </c>
      <c r="N664" t="s">
        <v>2869</v>
      </c>
      <c r="O664" t="s">
        <v>2858</v>
      </c>
    </row>
    <row r="665" spans="1:15" x14ac:dyDescent="0.2">
      <c r="A665">
        <v>99</v>
      </c>
      <c r="B665" t="s">
        <v>2117</v>
      </c>
      <c r="C665" t="s">
        <v>1588</v>
      </c>
      <c r="D665" t="s">
        <v>1654</v>
      </c>
      <c r="E665" t="s">
        <v>1551</v>
      </c>
      <c r="F665">
        <v>5.0145999999999997</v>
      </c>
      <c r="G665">
        <v>0.7974</v>
      </c>
      <c r="H665" t="s">
        <v>1052</v>
      </c>
      <c r="I665" t="s">
        <v>153</v>
      </c>
      <c r="J665">
        <v>3.99864204</v>
      </c>
      <c r="K665">
        <v>6122.2008679999999</v>
      </c>
      <c r="L665" t="s">
        <v>259</v>
      </c>
      <c r="M665">
        <v>1531.07</v>
      </c>
      <c r="N665" t="s">
        <v>2859</v>
      </c>
      <c r="O665" t="s">
        <v>2858</v>
      </c>
    </row>
    <row r="666" spans="1:15" x14ac:dyDescent="0.2">
      <c r="A666">
        <v>99</v>
      </c>
      <c r="B666" t="s">
        <v>2117</v>
      </c>
      <c r="C666" t="s">
        <v>1588</v>
      </c>
      <c r="D666" t="s">
        <v>801</v>
      </c>
      <c r="E666" t="s">
        <v>402</v>
      </c>
      <c r="F666">
        <v>0</v>
      </c>
      <c r="G666">
        <v>10.3</v>
      </c>
      <c r="H666" t="s">
        <v>151</v>
      </c>
      <c r="I666" t="s">
        <v>153</v>
      </c>
      <c r="J666">
        <v>0</v>
      </c>
      <c r="K666">
        <v>0</v>
      </c>
      <c r="L666" t="s">
        <v>259</v>
      </c>
      <c r="M666">
        <v>1531.07</v>
      </c>
      <c r="N666" t="s">
        <v>2865</v>
      </c>
      <c r="O666" t="s">
        <v>2858</v>
      </c>
    </row>
    <row r="667" spans="1:15" x14ac:dyDescent="0.2">
      <c r="A667">
        <v>99</v>
      </c>
      <c r="B667" t="s">
        <v>2117</v>
      </c>
      <c r="C667" t="s">
        <v>1588</v>
      </c>
      <c r="D667" t="s">
        <v>1009</v>
      </c>
      <c r="E667" t="s">
        <v>672</v>
      </c>
      <c r="F667">
        <v>0</v>
      </c>
      <c r="G667">
        <v>16.489999999999998</v>
      </c>
      <c r="H667" t="s">
        <v>151</v>
      </c>
      <c r="I667" t="s">
        <v>153</v>
      </c>
      <c r="J667">
        <v>0</v>
      </c>
      <c r="K667">
        <v>0</v>
      </c>
      <c r="L667" t="s">
        <v>259</v>
      </c>
      <c r="M667">
        <v>1531.07</v>
      </c>
      <c r="N667" t="s">
        <v>2876</v>
      </c>
      <c r="O667" t="s">
        <v>2858</v>
      </c>
    </row>
    <row r="668" spans="1:15" x14ac:dyDescent="0.2">
      <c r="A668">
        <v>99</v>
      </c>
      <c r="B668" t="s">
        <v>2117</v>
      </c>
      <c r="C668" t="s">
        <v>1588</v>
      </c>
      <c r="D668" t="s">
        <v>792</v>
      </c>
      <c r="E668" t="s">
        <v>335</v>
      </c>
      <c r="F668">
        <v>0</v>
      </c>
      <c r="G668">
        <v>11.1343</v>
      </c>
      <c r="H668" t="s">
        <v>151</v>
      </c>
      <c r="I668" t="s">
        <v>153</v>
      </c>
      <c r="J668">
        <v>0</v>
      </c>
      <c r="K668">
        <v>0</v>
      </c>
      <c r="L668" t="s">
        <v>259</v>
      </c>
      <c r="M668">
        <v>1531.07</v>
      </c>
      <c r="N668" t="s">
        <v>2864</v>
      </c>
      <c r="O668" t="s">
        <v>2858</v>
      </c>
    </row>
    <row r="669" spans="1:15" x14ac:dyDescent="0.2">
      <c r="A669">
        <v>99</v>
      </c>
      <c r="B669" t="s">
        <v>2117</v>
      </c>
      <c r="C669" t="s">
        <v>1588</v>
      </c>
      <c r="D669" t="s">
        <v>1133</v>
      </c>
      <c r="E669" t="s">
        <v>2843</v>
      </c>
      <c r="F669">
        <v>1E-4</v>
      </c>
      <c r="G669">
        <v>8.93</v>
      </c>
      <c r="H669" t="s">
        <v>152</v>
      </c>
      <c r="I669" t="s">
        <v>153</v>
      </c>
      <c r="J669">
        <v>8.9300000000000002E-4</v>
      </c>
      <c r="K669">
        <v>1.367246</v>
      </c>
      <c r="L669" t="s">
        <v>259</v>
      </c>
      <c r="M669">
        <v>1531.07</v>
      </c>
      <c r="N669" t="s">
        <v>2863</v>
      </c>
      <c r="O669" t="s">
        <v>2858</v>
      </c>
    </row>
    <row r="670" spans="1:15" x14ac:dyDescent="0.2">
      <c r="A670">
        <v>99</v>
      </c>
      <c r="B670" t="s">
        <v>2117</v>
      </c>
      <c r="C670" t="s">
        <v>1588</v>
      </c>
      <c r="D670" t="s">
        <v>189</v>
      </c>
      <c r="E670" t="s">
        <v>2685</v>
      </c>
      <c r="F670">
        <v>0.20300000000000001</v>
      </c>
      <c r="G670">
        <v>11.05</v>
      </c>
      <c r="H670" t="s">
        <v>153</v>
      </c>
      <c r="I670" t="s">
        <v>153</v>
      </c>
      <c r="J670">
        <v>2.24315</v>
      </c>
      <c r="K670">
        <v>3434.4196710000001</v>
      </c>
      <c r="L670" t="s">
        <v>259</v>
      </c>
      <c r="M670">
        <v>1531.07</v>
      </c>
      <c r="N670" t="s">
        <v>2873</v>
      </c>
      <c r="O670" t="s">
        <v>2858</v>
      </c>
    </row>
    <row r="671" spans="1:15" x14ac:dyDescent="0.2">
      <c r="A671">
        <v>99</v>
      </c>
      <c r="B671" t="s">
        <v>2117</v>
      </c>
      <c r="C671" t="s">
        <v>1588</v>
      </c>
      <c r="D671" t="s">
        <v>66</v>
      </c>
      <c r="E671" t="s">
        <v>617</v>
      </c>
      <c r="F671">
        <v>0</v>
      </c>
      <c r="G671">
        <v>5.45</v>
      </c>
      <c r="H671" t="s">
        <v>764</v>
      </c>
      <c r="I671" t="s">
        <v>153</v>
      </c>
      <c r="J671">
        <v>0</v>
      </c>
      <c r="K671">
        <v>0</v>
      </c>
      <c r="L671" t="s">
        <v>259</v>
      </c>
      <c r="M671">
        <v>1531.07</v>
      </c>
      <c r="N671" t="s">
        <v>2868</v>
      </c>
      <c r="O671" t="s">
        <v>2858</v>
      </c>
    </row>
    <row r="672" spans="1:15" x14ac:dyDescent="0.2">
      <c r="A672">
        <v>99</v>
      </c>
      <c r="B672" t="s">
        <v>2117</v>
      </c>
      <c r="C672" t="s">
        <v>1588</v>
      </c>
      <c r="D672" t="s">
        <v>498</v>
      </c>
      <c r="E672" t="s">
        <v>773</v>
      </c>
      <c r="F672">
        <v>1.2</v>
      </c>
      <c r="G672">
        <v>0</v>
      </c>
      <c r="H672" t="s">
        <v>84</v>
      </c>
      <c r="I672" t="s">
        <v>153</v>
      </c>
      <c r="J672">
        <v>0</v>
      </c>
      <c r="K672">
        <v>0</v>
      </c>
      <c r="L672" t="s">
        <v>259</v>
      </c>
      <c r="M672">
        <v>1531.07</v>
      </c>
      <c r="N672" t="s">
        <v>2867</v>
      </c>
      <c r="O672" t="s">
        <v>2858</v>
      </c>
    </row>
    <row r="673" spans="1:15" x14ac:dyDescent="0.2">
      <c r="A673">
        <v>99</v>
      </c>
      <c r="B673" t="s">
        <v>2117</v>
      </c>
      <c r="C673" t="s">
        <v>1588</v>
      </c>
      <c r="D673" t="s">
        <v>935</v>
      </c>
      <c r="E673" t="s">
        <v>1352</v>
      </c>
      <c r="F673">
        <v>0</v>
      </c>
      <c r="G673">
        <v>15.1457</v>
      </c>
      <c r="H673" t="s">
        <v>151</v>
      </c>
      <c r="I673" t="s">
        <v>153</v>
      </c>
      <c r="J673">
        <v>0</v>
      </c>
      <c r="K673">
        <v>0</v>
      </c>
      <c r="L673" t="s">
        <v>259</v>
      </c>
      <c r="M673">
        <v>1531.07</v>
      </c>
      <c r="N673" t="s">
        <v>2875</v>
      </c>
      <c r="O673" t="s">
        <v>2858</v>
      </c>
    </row>
    <row r="674" spans="1:15" x14ac:dyDescent="0.2">
      <c r="A674">
        <v>99</v>
      </c>
      <c r="B674" t="s">
        <v>2117</v>
      </c>
      <c r="C674" t="s">
        <v>1588</v>
      </c>
      <c r="D674" t="s">
        <v>547</v>
      </c>
      <c r="E674" t="s">
        <v>2320</v>
      </c>
      <c r="F674">
        <v>0</v>
      </c>
      <c r="G674">
        <v>13.51</v>
      </c>
      <c r="H674" t="s">
        <v>151</v>
      </c>
      <c r="I674" t="s">
        <v>153</v>
      </c>
      <c r="J674">
        <v>0</v>
      </c>
      <c r="K674">
        <v>0</v>
      </c>
      <c r="L674" t="s">
        <v>259</v>
      </c>
      <c r="M674">
        <v>1531.07</v>
      </c>
      <c r="N674" t="s">
        <v>2866</v>
      </c>
      <c r="O674" t="s">
        <v>2858</v>
      </c>
    </row>
    <row r="675" spans="1:15" x14ac:dyDescent="0.2">
      <c r="A675">
        <v>99</v>
      </c>
      <c r="B675" t="s">
        <v>2117</v>
      </c>
      <c r="C675" t="s">
        <v>1588</v>
      </c>
      <c r="D675" t="s">
        <v>1136</v>
      </c>
      <c r="E675" t="s">
        <v>2849</v>
      </c>
      <c r="F675">
        <v>9.7000000000000003E-3</v>
      </c>
      <c r="G675">
        <v>7.81</v>
      </c>
      <c r="H675" t="s">
        <v>152</v>
      </c>
      <c r="I675" t="s">
        <v>153</v>
      </c>
      <c r="J675">
        <v>7.5757000000000005E-2</v>
      </c>
      <c r="K675">
        <v>115.98927</v>
      </c>
      <c r="L675" t="s">
        <v>259</v>
      </c>
      <c r="M675">
        <v>1531.07</v>
      </c>
      <c r="N675" t="s">
        <v>2870</v>
      </c>
      <c r="O675" t="s">
        <v>2858</v>
      </c>
    </row>
    <row r="676" spans="1:15" x14ac:dyDescent="0.2">
      <c r="A676">
        <v>99</v>
      </c>
      <c r="B676" t="s">
        <v>2117</v>
      </c>
      <c r="C676" t="s">
        <v>1588</v>
      </c>
      <c r="D676" t="s">
        <v>1260</v>
      </c>
      <c r="E676" t="s">
        <v>1455</v>
      </c>
      <c r="F676">
        <v>7.0000000000000001E-3</v>
      </c>
      <c r="G676">
        <v>131.69</v>
      </c>
      <c r="H676" t="s">
        <v>1153</v>
      </c>
      <c r="I676" t="s">
        <v>153</v>
      </c>
      <c r="J676">
        <v>0.92183000000000004</v>
      </c>
      <c r="K676">
        <v>1411.386258</v>
      </c>
      <c r="L676" t="s">
        <v>259</v>
      </c>
      <c r="M676">
        <v>1531.07</v>
      </c>
      <c r="N676" t="s">
        <v>2862</v>
      </c>
      <c r="O676" t="s">
        <v>2858</v>
      </c>
    </row>
    <row r="677" spans="1:15" x14ac:dyDescent="0.2">
      <c r="A677">
        <v>99</v>
      </c>
      <c r="B677" t="s">
        <v>2117</v>
      </c>
      <c r="C677" t="s">
        <v>1588</v>
      </c>
      <c r="D677" t="s">
        <v>1376</v>
      </c>
      <c r="E677" t="s">
        <v>1622</v>
      </c>
      <c r="F677">
        <v>6.4999999999999997E-3</v>
      </c>
      <c r="G677">
        <v>134.02000000000001</v>
      </c>
      <c r="H677" t="s">
        <v>1153</v>
      </c>
      <c r="I677" t="s">
        <v>153</v>
      </c>
      <c r="J677">
        <v>0.87112999999999996</v>
      </c>
      <c r="K677">
        <v>1333.7610090000001</v>
      </c>
      <c r="L677" t="s">
        <v>259</v>
      </c>
      <c r="M677">
        <v>1531.07</v>
      </c>
      <c r="N677" t="s">
        <v>2860</v>
      </c>
      <c r="O677" t="s">
        <v>2858</v>
      </c>
    </row>
    <row r="678" spans="1:15" x14ac:dyDescent="0.2">
      <c r="A678">
        <v>99</v>
      </c>
      <c r="B678" t="s">
        <v>2117</v>
      </c>
      <c r="C678" t="s">
        <v>1588</v>
      </c>
      <c r="D678" t="s">
        <v>105</v>
      </c>
      <c r="E678" t="s">
        <v>707</v>
      </c>
      <c r="F678">
        <v>0.87690000000000001</v>
      </c>
      <c r="G678">
        <v>5.5869</v>
      </c>
      <c r="H678" t="s">
        <v>1052</v>
      </c>
      <c r="I678" t="s">
        <v>153</v>
      </c>
      <c r="J678">
        <v>4.8991526099999998</v>
      </c>
      <c r="K678">
        <v>7500.9455870000002</v>
      </c>
      <c r="L678" t="s">
        <v>259</v>
      </c>
      <c r="M678">
        <v>1531.07</v>
      </c>
      <c r="N678" t="s">
        <v>2857</v>
      </c>
      <c r="O678" t="s">
        <v>2858</v>
      </c>
    </row>
    <row r="679" spans="1:15" x14ac:dyDescent="0.2">
      <c r="A679">
        <v>99</v>
      </c>
      <c r="B679" t="s">
        <v>2117</v>
      </c>
      <c r="C679" t="s">
        <v>1588</v>
      </c>
      <c r="D679" t="s">
        <v>320</v>
      </c>
      <c r="E679" t="s">
        <v>2871</v>
      </c>
      <c r="F679">
        <v>0.16919999999999999</v>
      </c>
      <c r="G679">
        <v>18.329999999999998</v>
      </c>
      <c r="H679" t="s">
        <v>153</v>
      </c>
      <c r="I679" t="s">
        <v>153</v>
      </c>
      <c r="J679">
        <v>3.1014360000000001</v>
      </c>
      <c r="K679">
        <v>4748.515617</v>
      </c>
      <c r="L679" t="s">
        <v>259</v>
      </c>
      <c r="M679">
        <v>1531.07</v>
      </c>
      <c r="N679" t="s">
        <v>2872</v>
      </c>
      <c r="O679" t="s">
        <v>2858</v>
      </c>
    </row>
    <row r="680" spans="1:15" x14ac:dyDescent="0.2">
      <c r="A680">
        <v>99</v>
      </c>
      <c r="B680" t="s">
        <v>2117</v>
      </c>
      <c r="C680" t="s">
        <v>1588</v>
      </c>
      <c r="D680" t="s">
        <v>606</v>
      </c>
      <c r="E680" t="s">
        <v>2851</v>
      </c>
      <c r="F680">
        <v>5.34</v>
      </c>
      <c r="G680">
        <v>3.32</v>
      </c>
      <c r="H680" t="s">
        <v>1781</v>
      </c>
      <c r="I680" t="s">
        <v>153</v>
      </c>
      <c r="J680">
        <v>17.7288</v>
      </c>
      <c r="K680">
        <v>27144.033815999999</v>
      </c>
      <c r="L680" t="s">
        <v>259</v>
      </c>
      <c r="M680">
        <v>1531.07</v>
      </c>
      <c r="N680" t="s">
        <v>2874</v>
      </c>
      <c r="O680" t="s">
        <v>2858</v>
      </c>
    </row>
    <row r="681" spans="1:15" x14ac:dyDescent="0.2">
      <c r="A681">
        <v>99</v>
      </c>
      <c r="B681" t="s">
        <v>2117</v>
      </c>
      <c r="C681" t="s">
        <v>1588</v>
      </c>
      <c r="D681" t="s">
        <v>1489</v>
      </c>
      <c r="E681" t="s">
        <v>250</v>
      </c>
      <c r="F681">
        <v>0.87690000000000001</v>
      </c>
      <c r="G681">
        <v>0.87</v>
      </c>
      <c r="H681" t="s">
        <v>1052</v>
      </c>
      <c r="I681" t="s">
        <v>153</v>
      </c>
      <c r="J681">
        <v>0.762903</v>
      </c>
      <c r="K681">
        <v>1168.057896</v>
      </c>
      <c r="L681" t="s">
        <v>259</v>
      </c>
      <c r="M681">
        <v>1531.07</v>
      </c>
      <c r="N681" t="s">
        <v>4923</v>
      </c>
      <c r="O681" t="s">
        <v>2858</v>
      </c>
    </row>
    <row r="682" spans="1:15" x14ac:dyDescent="0.2">
      <c r="A682">
        <v>99</v>
      </c>
      <c r="B682" t="s">
        <v>2117</v>
      </c>
      <c r="C682" t="s">
        <v>1593</v>
      </c>
      <c r="D682" t="s">
        <v>1489</v>
      </c>
      <c r="E682" t="s">
        <v>250</v>
      </c>
      <c r="F682">
        <v>0.87690000000000001</v>
      </c>
      <c r="G682">
        <v>0.87</v>
      </c>
      <c r="H682" t="s">
        <v>1052</v>
      </c>
      <c r="I682" t="s">
        <v>153</v>
      </c>
      <c r="J682">
        <v>0.762903</v>
      </c>
      <c r="K682">
        <v>1770.7665239999999</v>
      </c>
      <c r="L682" t="s">
        <v>261</v>
      </c>
      <c r="M682">
        <v>2321.09</v>
      </c>
      <c r="N682" t="s">
        <v>4924</v>
      </c>
      <c r="O682" t="s">
        <v>2878</v>
      </c>
    </row>
    <row r="683" spans="1:15" x14ac:dyDescent="0.2">
      <c r="A683">
        <v>99</v>
      </c>
      <c r="B683" t="s">
        <v>2117</v>
      </c>
      <c r="C683" t="s">
        <v>1593</v>
      </c>
      <c r="D683" t="s">
        <v>606</v>
      </c>
      <c r="E683" t="s">
        <v>2851</v>
      </c>
      <c r="F683">
        <v>5.34</v>
      </c>
      <c r="G683">
        <v>3.32</v>
      </c>
      <c r="H683" t="s">
        <v>1781</v>
      </c>
      <c r="I683" t="s">
        <v>153</v>
      </c>
      <c r="J683">
        <v>17.7288</v>
      </c>
      <c r="K683">
        <v>41150.140392000001</v>
      </c>
      <c r="L683" t="s">
        <v>261</v>
      </c>
      <c r="M683">
        <v>2321.09</v>
      </c>
      <c r="N683" t="s">
        <v>2886</v>
      </c>
      <c r="O683" t="s">
        <v>2878</v>
      </c>
    </row>
    <row r="684" spans="1:15" x14ac:dyDescent="0.2">
      <c r="A684">
        <v>99</v>
      </c>
      <c r="B684" t="s">
        <v>2117</v>
      </c>
      <c r="C684" t="s">
        <v>1593</v>
      </c>
      <c r="D684" t="s">
        <v>320</v>
      </c>
      <c r="E684" t="s">
        <v>2871</v>
      </c>
      <c r="F684">
        <v>0.16919999999999999</v>
      </c>
      <c r="G684">
        <v>18.329999999999998</v>
      </c>
      <c r="H684" t="s">
        <v>153</v>
      </c>
      <c r="I684" t="s">
        <v>153</v>
      </c>
      <c r="J684">
        <v>3.1014360000000001</v>
      </c>
      <c r="K684">
        <v>7198.7120850000001</v>
      </c>
      <c r="L684" t="s">
        <v>261</v>
      </c>
      <c r="M684">
        <v>2321.09</v>
      </c>
      <c r="N684" t="s">
        <v>2884</v>
      </c>
      <c r="O684" t="s">
        <v>2878</v>
      </c>
    </row>
    <row r="685" spans="1:15" x14ac:dyDescent="0.2">
      <c r="A685">
        <v>99</v>
      </c>
      <c r="B685" t="s">
        <v>2117</v>
      </c>
      <c r="C685" t="s">
        <v>1593</v>
      </c>
      <c r="D685" t="s">
        <v>105</v>
      </c>
      <c r="E685" t="s">
        <v>707</v>
      </c>
      <c r="F685">
        <v>0.87690000000000001</v>
      </c>
      <c r="G685">
        <v>5.5869</v>
      </c>
      <c r="H685" t="s">
        <v>1052</v>
      </c>
      <c r="I685" t="s">
        <v>153</v>
      </c>
      <c r="J685">
        <v>4.8991526099999998</v>
      </c>
      <c r="K685">
        <v>11371.374132000001</v>
      </c>
      <c r="L685" t="s">
        <v>261</v>
      </c>
      <c r="M685">
        <v>2321.09</v>
      </c>
      <c r="N685" t="s">
        <v>2877</v>
      </c>
      <c r="O685" t="s">
        <v>2878</v>
      </c>
    </row>
    <row r="686" spans="1:15" x14ac:dyDescent="0.2">
      <c r="A686">
        <v>99</v>
      </c>
      <c r="B686" t="s">
        <v>2117</v>
      </c>
      <c r="C686" t="s">
        <v>1593</v>
      </c>
      <c r="D686" t="s">
        <v>1376</v>
      </c>
      <c r="E686" t="s">
        <v>1622</v>
      </c>
      <c r="F686">
        <v>6.4999999999999997E-3</v>
      </c>
      <c r="G686">
        <v>134.02000000000001</v>
      </c>
      <c r="H686" t="s">
        <v>1153</v>
      </c>
      <c r="I686" t="s">
        <v>153</v>
      </c>
      <c r="J686">
        <v>0.87112999999999996</v>
      </c>
      <c r="K686">
        <v>2021.9711319999999</v>
      </c>
      <c r="L686" t="s">
        <v>261</v>
      </c>
      <c r="M686">
        <v>2321.09</v>
      </c>
      <c r="N686" t="s">
        <v>2891</v>
      </c>
      <c r="O686" t="s">
        <v>2878</v>
      </c>
    </row>
    <row r="687" spans="1:15" x14ac:dyDescent="0.2">
      <c r="A687">
        <v>99</v>
      </c>
      <c r="B687" t="s">
        <v>2117</v>
      </c>
      <c r="C687" t="s">
        <v>1593</v>
      </c>
      <c r="D687" t="s">
        <v>1260</v>
      </c>
      <c r="E687" t="s">
        <v>1455</v>
      </c>
      <c r="F687">
        <v>7.0000000000000001E-3</v>
      </c>
      <c r="G687">
        <v>131.69</v>
      </c>
      <c r="H687" t="s">
        <v>1153</v>
      </c>
      <c r="I687" t="s">
        <v>153</v>
      </c>
      <c r="J687">
        <v>0.92183000000000004</v>
      </c>
      <c r="K687">
        <v>2139.6503950000001</v>
      </c>
      <c r="L687" t="s">
        <v>261</v>
      </c>
      <c r="M687">
        <v>2321.09</v>
      </c>
      <c r="N687" t="s">
        <v>2893</v>
      </c>
      <c r="O687" t="s">
        <v>2878</v>
      </c>
    </row>
    <row r="688" spans="1:15" x14ac:dyDescent="0.2">
      <c r="A688">
        <v>99</v>
      </c>
      <c r="B688" t="s">
        <v>2117</v>
      </c>
      <c r="C688" t="s">
        <v>1593</v>
      </c>
      <c r="D688" t="s">
        <v>1136</v>
      </c>
      <c r="E688" t="s">
        <v>2849</v>
      </c>
      <c r="F688">
        <v>9.7000000000000003E-3</v>
      </c>
      <c r="G688">
        <v>7.81</v>
      </c>
      <c r="H688" t="s">
        <v>152</v>
      </c>
      <c r="I688" t="s">
        <v>153</v>
      </c>
      <c r="J688">
        <v>7.5757000000000005E-2</v>
      </c>
      <c r="K688">
        <v>175.83881500000001</v>
      </c>
      <c r="L688" t="s">
        <v>261</v>
      </c>
      <c r="M688">
        <v>2321.09</v>
      </c>
      <c r="N688" t="s">
        <v>2895</v>
      </c>
      <c r="O688" t="s">
        <v>2878</v>
      </c>
    </row>
    <row r="689" spans="1:15" x14ac:dyDescent="0.2">
      <c r="A689">
        <v>99</v>
      </c>
      <c r="B689" t="s">
        <v>2117</v>
      </c>
      <c r="C689" t="s">
        <v>1593</v>
      </c>
      <c r="D689" t="s">
        <v>547</v>
      </c>
      <c r="E689" t="s">
        <v>2320</v>
      </c>
      <c r="F689">
        <v>0</v>
      </c>
      <c r="G689">
        <v>13.51</v>
      </c>
      <c r="H689" t="s">
        <v>151</v>
      </c>
      <c r="I689" t="s">
        <v>153</v>
      </c>
      <c r="J689">
        <v>0</v>
      </c>
      <c r="K689">
        <v>0</v>
      </c>
      <c r="L689" t="s">
        <v>261</v>
      </c>
      <c r="M689">
        <v>2321.09</v>
      </c>
      <c r="N689" t="s">
        <v>2880</v>
      </c>
      <c r="O689" t="s">
        <v>2878</v>
      </c>
    </row>
    <row r="690" spans="1:15" x14ac:dyDescent="0.2">
      <c r="A690">
        <v>99</v>
      </c>
      <c r="B690" t="s">
        <v>2117</v>
      </c>
      <c r="C690" t="s">
        <v>1593</v>
      </c>
      <c r="D690" t="s">
        <v>935</v>
      </c>
      <c r="E690" t="s">
        <v>1352</v>
      </c>
      <c r="F690">
        <v>0</v>
      </c>
      <c r="G690">
        <v>15.1457</v>
      </c>
      <c r="H690" t="s">
        <v>151</v>
      </c>
      <c r="I690" t="s">
        <v>153</v>
      </c>
      <c r="J690">
        <v>0</v>
      </c>
      <c r="K690">
        <v>0</v>
      </c>
      <c r="L690" t="s">
        <v>261</v>
      </c>
      <c r="M690">
        <v>2321.09</v>
      </c>
      <c r="N690" t="s">
        <v>2887</v>
      </c>
      <c r="O690" t="s">
        <v>2878</v>
      </c>
    </row>
    <row r="691" spans="1:15" x14ac:dyDescent="0.2">
      <c r="A691">
        <v>99</v>
      </c>
      <c r="B691" t="s">
        <v>2117</v>
      </c>
      <c r="C691" t="s">
        <v>1593</v>
      </c>
      <c r="D691" t="s">
        <v>498</v>
      </c>
      <c r="E691" t="s">
        <v>773</v>
      </c>
      <c r="F691">
        <v>1.2</v>
      </c>
      <c r="G691">
        <v>0</v>
      </c>
      <c r="H691" t="s">
        <v>84</v>
      </c>
      <c r="I691" t="s">
        <v>153</v>
      </c>
      <c r="J691">
        <v>0</v>
      </c>
      <c r="K691">
        <v>0</v>
      </c>
      <c r="L691" t="s">
        <v>261</v>
      </c>
      <c r="M691">
        <v>2321.09</v>
      </c>
      <c r="N691" t="s">
        <v>2881</v>
      </c>
      <c r="O691" t="s">
        <v>2878</v>
      </c>
    </row>
    <row r="692" spans="1:15" x14ac:dyDescent="0.2">
      <c r="A692">
        <v>99</v>
      </c>
      <c r="B692" t="s">
        <v>2117</v>
      </c>
      <c r="C692" t="s">
        <v>1593</v>
      </c>
      <c r="D692" t="s">
        <v>66</v>
      </c>
      <c r="E692" t="s">
        <v>617</v>
      </c>
      <c r="F692">
        <v>0</v>
      </c>
      <c r="G692">
        <v>5.45</v>
      </c>
      <c r="H692" t="s">
        <v>764</v>
      </c>
      <c r="I692" t="s">
        <v>153</v>
      </c>
      <c r="J692">
        <v>0</v>
      </c>
      <c r="K692">
        <v>0</v>
      </c>
      <c r="L692" t="s">
        <v>261</v>
      </c>
      <c r="M692">
        <v>2321.09</v>
      </c>
      <c r="N692" t="s">
        <v>2882</v>
      </c>
      <c r="O692" t="s">
        <v>2878</v>
      </c>
    </row>
    <row r="693" spans="1:15" x14ac:dyDescent="0.2">
      <c r="A693">
        <v>99</v>
      </c>
      <c r="B693" t="s">
        <v>2117</v>
      </c>
      <c r="C693" t="s">
        <v>1593</v>
      </c>
      <c r="D693" t="s">
        <v>189</v>
      </c>
      <c r="E693" t="s">
        <v>2685</v>
      </c>
      <c r="F693">
        <v>0.20300000000000001</v>
      </c>
      <c r="G693">
        <v>11.05</v>
      </c>
      <c r="H693" t="s">
        <v>153</v>
      </c>
      <c r="I693" t="s">
        <v>153</v>
      </c>
      <c r="J693">
        <v>2.24315</v>
      </c>
      <c r="K693">
        <v>5206.5530339999996</v>
      </c>
      <c r="L693" t="s">
        <v>261</v>
      </c>
      <c r="M693">
        <v>2321.09</v>
      </c>
      <c r="N693" t="s">
        <v>2885</v>
      </c>
      <c r="O693" t="s">
        <v>2878</v>
      </c>
    </row>
    <row r="694" spans="1:15" x14ac:dyDescent="0.2">
      <c r="A694">
        <v>99</v>
      </c>
      <c r="B694" t="s">
        <v>2117</v>
      </c>
      <c r="C694" t="s">
        <v>1593</v>
      </c>
      <c r="D694" t="s">
        <v>1133</v>
      </c>
      <c r="E694" t="s">
        <v>2843</v>
      </c>
      <c r="F694">
        <v>1E-4</v>
      </c>
      <c r="G694">
        <v>8.93</v>
      </c>
      <c r="H694" t="s">
        <v>152</v>
      </c>
      <c r="I694" t="s">
        <v>153</v>
      </c>
      <c r="J694">
        <v>8.9300000000000002E-4</v>
      </c>
      <c r="K694">
        <v>2.0727329999999999</v>
      </c>
      <c r="L694" t="s">
        <v>261</v>
      </c>
      <c r="M694">
        <v>2321.09</v>
      </c>
      <c r="N694" t="s">
        <v>2894</v>
      </c>
      <c r="O694" t="s">
        <v>2878</v>
      </c>
    </row>
    <row r="695" spans="1:15" x14ac:dyDescent="0.2">
      <c r="A695">
        <v>99</v>
      </c>
      <c r="B695" t="s">
        <v>2117</v>
      </c>
      <c r="C695" t="s">
        <v>1593</v>
      </c>
      <c r="D695" t="s">
        <v>792</v>
      </c>
      <c r="E695" t="s">
        <v>335</v>
      </c>
      <c r="F695">
        <v>0</v>
      </c>
      <c r="G695">
        <v>11.1343</v>
      </c>
      <c r="H695" t="s">
        <v>151</v>
      </c>
      <c r="I695" t="s">
        <v>153</v>
      </c>
      <c r="J695">
        <v>0</v>
      </c>
      <c r="K695">
        <v>0</v>
      </c>
      <c r="L695" t="s">
        <v>261</v>
      </c>
      <c r="M695">
        <v>2321.09</v>
      </c>
      <c r="N695" t="s">
        <v>2889</v>
      </c>
      <c r="O695" t="s">
        <v>2878</v>
      </c>
    </row>
    <row r="696" spans="1:15" x14ac:dyDescent="0.2">
      <c r="A696">
        <v>99</v>
      </c>
      <c r="B696" t="s">
        <v>2117</v>
      </c>
      <c r="C696" t="s">
        <v>1593</v>
      </c>
      <c r="D696" t="s">
        <v>1009</v>
      </c>
      <c r="E696" t="s">
        <v>672</v>
      </c>
      <c r="F696">
        <v>0</v>
      </c>
      <c r="G696">
        <v>16.489999999999998</v>
      </c>
      <c r="H696" t="s">
        <v>151</v>
      </c>
      <c r="I696" t="s">
        <v>153</v>
      </c>
      <c r="J696">
        <v>0</v>
      </c>
      <c r="K696">
        <v>0</v>
      </c>
      <c r="L696" t="s">
        <v>261</v>
      </c>
      <c r="M696">
        <v>2321.09</v>
      </c>
      <c r="N696" t="s">
        <v>2888</v>
      </c>
      <c r="O696" t="s">
        <v>2878</v>
      </c>
    </row>
    <row r="697" spans="1:15" x14ac:dyDescent="0.2">
      <c r="A697">
        <v>99</v>
      </c>
      <c r="B697" t="s">
        <v>2117</v>
      </c>
      <c r="C697" t="s">
        <v>1593</v>
      </c>
      <c r="D697" t="s">
        <v>801</v>
      </c>
      <c r="E697" t="s">
        <v>402</v>
      </c>
      <c r="F697">
        <v>0</v>
      </c>
      <c r="G697">
        <v>10.3</v>
      </c>
      <c r="H697" t="s">
        <v>151</v>
      </c>
      <c r="I697" t="s">
        <v>153</v>
      </c>
      <c r="J697">
        <v>0</v>
      </c>
      <c r="K697">
        <v>0</v>
      </c>
      <c r="L697" t="s">
        <v>261</v>
      </c>
      <c r="M697">
        <v>2321.09</v>
      </c>
      <c r="N697" t="s">
        <v>2879</v>
      </c>
      <c r="O697" t="s">
        <v>2878</v>
      </c>
    </row>
    <row r="698" spans="1:15" x14ac:dyDescent="0.2">
      <c r="A698">
        <v>99</v>
      </c>
      <c r="B698" t="s">
        <v>2117</v>
      </c>
      <c r="C698" t="s">
        <v>1593</v>
      </c>
      <c r="D698" t="s">
        <v>1654</v>
      </c>
      <c r="E698" t="s">
        <v>1551</v>
      </c>
      <c r="F698">
        <v>5.0145999999999997</v>
      </c>
      <c r="G698">
        <v>0.7974</v>
      </c>
      <c r="H698" t="s">
        <v>1052</v>
      </c>
      <c r="I698" t="s">
        <v>153</v>
      </c>
      <c r="J698">
        <v>3.99864204</v>
      </c>
      <c r="K698">
        <v>9281.2080530000003</v>
      </c>
      <c r="L698" t="s">
        <v>261</v>
      </c>
      <c r="M698">
        <v>2321.09</v>
      </c>
      <c r="N698" t="s">
        <v>2890</v>
      </c>
      <c r="O698" t="s">
        <v>2878</v>
      </c>
    </row>
    <row r="699" spans="1:15" x14ac:dyDescent="0.2">
      <c r="A699">
        <v>99</v>
      </c>
      <c r="B699" t="s">
        <v>2117</v>
      </c>
      <c r="C699" t="s">
        <v>1593</v>
      </c>
      <c r="D699" t="s">
        <v>120</v>
      </c>
      <c r="E699" t="s">
        <v>597</v>
      </c>
      <c r="F699">
        <v>0</v>
      </c>
      <c r="G699">
        <v>1.52</v>
      </c>
      <c r="H699" t="s">
        <v>742</v>
      </c>
      <c r="I699" t="s">
        <v>153</v>
      </c>
      <c r="J699">
        <v>0</v>
      </c>
      <c r="K699">
        <v>0</v>
      </c>
      <c r="L699" t="s">
        <v>261</v>
      </c>
      <c r="M699">
        <v>2321.09</v>
      </c>
      <c r="N699" t="s">
        <v>2883</v>
      </c>
      <c r="O699" t="s">
        <v>2878</v>
      </c>
    </row>
    <row r="700" spans="1:15" x14ac:dyDescent="0.2">
      <c r="A700">
        <v>99</v>
      </c>
      <c r="B700" t="s">
        <v>2117</v>
      </c>
      <c r="C700" t="s">
        <v>1593</v>
      </c>
      <c r="D700" t="s">
        <v>1258</v>
      </c>
      <c r="E700" t="s">
        <v>1526</v>
      </c>
      <c r="F700">
        <v>1.6999999999999999E-3</v>
      </c>
      <c r="G700">
        <v>148</v>
      </c>
      <c r="H700" t="s">
        <v>1153</v>
      </c>
      <c r="I700" t="s">
        <v>153</v>
      </c>
      <c r="J700">
        <v>0.25159999999999999</v>
      </c>
      <c r="K700">
        <v>583.98624400000006</v>
      </c>
      <c r="L700" t="s">
        <v>261</v>
      </c>
      <c r="M700">
        <v>2321.09</v>
      </c>
      <c r="N700" t="s">
        <v>2892</v>
      </c>
      <c r="O700" t="s">
        <v>2878</v>
      </c>
    </row>
    <row r="701" spans="1:15" x14ac:dyDescent="0.2">
      <c r="A701">
        <v>99</v>
      </c>
      <c r="B701" t="s">
        <v>2117</v>
      </c>
      <c r="C701" t="s">
        <v>1442</v>
      </c>
      <c r="D701" t="s">
        <v>1579</v>
      </c>
      <c r="E701" t="s">
        <v>1349</v>
      </c>
      <c r="F701">
        <v>1.05</v>
      </c>
      <c r="G701">
        <v>125</v>
      </c>
      <c r="H701" t="s">
        <v>1819</v>
      </c>
      <c r="I701" t="s">
        <v>1152</v>
      </c>
      <c r="J701">
        <v>131.25</v>
      </c>
      <c r="K701">
        <v>1342969.6875</v>
      </c>
      <c r="L701" t="s">
        <v>139</v>
      </c>
      <c r="M701">
        <v>10232.15</v>
      </c>
      <c r="N701" t="s">
        <v>2896</v>
      </c>
      <c r="O701" t="s">
        <v>2897</v>
      </c>
    </row>
    <row r="702" spans="1:15" x14ac:dyDescent="0.2">
      <c r="A702">
        <v>99</v>
      </c>
      <c r="B702" t="s">
        <v>2117</v>
      </c>
      <c r="C702" t="s">
        <v>1442</v>
      </c>
      <c r="D702" t="s">
        <v>1354</v>
      </c>
      <c r="E702" t="s">
        <v>963</v>
      </c>
      <c r="F702">
        <v>1.05</v>
      </c>
      <c r="G702">
        <v>25</v>
      </c>
      <c r="H702" t="s">
        <v>1819</v>
      </c>
      <c r="I702" t="s">
        <v>1152</v>
      </c>
      <c r="J702">
        <v>26.25</v>
      </c>
      <c r="K702">
        <v>268593.9375</v>
      </c>
      <c r="L702" t="s">
        <v>139</v>
      </c>
      <c r="M702">
        <v>10232.15</v>
      </c>
      <c r="N702" t="s">
        <v>2898</v>
      </c>
      <c r="O702" t="s">
        <v>2897</v>
      </c>
    </row>
    <row r="703" spans="1:15" x14ac:dyDescent="0.2">
      <c r="A703">
        <v>99</v>
      </c>
      <c r="B703" t="s">
        <v>2117</v>
      </c>
      <c r="C703" t="s">
        <v>1444</v>
      </c>
      <c r="D703" t="s">
        <v>1436</v>
      </c>
      <c r="E703" t="s">
        <v>2899</v>
      </c>
      <c r="F703">
        <v>1</v>
      </c>
      <c r="G703">
        <v>95.25</v>
      </c>
      <c r="H703" t="s">
        <v>153</v>
      </c>
      <c r="I703" t="s">
        <v>153</v>
      </c>
      <c r="J703">
        <v>95.25</v>
      </c>
      <c r="K703">
        <v>244716.3</v>
      </c>
      <c r="L703" t="s">
        <v>142</v>
      </c>
      <c r="M703">
        <v>2569.1999999999998</v>
      </c>
      <c r="N703" t="s">
        <v>2900</v>
      </c>
      <c r="O703" t="s">
        <v>1001</v>
      </c>
    </row>
    <row r="704" spans="1:15" x14ac:dyDescent="0.2">
      <c r="A704">
        <v>99</v>
      </c>
      <c r="B704" t="s">
        <v>2117</v>
      </c>
      <c r="C704" t="s">
        <v>1444</v>
      </c>
      <c r="D704" t="s">
        <v>1357</v>
      </c>
      <c r="E704" t="s">
        <v>2901</v>
      </c>
      <c r="F704">
        <v>1</v>
      </c>
      <c r="G704">
        <v>16.8</v>
      </c>
      <c r="H704" t="s">
        <v>153</v>
      </c>
      <c r="I704" t="s">
        <v>153</v>
      </c>
      <c r="J704">
        <v>16.8</v>
      </c>
      <c r="K704">
        <v>43162.559999999998</v>
      </c>
      <c r="L704" t="s">
        <v>142</v>
      </c>
      <c r="M704">
        <v>2569.1999999999998</v>
      </c>
      <c r="N704" t="s">
        <v>2902</v>
      </c>
      <c r="O704" t="s">
        <v>1001</v>
      </c>
    </row>
    <row r="705" spans="1:15" x14ac:dyDescent="0.2">
      <c r="A705">
        <v>99</v>
      </c>
      <c r="B705" t="s">
        <v>2117</v>
      </c>
      <c r="C705" t="s">
        <v>1307</v>
      </c>
      <c r="D705" t="s">
        <v>468</v>
      </c>
      <c r="E705" t="s">
        <v>1646</v>
      </c>
      <c r="F705">
        <v>6.9000000000000006E-2</v>
      </c>
      <c r="G705">
        <v>660</v>
      </c>
      <c r="H705" t="s">
        <v>1153</v>
      </c>
      <c r="I705" t="s">
        <v>1152</v>
      </c>
      <c r="J705">
        <v>45.54</v>
      </c>
      <c r="K705">
        <v>1452785.6573999999</v>
      </c>
      <c r="L705" t="s">
        <v>3</v>
      </c>
      <c r="M705">
        <v>31901.31</v>
      </c>
      <c r="N705" t="s">
        <v>2906</v>
      </c>
      <c r="O705" t="s">
        <v>2904</v>
      </c>
    </row>
    <row r="706" spans="1:15" x14ac:dyDescent="0.2">
      <c r="A706">
        <v>99</v>
      </c>
      <c r="B706" t="s">
        <v>2117</v>
      </c>
      <c r="C706" t="s">
        <v>1307</v>
      </c>
      <c r="D706" t="s">
        <v>1361</v>
      </c>
      <c r="E706" t="s">
        <v>1709</v>
      </c>
      <c r="F706">
        <v>1</v>
      </c>
      <c r="G706">
        <v>45</v>
      </c>
      <c r="H706" t="s">
        <v>1152</v>
      </c>
      <c r="I706" t="s">
        <v>1152</v>
      </c>
      <c r="J706">
        <v>45</v>
      </c>
      <c r="K706">
        <v>1435558.95</v>
      </c>
      <c r="L706" t="s">
        <v>3</v>
      </c>
      <c r="M706">
        <v>31901.31</v>
      </c>
      <c r="N706" t="s">
        <v>2909</v>
      </c>
      <c r="O706" t="s">
        <v>2904</v>
      </c>
    </row>
    <row r="707" spans="1:15" x14ac:dyDescent="0.2">
      <c r="A707">
        <v>99</v>
      </c>
      <c r="B707" t="s">
        <v>2117</v>
      </c>
      <c r="C707" t="s">
        <v>1307</v>
      </c>
      <c r="D707" t="s">
        <v>814</v>
      </c>
      <c r="E707" t="s">
        <v>1959</v>
      </c>
      <c r="F707">
        <v>6.2100000000000002E-2</v>
      </c>
      <c r="G707">
        <v>55</v>
      </c>
      <c r="H707" t="s">
        <v>1153</v>
      </c>
      <c r="I707" t="s">
        <v>1152</v>
      </c>
      <c r="J707">
        <v>3.4155000000000002</v>
      </c>
      <c r="K707">
        <v>108958.92430499999</v>
      </c>
      <c r="L707" t="s">
        <v>3</v>
      </c>
      <c r="M707">
        <v>31901.31</v>
      </c>
      <c r="N707" t="s">
        <v>2903</v>
      </c>
      <c r="O707" t="s">
        <v>2904</v>
      </c>
    </row>
    <row r="708" spans="1:15" x14ac:dyDescent="0.2">
      <c r="A708">
        <v>99</v>
      </c>
      <c r="B708" t="s">
        <v>2117</v>
      </c>
      <c r="C708" t="s">
        <v>1307</v>
      </c>
      <c r="D708" t="s">
        <v>801</v>
      </c>
      <c r="E708" t="s">
        <v>402</v>
      </c>
      <c r="F708">
        <v>0</v>
      </c>
      <c r="G708">
        <v>10.3</v>
      </c>
      <c r="H708" t="s">
        <v>151</v>
      </c>
      <c r="I708" t="s">
        <v>1152</v>
      </c>
      <c r="J708">
        <v>0</v>
      </c>
      <c r="K708">
        <v>0</v>
      </c>
      <c r="L708" t="s">
        <v>3</v>
      </c>
      <c r="M708">
        <v>31901.31</v>
      </c>
      <c r="N708" t="s">
        <v>2908</v>
      </c>
      <c r="O708" t="s">
        <v>2904</v>
      </c>
    </row>
    <row r="709" spans="1:15" x14ac:dyDescent="0.2">
      <c r="A709">
        <v>99</v>
      </c>
      <c r="B709" t="s">
        <v>2117</v>
      </c>
      <c r="C709" t="s">
        <v>1307</v>
      </c>
      <c r="D709" t="s">
        <v>1009</v>
      </c>
      <c r="E709" t="s">
        <v>672</v>
      </c>
      <c r="F709">
        <v>0</v>
      </c>
      <c r="G709">
        <v>16.489999999999998</v>
      </c>
      <c r="H709" t="s">
        <v>151</v>
      </c>
      <c r="I709" t="s">
        <v>1152</v>
      </c>
      <c r="J709">
        <v>0</v>
      </c>
      <c r="K709">
        <v>0</v>
      </c>
      <c r="L709" t="s">
        <v>3</v>
      </c>
      <c r="M709">
        <v>31901.31</v>
      </c>
      <c r="N709" t="s">
        <v>2907</v>
      </c>
      <c r="O709" t="s">
        <v>2904</v>
      </c>
    </row>
    <row r="710" spans="1:15" x14ac:dyDescent="0.2">
      <c r="A710">
        <v>99</v>
      </c>
      <c r="B710" t="s">
        <v>2117</v>
      </c>
      <c r="C710" t="s">
        <v>1307</v>
      </c>
      <c r="D710" t="s">
        <v>818</v>
      </c>
      <c r="E710" t="s">
        <v>2424</v>
      </c>
      <c r="F710">
        <v>6.8999999999999999E-3</v>
      </c>
      <c r="G710">
        <v>100</v>
      </c>
      <c r="H710" t="s">
        <v>1153</v>
      </c>
      <c r="I710" t="s">
        <v>1152</v>
      </c>
      <c r="J710">
        <v>0.69</v>
      </c>
      <c r="K710">
        <v>22011.903900000001</v>
      </c>
      <c r="L710" t="s">
        <v>3</v>
      </c>
      <c r="M710">
        <v>31901.31</v>
      </c>
      <c r="N710" t="s">
        <v>2905</v>
      </c>
      <c r="O710" t="s">
        <v>2904</v>
      </c>
    </row>
    <row r="711" spans="1:15" x14ac:dyDescent="0.2">
      <c r="A711">
        <v>99</v>
      </c>
      <c r="B711" t="s">
        <v>2117</v>
      </c>
      <c r="C711" t="s">
        <v>1307</v>
      </c>
      <c r="D711" t="s">
        <v>498</v>
      </c>
      <c r="E711" t="s">
        <v>773</v>
      </c>
      <c r="F711">
        <v>1.2</v>
      </c>
      <c r="G711">
        <v>0</v>
      </c>
      <c r="H711" t="s">
        <v>84</v>
      </c>
      <c r="I711" t="s">
        <v>1152</v>
      </c>
      <c r="J711">
        <v>0</v>
      </c>
      <c r="K711">
        <v>0</v>
      </c>
      <c r="L711" t="s">
        <v>3</v>
      </c>
      <c r="M711">
        <v>31901.31</v>
      </c>
      <c r="N711" t="s">
        <v>2910</v>
      </c>
      <c r="O711" t="s">
        <v>2904</v>
      </c>
    </row>
    <row r="712" spans="1:15" x14ac:dyDescent="0.2">
      <c r="A712">
        <v>99</v>
      </c>
      <c r="B712" t="s">
        <v>2117</v>
      </c>
      <c r="C712" t="s">
        <v>1186</v>
      </c>
      <c r="D712" t="s">
        <v>498</v>
      </c>
      <c r="E712" t="s">
        <v>773</v>
      </c>
      <c r="F712">
        <v>1.2</v>
      </c>
      <c r="G712">
        <v>0</v>
      </c>
      <c r="H712" t="s">
        <v>84</v>
      </c>
      <c r="I712" t="s">
        <v>1152</v>
      </c>
      <c r="J712">
        <v>0</v>
      </c>
      <c r="K712">
        <v>0</v>
      </c>
      <c r="L712" t="s">
        <v>1878</v>
      </c>
      <c r="M712">
        <v>19370.05</v>
      </c>
      <c r="N712" t="s">
        <v>2917</v>
      </c>
      <c r="O712" t="s">
        <v>2912</v>
      </c>
    </row>
    <row r="713" spans="1:15" x14ac:dyDescent="0.2">
      <c r="A713">
        <v>99</v>
      </c>
      <c r="B713" t="s">
        <v>2117</v>
      </c>
      <c r="C713" t="s">
        <v>1186</v>
      </c>
      <c r="D713" t="s">
        <v>66</v>
      </c>
      <c r="E713" t="s">
        <v>617</v>
      </c>
      <c r="F713">
        <v>0</v>
      </c>
      <c r="G713">
        <v>5.45</v>
      </c>
      <c r="H713" t="s">
        <v>764</v>
      </c>
      <c r="I713" t="s">
        <v>1152</v>
      </c>
      <c r="J713">
        <v>0</v>
      </c>
      <c r="K713">
        <v>0</v>
      </c>
      <c r="L713" t="s">
        <v>1878</v>
      </c>
      <c r="M713">
        <v>19370.05</v>
      </c>
      <c r="N713" t="s">
        <v>2918</v>
      </c>
      <c r="O713" t="s">
        <v>2912</v>
      </c>
    </row>
    <row r="714" spans="1:15" x14ac:dyDescent="0.2">
      <c r="A714">
        <v>99</v>
      </c>
      <c r="B714" t="s">
        <v>2117</v>
      </c>
      <c r="C714" t="s">
        <v>1186</v>
      </c>
      <c r="D714" t="s">
        <v>1009</v>
      </c>
      <c r="E714" t="s">
        <v>672</v>
      </c>
      <c r="F714">
        <v>0</v>
      </c>
      <c r="G714">
        <v>16.489999999999998</v>
      </c>
      <c r="H714" t="s">
        <v>151</v>
      </c>
      <c r="I714" t="s">
        <v>1152</v>
      </c>
      <c r="J714">
        <v>0</v>
      </c>
      <c r="K714">
        <v>0</v>
      </c>
      <c r="L714" t="s">
        <v>1878</v>
      </c>
      <c r="M714">
        <v>19370.05</v>
      </c>
      <c r="N714" t="s">
        <v>2913</v>
      </c>
      <c r="O714" t="s">
        <v>2912</v>
      </c>
    </row>
    <row r="715" spans="1:15" x14ac:dyDescent="0.2">
      <c r="A715">
        <v>99</v>
      </c>
      <c r="B715" t="s">
        <v>2117</v>
      </c>
      <c r="C715" t="s">
        <v>1186</v>
      </c>
      <c r="D715" t="s">
        <v>801</v>
      </c>
      <c r="E715" t="s">
        <v>402</v>
      </c>
      <c r="F715">
        <v>0</v>
      </c>
      <c r="G715">
        <v>10.3</v>
      </c>
      <c r="H715" t="s">
        <v>151</v>
      </c>
      <c r="I715" t="s">
        <v>1152</v>
      </c>
      <c r="J715">
        <v>0</v>
      </c>
      <c r="K715">
        <v>0</v>
      </c>
      <c r="L715" t="s">
        <v>1878</v>
      </c>
      <c r="M715">
        <v>19370.05</v>
      </c>
      <c r="N715" t="s">
        <v>2914</v>
      </c>
      <c r="O715" t="s">
        <v>2912</v>
      </c>
    </row>
    <row r="716" spans="1:15" x14ac:dyDescent="0.2">
      <c r="A716">
        <v>99</v>
      </c>
      <c r="B716" t="s">
        <v>2117</v>
      </c>
      <c r="C716" t="s">
        <v>1186</v>
      </c>
      <c r="D716" t="s">
        <v>120</v>
      </c>
      <c r="E716" t="s">
        <v>597</v>
      </c>
      <c r="F716">
        <v>0</v>
      </c>
      <c r="G716">
        <v>1.52</v>
      </c>
      <c r="H716" t="s">
        <v>742</v>
      </c>
      <c r="I716" t="s">
        <v>1152</v>
      </c>
      <c r="J716">
        <v>0</v>
      </c>
      <c r="K716">
        <v>0</v>
      </c>
      <c r="L716" t="s">
        <v>1878</v>
      </c>
      <c r="M716">
        <v>19370.05</v>
      </c>
      <c r="N716" t="s">
        <v>2919</v>
      </c>
      <c r="O716" t="s">
        <v>2912</v>
      </c>
    </row>
    <row r="717" spans="1:15" x14ac:dyDescent="0.2">
      <c r="A717">
        <v>99</v>
      </c>
      <c r="B717" t="s">
        <v>2117</v>
      </c>
      <c r="C717" t="s">
        <v>1186</v>
      </c>
      <c r="D717" t="s">
        <v>1424</v>
      </c>
      <c r="E717" t="s">
        <v>1017</v>
      </c>
      <c r="F717">
        <v>1</v>
      </c>
      <c r="G717">
        <v>5</v>
      </c>
      <c r="H717" t="s">
        <v>1152</v>
      </c>
      <c r="I717" t="s">
        <v>1152</v>
      </c>
      <c r="J717">
        <v>5</v>
      </c>
      <c r="K717">
        <v>96850.25</v>
      </c>
      <c r="L717" t="s">
        <v>1878</v>
      </c>
      <c r="M717">
        <v>19370.05</v>
      </c>
      <c r="N717" t="s">
        <v>2916</v>
      </c>
      <c r="O717" t="s">
        <v>2912</v>
      </c>
    </row>
    <row r="718" spans="1:15" x14ac:dyDescent="0.2">
      <c r="A718">
        <v>99</v>
      </c>
      <c r="B718" t="s">
        <v>2117</v>
      </c>
      <c r="C718" t="s">
        <v>1186</v>
      </c>
      <c r="D718" t="s">
        <v>473</v>
      </c>
      <c r="E718" t="s">
        <v>136</v>
      </c>
      <c r="F718">
        <v>5.5</v>
      </c>
      <c r="G718">
        <v>0.89039999999999997</v>
      </c>
      <c r="H718" t="s">
        <v>1052</v>
      </c>
      <c r="I718" t="s">
        <v>1152</v>
      </c>
      <c r="J718">
        <v>4.8971999999999998</v>
      </c>
      <c r="K718">
        <v>94859.008860000002</v>
      </c>
      <c r="L718" t="s">
        <v>1878</v>
      </c>
      <c r="M718">
        <v>19370.05</v>
      </c>
      <c r="N718" t="s">
        <v>2911</v>
      </c>
      <c r="O718" t="s">
        <v>2912</v>
      </c>
    </row>
    <row r="719" spans="1:15" x14ac:dyDescent="0.2">
      <c r="A719">
        <v>99</v>
      </c>
      <c r="B719" t="s">
        <v>2117</v>
      </c>
      <c r="C719" t="s">
        <v>1186</v>
      </c>
      <c r="D719" t="s">
        <v>547</v>
      </c>
      <c r="E719" t="s">
        <v>2320</v>
      </c>
      <c r="F719">
        <v>0</v>
      </c>
      <c r="G719">
        <v>13.51</v>
      </c>
      <c r="H719" t="s">
        <v>151</v>
      </c>
      <c r="I719" t="s">
        <v>1152</v>
      </c>
      <c r="J719">
        <v>0</v>
      </c>
      <c r="K719">
        <v>0</v>
      </c>
      <c r="L719" t="s">
        <v>1878</v>
      </c>
      <c r="M719">
        <v>19370.05</v>
      </c>
      <c r="N719" t="s">
        <v>2915</v>
      </c>
      <c r="O719" t="s">
        <v>2912</v>
      </c>
    </row>
    <row r="720" spans="1:15" x14ac:dyDescent="0.2">
      <c r="A720">
        <v>99</v>
      </c>
      <c r="B720" t="s">
        <v>2117</v>
      </c>
      <c r="C720" t="s">
        <v>1193</v>
      </c>
      <c r="D720" t="s">
        <v>547</v>
      </c>
      <c r="E720" t="s">
        <v>2320</v>
      </c>
      <c r="F720">
        <v>0</v>
      </c>
      <c r="G720">
        <v>13.51</v>
      </c>
      <c r="H720" t="s">
        <v>151</v>
      </c>
      <c r="I720" t="s">
        <v>1152</v>
      </c>
      <c r="J720">
        <v>0</v>
      </c>
      <c r="K720">
        <v>0</v>
      </c>
      <c r="L720" t="s">
        <v>1874</v>
      </c>
      <c r="M720">
        <v>18267.52</v>
      </c>
      <c r="N720" t="s">
        <v>2924</v>
      </c>
      <c r="O720" t="s">
        <v>2921</v>
      </c>
    </row>
    <row r="721" spans="1:15" x14ac:dyDescent="0.2">
      <c r="A721">
        <v>99</v>
      </c>
      <c r="B721" t="s">
        <v>2117</v>
      </c>
      <c r="C721" t="s">
        <v>1193</v>
      </c>
      <c r="D721" t="s">
        <v>473</v>
      </c>
      <c r="E721" t="s">
        <v>136</v>
      </c>
      <c r="F721">
        <v>5.5</v>
      </c>
      <c r="G721">
        <v>0.89039999999999997</v>
      </c>
      <c r="H721" t="s">
        <v>1052</v>
      </c>
      <c r="I721" t="s">
        <v>1152</v>
      </c>
      <c r="J721">
        <v>4.8971999999999998</v>
      </c>
      <c r="K721">
        <v>89459.698944000003</v>
      </c>
      <c r="L721" t="s">
        <v>1874</v>
      </c>
      <c r="M721">
        <v>18267.52</v>
      </c>
      <c r="N721" t="s">
        <v>2920</v>
      </c>
      <c r="O721" t="s">
        <v>2921</v>
      </c>
    </row>
    <row r="722" spans="1:15" x14ac:dyDescent="0.2">
      <c r="A722">
        <v>99</v>
      </c>
      <c r="B722" t="s">
        <v>2117</v>
      </c>
      <c r="C722" t="s">
        <v>1193</v>
      </c>
      <c r="D722" t="s">
        <v>120</v>
      </c>
      <c r="E722" t="s">
        <v>597</v>
      </c>
      <c r="F722">
        <v>0</v>
      </c>
      <c r="G722">
        <v>1.52</v>
      </c>
      <c r="H722" t="s">
        <v>742</v>
      </c>
      <c r="I722" t="s">
        <v>1152</v>
      </c>
      <c r="J722">
        <v>0</v>
      </c>
      <c r="K722">
        <v>0</v>
      </c>
      <c r="L722" t="s">
        <v>1874</v>
      </c>
      <c r="M722">
        <v>18267.52</v>
      </c>
      <c r="N722" t="s">
        <v>2928</v>
      </c>
      <c r="O722" t="s">
        <v>2921</v>
      </c>
    </row>
    <row r="723" spans="1:15" x14ac:dyDescent="0.2">
      <c r="A723">
        <v>99</v>
      </c>
      <c r="B723" t="s">
        <v>2117</v>
      </c>
      <c r="C723" t="s">
        <v>1193</v>
      </c>
      <c r="D723" t="s">
        <v>801</v>
      </c>
      <c r="E723" t="s">
        <v>402</v>
      </c>
      <c r="F723">
        <v>0</v>
      </c>
      <c r="G723">
        <v>10.3</v>
      </c>
      <c r="H723" t="s">
        <v>151</v>
      </c>
      <c r="I723" t="s">
        <v>1152</v>
      </c>
      <c r="J723">
        <v>0</v>
      </c>
      <c r="K723">
        <v>0</v>
      </c>
      <c r="L723" t="s">
        <v>1874</v>
      </c>
      <c r="M723">
        <v>18267.52</v>
      </c>
      <c r="N723" t="s">
        <v>2923</v>
      </c>
      <c r="O723" t="s">
        <v>2921</v>
      </c>
    </row>
    <row r="724" spans="1:15" x14ac:dyDescent="0.2">
      <c r="A724">
        <v>99</v>
      </c>
      <c r="B724" t="s">
        <v>2117</v>
      </c>
      <c r="C724" t="s">
        <v>1193</v>
      </c>
      <c r="D724" t="s">
        <v>1425</v>
      </c>
      <c r="E724" t="s">
        <v>237</v>
      </c>
      <c r="F724">
        <v>1</v>
      </c>
      <c r="G724">
        <v>5</v>
      </c>
      <c r="H724" t="s">
        <v>1152</v>
      </c>
      <c r="I724" t="s">
        <v>1152</v>
      </c>
      <c r="J724">
        <v>5</v>
      </c>
      <c r="K724">
        <v>91337.600000000006</v>
      </c>
      <c r="L724" t="s">
        <v>1874</v>
      </c>
      <c r="M724">
        <v>18267.52</v>
      </c>
      <c r="N724" t="s">
        <v>2925</v>
      </c>
      <c r="O724" t="s">
        <v>2921</v>
      </c>
    </row>
    <row r="725" spans="1:15" x14ac:dyDescent="0.2">
      <c r="A725">
        <v>99</v>
      </c>
      <c r="B725" t="s">
        <v>2117</v>
      </c>
      <c r="C725" t="s">
        <v>1193</v>
      </c>
      <c r="D725" t="s">
        <v>1009</v>
      </c>
      <c r="E725" t="s">
        <v>672</v>
      </c>
      <c r="F725">
        <v>0</v>
      </c>
      <c r="G725">
        <v>16.489999999999998</v>
      </c>
      <c r="H725" t="s">
        <v>151</v>
      </c>
      <c r="I725" t="s">
        <v>1152</v>
      </c>
      <c r="J725">
        <v>0</v>
      </c>
      <c r="K725">
        <v>0</v>
      </c>
      <c r="L725" t="s">
        <v>1874</v>
      </c>
      <c r="M725">
        <v>18267.52</v>
      </c>
      <c r="N725" t="s">
        <v>2922</v>
      </c>
      <c r="O725" t="s">
        <v>2921</v>
      </c>
    </row>
    <row r="726" spans="1:15" x14ac:dyDescent="0.2">
      <c r="A726">
        <v>99</v>
      </c>
      <c r="B726" t="s">
        <v>2117</v>
      </c>
      <c r="C726" t="s">
        <v>1193</v>
      </c>
      <c r="D726" t="s">
        <v>66</v>
      </c>
      <c r="E726" t="s">
        <v>617</v>
      </c>
      <c r="F726">
        <v>0</v>
      </c>
      <c r="G726">
        <v>5.45</v>
      </c>
      <c r="H726" t="s">
        <v>764</v>
      </c>
      <c r="I726" t="s">
        <v>1152</v>
      </c>
      <c r="J726">
        <v>0</v>
      </c>
      <c r="K726">
        <v>0</v>
      </c>
      <c r="L726" t="s">
        <v>1874</v>
      </c>
      <c r="M726">
        <v>18267.52</v>
      </c>
      <c r="N726" t="s">
        <v>2927</v>
      </c>
      <c r="O726" t="s">
        <v>2921</v>
      </c>
    </row>
    <row r="727" spans="1:15" x14ac:dyDescent="0.2">
      <c r="A727">
        <v>99</v>
      </c>
      <c r="B727" t="s">
        <v>2117</v>
      </c>
      <c r="C727" t="s">
        <v>1193</v>
      </c>
      <c r="D727" t="s">
        <v>498</v>
      </c>
      <c r="E727" t="s">
        <v>773</v>
      </c>
      <c r="F727">
        <v>1.2</v>
      </c>
      <c r="G727">
        <v>0</v>
      </c>
      <c r="H727" t="s">
        <v>84</v>
      </c>
      <c r="I727" t="s">
        <v>1152</v>
      </c>
      <c r="J727">
        <v>0</v>
      </c>
      <c r="K727">
        <v>0</v>
      </c>
      <c r="L727" t="s">
        <v>1874</v>
      </c>
      <c r="M727">
        <v>18267.52</v>
      </c>
      <c r="N727" t="s">
        <v>2926</v>
      </c>
      <c r="O727" t="s">
        <v>2921</v>
      </c>
    </row>
    <row r="728" spans="1:15" x14ac:dyDescent="0.2">
      <c r="A728">
        <v>99</v>
      </c>
      <c r="B728" t="s">
        <v>2117</v>
      </c>
      <c r="C728" t="s">
        <v>1075</v>
      </c>
      <c r="D728" t="s">
        <v>498</v>
      </c>
      <c r="E728" t="s">
        <v>773</v>
      </c>
      <c r="F728">
        <v>1.2</v>
      </c>
      <c r="G728">
        <v>0</v>
      </c>
      <c r="H728" t="s">
        <v>84</v>
      </c>
      <c r="I728" t="s">
        <v>1152</v>
      </c>
      <c r="J728">
        <v>0</v>
      </c>
      <c r="K728">
        <v>0</v>
      </c>
      <c r="L728" t="s">
        <v>1880</v>
      </c>
      <c r="M728">
        <v>18267.52</v>
      </c>
      <c r="N728" t="s">
        <v>2937</v>
      </c>
      <c r="O728" t="s">
        <v>2931</v>
      </c>
    </row>
    <row r="729" spans="1:15" x14ac:dyDescent="0.2">
      <c r="A729">
        <v>99</v>
      </c>
      <c r="B729" t="s">
        <v>2117</v>
      </c>
      <c r="C729" t="s">
        <v>1075</v>
      </c>
      <c r="D729" t="s">
        <v>66</v>
      </c>
      <c r="E729" t="s">
        <v>617</v>
      </c>
      <c r="F729">
        <v>0</v>
      </c>
      <c r="G729">
        <v>5.45</v>
      </c>
      <c r="H729" t="s">
        <v>764</v>
      </c>
      <c r="I729" t="s">
        <v>1152</v>
      </c>
      <c r="J729">
        <v>0</v>
      </c>
      <c r="K729">
        <v>0</v>
      </c>
      <c r="L729" t="s">
        <v>1880</v>
      </c>
      <c r="M729">
        <v>18267.52</v>
      </c>
      <c r="N729" t="s">
        <v>2938</v>
      </c>
      <c r="O729" t="s">
        <v>2931</v>
      </c>
    </row>
    <row r="730" spans="1:15" x14ac:dyDescent="0.2">
      <c r="A730">
        <v>99</v>
      </c>
      <c r="B730" t="s">
        <v>2117</v>
      </c>
      <c r="C730" t="s">
        <v>1075</v>
      </c>
      <c r="D730" t="s">
        <v>1009</v>
      </c>
      <c r="E730" t="s">
        <v>672</v>
      </c>
      <c r="F730">
        <v>0</v>
      </c>
      <c r="G730">
        <v>16.489999999999998</v>
      </c>
      <c r="H730" t="s">
        <v>151</v>
      </c>
      <c r="I730" t="s">
        <v>1152</v>
      </c>
      <c r="J730">
        <v>0</v>
      </c>
      <c r="K730">
        <v>0</v>
      </c>
      <c r="L730" t="s">
        <v>1880</v>
      </c>
      <c r="M730">
        <v>18267.52</v>
      </c>
      <c r="N730" t="s">
        <v>2933</v>
      </c>
      <c r="O730" t="s">
        <v>2931</v>
      </c>
    </row>
    <row r="731" spans="1:15" x14ac:dyDescent="0.2">
      <c r="A731">
        <v>99</v>
      </c>
      <c r="B731" t="s">
        <v>2117</v>
      </c>
      <c r="C731" t="s">
        <v>1075</v>
      </c>
      <c r="D731" t="s">
        <v>801</v>
      </c>
      <c r="E731" t="s">
        <v>402</v>
      </c>
      <c r="F731">
        <v>0</v>
      </c>
      <c r="G731">
        <v>10.3</v>
      </c>
      <c r="H731" t="s">
        <v>151</v>
      </c>
      <c r="I731" t="s">
        <v>1152</v>
      </c>
      <c r="J731">
        <v>0</v>
      </c>
      <c r="K731">
        <v>0</v>
      </c>
      <c r="L731" t="s">
        <v>1880</v>
      </c>
      <c r="M731">
        <v>18267.52</v>
      </c>
      <c r="N731" t="s">
        <v>2934</v>
      </c>
      <c r="O731" t="s">
        <v>2931</v>
      </c>
    </row>
    <row r="732" spans="1:15" x14ac:dyDescent="0.2">
      <c r="A732">
        <v>99</v>
      </c>
      <c r="B732" t="s">
        <v>2117</v>
      </c>
      <c r="C732" t="s">
        <v>1075</v>
      </c>
      <c r="D732" t="s">
        <v>120</v>
      </c>
      <c r="E732" t="s">
        <v>597</v>
      </c>
      <c r="F732">
        <v>0</v>
      </c>
      <c r="G732">
        <v>1.52</v>
      </c>
      <c r="H732" t="s">
        <v>742</v>
      </c>
      <c r="I732" t="s">
        <v>1152</v>
      </c>
      <c r="J732">
        <v>0</v>
      </c>
      <c r="K732">
        <v>0</v>
      </c>
      <c r="L732" t="s">
        <v>1880</v>
      </c>
      <c r="M732">
        <v>18267.52</v>
      </c>
      <c r="N732" t="s">
        <v>2939</v>
      </c>
      <c r="O732" t="s">
        <v>2931</v>
      </c>
    </row>
    <row r="733" spans="1:15" x14ac:dyDescent="0.2">
      <c r="A733">
        <v>99</v>
      </c>
      <c r="B733" t="s">
        <v>2117</v>
      </c>
      <c r="C733" t="s">
        <v>1075</v>
      </c>
      <c r="D733" t="s">
        <v>1365</v>
      </c>
      <c r="E733" t="s">
        <v>25</v>
      </c>
      <c r="F733">
        <v>1</v>
      </c>
      <c r="G733">
        <v>60</v>
      </c>
      <c r="H733" t="s">
        <v>1152</v>
      </c>
      <c r="I733" t="s">
        <v>1152</v>
      </c>
      <c r="J733">
        <v>60</v>
      </c>
      <c r="K733">
        <v>1096051.2</v>
      </c>
      <c r="L733" t="s">
        <v>1880</v>
      </c>
      <c r="M733">
        <v>18267.52</v>
      </c>
      <c r="N733" t="s">
        <v>2936</v>
      </c>
      <c r="O733" t="s">
        <v>2931</v>
      </c>
    </row>
    <row r="734" spans="1:15" x14ac:dyDescent="0.2">
      <c r="A734">
        <v>99</v>
      </c>
      <c r="B734" t="s">
        <v>2117</v>
      </c>
      <c r="C734" t="s">
        <v>1075</v>
      </c>
      <c r="D734" t="s">
        <v>1433</v>
      </c>
      <c r="E734" t="s">
        <v>2929</v>
      </c>
      <c r="F734">
        <v>0.13880000000000001</v>
      </c>
      <c r="G734">
        <v>16.010000000000002</v>
      </c>
      <c r="H734" t="s">
        <v>1152</v>
      </c>
      <c r="I734" t="s">
        <v>1152</v>
      </c>
      <c r="J734">
        <v>2.2221880000000001</v>
      </c>
      <c r="K734">
        <v>40593.863733999999</v>
      </c>
      <c r="L734" t="s">
        <v>1880</v>
      </c>
      <c r="M734">
        <v>18267.52</v>
      </c>
      <c r="N734" t="s">
        <v>2930</v>
      </c>
      <c r="O734" t="s">
        <v>2931</v>
      </c>
    </row>
    <row r="735" spans="1:15" x14ac:dyDescent="0.2">
      <c r="A735">
        <v>99</v>
      </c>
      <c r="B735" t="s">
        <v>2117</v>
      </c>
      <c r="C735" t="s">
        <v>1075</v>
      </c>
      <c r="D735" t="s">
        <v>547</v>
      </c>
      <c r="E735" t="s">
        <v>2320</v>
      </c>
      <c r="F735">
        <v>0</v>
      </c>
      <c r="G735">
        <v>13.51</v>
      </c>
      <c r="H735" t="s">
        <v>151</v>
      </c>
      <c r="I735" t="s">
        <v>1152</v>
      </c>
      <c r="J735">
        <v>0</v>
      </c>
      <c r="K735">
        <v>0</v>
      </c>
      <c r="L735" t="s">
        <v>1880</v>
      </c>
      <c r="M735">
        <v>18267.52</v>
      </c>
      <c r="N735" t="s">
        <v>2935</v>
      </c>
      <c r="O735" t="s">
        <v>2931</v>
      </c>
    </row>
    <row r="736" spans="1:15" x14ac:dyDescent="0.2">
      <c r="A736">
        <v>99</v>
      </c>
      <c r="B736" t="s">
        <v>2117</v>
      </c>
      <c r="C736" t="s">
        <v>1075</v>
      </c>
      <c r="D736" t="s">
        <v>471</v>
      </c>
      <c r="E736" t="s">
        <v>1599</v>
      </c>
      <c r="F736">
        <v>59.29</v>
      </c>
      <c r="G736">
        <v>0.52559999999999996</v>
      </c>
      <c r="H736" t="s">
        <v>1052</v>
      </c>
      <c r="I736" t="s">
        <v>1152</v>
      </c>
      <c r="J736">
        <v>31.162824000000001</v>
      </c>
      <c r="K736">
        <v>569267.51067600003</v>
      </c>
      <c r="L736" t="s">
        <v>1880</v>
      </c>
      <c r="M736">
        <v>18267.52</v>
      </c>
      <c r="N736" t="s">
        <v>2932</v>
      </c>
      <c r="O736" t="s">
        <v>2931</v>
      </c>
    </row>
    <row r="737" spans="1:15" x14ac:dyDescent="0.2">
      <c r="A737">
        <v>99</v>
      </c>
      <c r="B737" t="s">
        <v>2117</v>
      </c>
      <c r="C737" t="s">
        <v>1078</v>
      </c>
      <c r="D737" t="s">
        <v>471</v>
      </c>
      <c r="E737" t="s">
        <v>1599</v>
      </c>
      <c r="F737">
        <v>50.82</v>
      </c>
      <c r="G737">
        <v>0.52559999999999996</v>
      </c>
      <c r="H737" t="s">
        <v>1052</v>
      </c>
      <c r="I737" t="s">
        <v>1152</v>
      </c>
      <c r="J737">
        <v>26.710992000000001</v>
      </c>
      <c r="K737">
        <v>517393.25059000001</v>
      </c>
      <c r="L737" t="s">
        <v>1882</v>
      </c>
      <c r="M737">
        <v>19370.05</v>
      </c>
      <c r="N737" t="s">
        <v>2940</v>
      </c>
      <c r="O737" t="s">
        <v>2941</v>
      </c>
    </row>
    <row r="738" spans="1:15" x14ac:dyDescent="0.2">
      <c r="A738">
        <v>99</v>
      </c>
      <c r="B738" t="s">
        <v>2117</v>
      </c>
      <c r="C738" t="s">
        <v>1078</v>
      </c>
      <c r="D738" t="s">
        <v>547</v>
      </c>
      <c r="E738" t="s">
        <v>2320</v>
      </c>
      <c r="F738">
        <v>0</v>
      </c>
      <c r="G738">
        <v>13.51</v>
      </c>
      <c r="H738" t="s">
        <v>151</v>
      </c>
      <c r="I738" t="s">
        <v>1152</v>
      </c>
      <c r="J738">
        <v>0</v>
      </c>
      <c r="K738">
        <v>0</v>
      </c>
      <c r="L738" t="s">
        <v>1882</v>
      </c>
      <c r="M738">
        <v>19370.05</v>
      </c>
      <c r="N738" t="s">
        <v>2944</v>
      </c>
      <c r="O738" t="s">
        <v>2941</v>
      </c>
    </row>
    <row r="739" spans="1:15" x14ac:dyDescent="0.2">
      <c r="A739">
        <v>99</v>
      </c>
      <c r="B739" t="s">
        <v>2117</v>
      </c>
      <c r="C739" t="s">
        <v>1078</v>
      </c>
      <c r="D739" t="s">
        <v>120</v>
      </c>
      <c r="E739" t="s">
        <v>597</v>
      </c>
      <c r="F739">
        <v>0</v>
      </c>
      <c r="G739">
        <v>1.52</v>
      </c>
      <c r="H739" t="s">
        <v>742</v>
      </c>
      <c r="I739" t="s">
        <v>1152</v>
      </c>
      <c r="J739">
        <v>0</v>
      </c>
      <c r="K739">
        <v>0</v>
      </c>
      <c r="L739" t="s">
        <v>1882</v>
      </c>
      <c r="M739">
        <v>19370.05</v>
      </c>
      <c r="N739" t="s">
        <v>2948</v>
      </c>
      <c r="O739" t="s">
        <v>2941</v>
      </c>
    </row>
    <row r="740" spans="1:15" x14ac:dyDescent="0.2">
      <c r="A740">
        <v>99</v>
      </c>
      <c r="B740" t="s">
        <v>2117</v>
      </c>
      <c r="C740" t="s">
        <v>1078</v>
      </c>
      <c r="D740" t="s">
        <v>801</v>
      </c>
      <c r="E740" t="s">
        <v>402</v>
      </c>
      <c r="F740">
        <v>0</v>
      </c>
      <c r="G740">
        <v>10.3</v>
      </c>
      <c r="H740" t="s">
        <v>151</v>
      </c>
      <c r="I740" t="s">
        <v>1152</v>
      </c>
      <c r="J740">
        <v>0</v>
      </c>
      <c r="K740">
        <v>0</v>
      </c>
      <c r="L740" t="s">
        <v>1882</v>
      </c>
      <c r="M740">
        <v>19370.05</v>
      </c>
      <c r="N740" t="s">
        <v>2943</v>
      </c>
      <c r="O740" t="s">
        <v>2941</v>
      </c>
    </row>
    <row r="741" spans="1:15" x14ac:dyDescent="0.2">
      <c r="A741">
        <v>99</v>
      </c>
      <c r="B741" t="s">
        <v>2117</v>
      </c>
      <c r="C741" t="s">
        <v>1078</v>
      </c>
      <c r="D741" t="s">
        <v>1009</v>
      </c>
      <c r="E741" t="s">
        <v>672</v>
      </c>
      <c r="F741">
        <v>0</v>
      </c>
      <c r="G741">
        <v>16.489999999999998</v>
      </c>
      <c r="H741" t="s">
        <v>151</v>
      </c>
      <c r="I741" t="s">
        <v>1152</v>
      </c>
      <c r="J741">
        <v>0</v>
      </c>
      <c r="K741">
        <v>0</v>
      </c>
      <c r="L741" t="s">
        <v>1882</v>
      </c>
      <c r="M741">
        <v>19370.05</v>
      </c>
      <c r="N741" t="s">
        <v>2942</v>
      </c>
      <c r="O741" t="s">
        <v>2941</v>
      </c>
    </row>
    <row r="742" spans="1:15" x14ac:dyDescent="0.2">
      <c r="A742">
        <v>99</v>
      </c>
      <c r="B742" t="s">
        <v>2117</v>
      </c>
      <c r="C742" t="s">
        <v>1078</v>
      </c>
      <c r="D742" t="s">
        <v>1364</v>
      </c>
      <c r="E742" t="s">
        <v>1408</v>
      </c>
      <c r="F742">
        <v>1</v>
      </c>
      <c r="G742">
        <v>40</v>
      </c>
      <c r="H742" t="s">
        <v>1152</v>
      </c>
      <c r="I742" t="s">
        <v>1152</v>
      </c>
      <c r="J742">
        <v>40</v>
      </c>
      <c r="K742">
        <v>774802</v>
      </c>
      <c r="L742" t="s">
        <v>1882</v>
      </c>
      <c r="M742">
        <v>19370.05</v>
      </c>
      <c r="N742" t="s">
        <v>2945</v>
      </c>
      <c r="O742" t="s">
        <v>2941</v>
      </c>
    </row>
    <row r="743" spans="1:15" x14ac:dyDescent="0.2">
      <c r="A743">
        <v>99</v>
      </c>
      <c r="B743" t="s">
        <v>2117</v>
      </c>
      <c r="C743" t="s">
        <v>1078</v>
      </c>
      <c r="D743" t="s">
        <v>66</v>
      </c>
      <c r="E743" t="s">
        <v>617</v>
      </c>
      <c r="F743">
        <v>0</v>
      </c>
      <c r="G743">
        <v>5.45</v>
      </c>
      <c r="H743" t="s">
        <v>764</v>
      </c>
      <c r="I743" t="s">
        <v>1152</v>
      </c>
      <c r="J743">
        <v>0</v>
      </c>
      <c r="K743">
        <v>0</v>
      </c>
      <c r="L743" t="s">
        <v>1882</v>
      </c>
      <c r="M743">
        <v>19370.05</v>
      </c>
      <c r="N743" t="s">
        <v>2947</v>
      </c>
      <c r="O743" t="s">
        <v>2941</v>
      </c>
    </row>
    <row r="744" spans="1:15" x14ac:dyDescent="0.2">
      <c r="A744">
        <v>99</v>
      </c>
      <c r="B744" t="s">
        <v>2117</v>
      </c>
      <c r="C744" t="s">
        <v>1078</v>
      </c>
      <c r="D744" t="s">
        <v>498</v>
      </c>
      <c r="E744" t="s">
        <v>773</v>
      </c>
      <c r="F744">
        <v>1.2</v>
      </c>
      <c r="G744">
        <v>0</v>
      </c>
      <c r="H744" t="s">
        <v>84</v>
      </c>
      <c r="I744" t="s">
        <v>1152</v>
      </c>
      <c r="J744">
        <v>0</v>
      </c>
      <c r="K744">
        <v>0</v>
      </c>
      <c r="L744" t="s">
        <v>1882</v>
      </c>
      <c r="M744">
        <v>19370.05</v>
      </c>
      <c r="N744" t="s">
        <v>2946</v>
      </c>
      <c r="O744" t="s">
        <v>2941</v>
      </c>
    </row>
    <row r="745" spans="1:15" x14ac:dyDescent="0.2">
      <c r="A745">
        <v>99</v>
      </c>
      <c r="B745" t="s">
        <v>2117</v>
      </c>
      <c r="C745" t="s">
        <v>915</v>
      </c>
      <c r="D745" t="s">
        <v>498</v>
      </c>
      <c r="E745" t="s">
        <v>773</v>
      </c>
      <c r="F745">
        <v>1.2</v>
      </c>
      <c r="G745">
        <v>0</v>
      </c>
      <c r="H745" t="s">
        <v>84</v>
      </c>
      <c r="I745" t="s">
        <v>153</v>
      </c>
      <c r="J745">
        <v>0</v>
      </c>
      <c r="K745">
        <v>0</v>
      </c>
      <c r="L745" t="s">
        <v>1884</v>
      </c>
      <c r="M745">
        <v>393.75</v>
      </c>
      <c r="N745" t="s">
        <v>2960</v>
      </c>
      <c r="O745" t="s">
        <v>2950</v>
      </c>
    </row>
    <row r="746" spans="1:15" x14ac:dyDescent="0.2">
      <c r="A746">
        <v>99</v>
      </c>
      <c r="B746" t="s">
        <v>2117</v>
      </c>
      <c r="C746" t="s">
        <v>915</v>
      </c>
      <c r="D746" t="s">
        <v>66</v>
      </c>
      <c r="E746" t="s">
        <v>617</v>
      </c>
      <c r="F746">
        <v>0</v>
      </c>
      <c r="G746">
        <v>5.45</v>
      </c>
      <c r="H746" t="s">
        <v>764</v>
      </c>
      <c r="I746" t="s">
        <v>153</v>
      </c>
      <c r="J746">
        <v>0</v>
      </c>
      <c r="K746">
        <v>0</v>
      </c>
      <c r="L746" t="s">
        <v>1884</v>
      </c>
      <c r="M746">
        <v>393.75</v>
      </c>
      <c r="N746" t="s">
        <v>2963</v>
      </c>
      <c r="O746" t="s">
        <v>2950</v>
      </c>
    </row>
    <row r="747" spans="1:15" x14ac:dyDescent="0.2">
      <c r="A747">
        <v>99</v>
      </c>
      <c r="B747" t="s">
        <v>2117</v>
      </c>
      <c r="C747" t="s">
        <v>915</v>
      </c>
      <c r="D747" t="s">
        <v>1009</v>
      </c>
      <c r="E747" t="s">
        <v>672</v>
      </c>
      <c r="F747">
        <v>0</v>
      </c>
      <c r="G747">
        <v>16.489999999999998</v>
      </c>
      <c r="H747" t="s">
        <v>151</v>
      </c>
      <c r="I747" t="s">
        <v>153</v>
      </c>
      <c r="J747">
        <v>0</v>
      </c>
      <c r="K747">
        <v>0</v>
      </c>
      <c r="L747" t="s">
        <v>1884</v>
      </c>
      <c r="M747">
        <v>393.75</v>
      </c>
      <c r="N747" t="s">
        <v>2954</v>
      </c>
      <c r="O747" t="s">
        <v>2950</v>
      </c>
    </row>
    <row r="748" spans="1:15" x14ac:dyDescent="0.2">
      <c r="A748">
        <v>99</v>
      </c>
      <c r="B748" t="s">
        <v>2117</v>
      </c>
      <c r="C748" t="s">
        <v>915</v>
      </c>
      <c r="D748" t="s">
        <v>1133</v>
      </c>
      <c r="E748" t="s">
        <v>2843</v>
      </c>
      <c r="F748">
        <v>4.0000000000000002E-4</v>
      </c>
      <c r="G748">
        <v>8.93</v>
      </c>
      <c r="H748" t="s">
        <v>152</v>
      </c>
      <c r="I748" t="s">
        <v>153</v>
      </c>
      <c r="J748">
        <v>3.5720000000000001E-3</v>
      </c>
      <c r="K748">
        <v>1.4064749999999999</v>
      </c>
      <c r="L748" t="s">
        <v>1884</v>
      </c>
      <c r="M748">
        <v>393.75</v>
      </c>
      <c r="N748" t="s">
        <v>2952</v>
      </c>
      <c r="O748" t="s">
        <v>2950</v>
      </c>
    </row>
    <row r="749" spans="1:15" x14ac:dyDescent="0.2">
      <c r="A749">
        <v>99</v>
      </c>
      <c r="B749" t="s">
        <v>2117</v>
      </c>
      <c r="C749" t="s">
        <v>915</v>
      </c>
      <c r="D749" t="s">
        <v>1970</v>
      </c>
      <c r="E749" t="s">
        <v>1166</v>
      </c>
      <c r="F749">
        <v>0</v>
      </c>
      <c r="G749">
        <v>30.29</v>
      </c>
      <c r="H749" t="s">
        <v>764</v>
      </c>
      <c r="I749" t="s">
        <v>153</v>
      </c>
      <c r="J749">
        <v>0</v>
      </c>
      <c r="K749">
        <v>0</v>
      </c>
      <c r="L749" t="s">
        <v>1884</v>
      </c>
      <c r="M749">
        <v>393.75</v>
      </c>
      <c r="N749" t="s">
        <v>2961</v>
      </c>
      <c r="O749" t="s">
        <v>2950</v>
      </c>
    </row>
    <row r="750" spans="1:15" x14ac:dyDescent="0.2">
      <c r="A750">
        <v>99</v>
      </c>
      <c r="B750" t="s">
        <v>2117</v>
      </c>
      <c r="C750" t="s">
        <v>915</v>
      </c>
      <c r="D750" t="s">
        <v>801</v>
      </c>
      <c r="E750" t="s">
        <v>402</v>
      </c>
      <c r="F750">
        <v>0</v>
      </c>
      <c r="G750">
        <v>10.3</v>
      </c>
      <c r="H750" t="s">
        <v>151</v>
      </c>
      <c r="I750" t="s">
        <v>153</v>
      </c>
      <c r="J750">
        <v>0</v>
      </c>
      <c r="K750">
        <v>0</v>
      </c>
      <c r="L750" t="s">
        <v>1884</v>
      </c>
      <c r="M750">
        <v>393.75</v>
      </c>
      <c r="N750" t="s">
        <v>2955</v>
      </c>
      <c r="O750" t="s">
        <v>2950</v>
      </c>
    </row>
    <row r="751" spans="1:15" x14ac:dyDescent="0.2">
      <c r="A751">
        <v>99</v>
      </c>
      <c r="B751" t="s">
        <v>2117</v>
      </c>
      <c r="C751" t="s">
        <v>915</v>
      </c>
      <c r="D751" t="s">
        <v>120</v>
      </c>
      <c r="E751" t="s">
        <v>597</v>
      </c>
      <c r="F751">
        <v>0</v>
      </c>
      <c r="G751">
        <v>1.52</v>
      </c>
      <c r="H751" t="s">
        <v>742</v>
      </c>
      <c r="I751" t="s">
        <v>153</v>
      </c>
      <c r="J751">
        <v>0</v>
      </c>
      <c r="K751">
        <v>0</v>
      </c>
      <c r="L751" t="s">
        <v>1884</v>
      </c>
      <c r="M751">
        <v>393.75</v>
      </c>
      <c r="N751" t="s">
        <v>2956</v>
      </c>
      <c r="O751" t="s">
        <v>2950</v>
      </c>
    </row>
    <row r="752" spans="1:15" x14ac:dyDescent="0.2">
      <c r="A752">
        <v>99</v>
      </c>
      <c r="B752" t="s">
        <v>2117</v>
      </c>
      <c r="C752" t="s">
        <v>915</v>
      </c>
      <c r="D752" t="s">
        <v>1258</v>
      </c>
      <c r="E752" t="s">
        <v>1526</v>
      </c>
      <c r="F752">
        <v>7.6E-3</v>
      </c>
      <c r="G752">
        <v>148</v>
      </c>
      <c r="H752" t="s">
        <v>1153</v>
      </c>
      <c r="I752" t="s">
        <v>153</v>
      </c>
      <c r="J752">
        <v>1.1248</v>
      </c>
      <c r="K752">
        <v>442.89</v>
      </c>
      <c r="L752" t="s">
        <v>1884</v>
      </c>
      <c r="M752">
        <v>393.75</v>
      </c>
      <c r="N752" t="s">
        <v>2951</v>
      </c>
      <c r="O752" t="s">
        <v>2950</v>
      </c>
    </row>
    <row r="753" spans="1:15" x14ac:dyDescent="0.2">
      <c r="A753">
        <v>99</v>
      </c>
      <c r="B753" t="s">
        <v>2117</v>
      </c>
      <c r="C753" t="s">
        <v>915</v>
      </c>
      <c r="D753" t="s">
        <v>1654</v>
      </c>
      <c r="E753" t="s">
        <v>1551</v>
      </c>
      <c r="F753">
        <v>1.7088000000000001</v>
      </c>
      <c r="G753">
        <v>0.7974</v>
      </c>
      <c r="H753" t="s">
        <v>1052</v>
      </c>
      <c r="I753" t="s">
        <v>153</v>
      </c>
      <c r="J753">
        <v>1.36259712</v>
      </c>
      <c r="K753">
        <v>536.52261599999997</v>
      </c>
      <c r="L753" t="s">
        <v>1884</v>
      </c>
      <c r="M753">
        <v>393.75</v>
      </c>
      <c r="N753" t="s">
        <v>2949</v>
      </c>
      <c r="O753" t="s">
        <v>2950</v>
      </c>
    </row>
    <row r="754" spans="1:15" x14ac:dyDescent="0.2">
      <c r="A754">
        <v>99</v>
      </c>
      <c r="B754" t="s">
        <v>2117</v>
      </c>
      <c r="C754" t="s">
        <v>915</v>
      </c>
      <c r="D754" t="s">
        <v>547</v>
      </c>
      <c r="E754" t="s">
        <v>2320</v>
      </c>
      <c r="F754">
        <v>0</v>
      </c>
      <c r="G754">
        <v>13.51</v>
      </c>
      <c r="H754" t="s">
        <v>151</v>
      </c>
      <c r="I754" t="s">
        <v>153</v>
      </c>
      <c r="J754">
        <v>0</v>
      </c>
      <c r="K754">
        <v>0</v>
      </c>
      <c r="L754" t="s">
        <v>1884</v>
      </c>
      <c r="M754">
        <v>393.75</v>
      </c>
      <c r="N754" t="s">
        <v>2957</v>
      </c>
      <c r="O754" t="s">
        <v>2950</v>
      </c>
    </row>
    <row r="755" spans="1:15" x14ac:dyDescent="0.2">
      <c r="A755">
        <v>99</v>
      </c>
      <c r="B755" t="s">
        <v>2117</v>
      </c>
      <c r="C755" t="s">
        <v>915</v>
      </c>
      <c r="D755" t="s">
        <v>1122</v>
      </c>
      <c r="E755" t="s">
        <v>2958</v>
      </c>
      <c r="F755">
        <v>1</v>
      </c>
      <c r="G755">
        <v>20</v>
      </c>
      <c r="H755" t="s">
        <v>153</v>
      </c>
      <c r="I755" t="s">
        <v>153</v>
      </c>
      <c r="J755">
        <v>20</v>
      </c>
      <c r="K755">
        <v>7875</v>
      </c>
      <c r="L755" t="s">
        <v>1884</v>
      </c>
      <c r="M755">
        <v>393.75</v>
      </c>
      <c r="N755" t="s">
        <v>2959</v>
      </c>
      <c r="O755" t="s">
        <v>2950</v>
      </c>
    </row>
    <row r="756" spans="1:15" x14ac:dyDescent="0.2">
      <c r="A756">
        <v>99</v>
      </c>
      <c r="B756" t="s">
        <v>2117</v>
      </c>
      <c r="C756" t="s">
        <v>915</v>
      </c>
      <c r="D756" t="s">
        <v>1971</v>
      </c>
      <c r="E756" t="s">
        <v>1147</v>
      </c>
      <c r="F756">
        <v>0</v>
      </c>
      <c r="G756">
        <v>28.81</v>
      </c>
      <c r="H756" t="s">
        <v>742</v>
      </c>
      <c r="I756" t="s">
        <v>153</v>
      </c>
      <c r="J756">
        <v>0</v>
      </c>
      <c r="K756">
        <v>0</v>
      </c>
      <c r="L756" t="s">
        <v>1884</v>
      </c>
      <c r="M756">
        <v>393.75</v>
      </c>
      <c r="N756" t="s">
        <v>2962</v>
      </c>
      <c r="O756" t="s">
        <v>2950</v>
      </c>
    </row>
    <row r="757" spans="1:15" x14ac:dyDescent="0.2">
      <c r="A757">
        <v>99</v>
      </c>
      <c r="B757" t="s">
        <v>2117</v>
      </c>
      <c r="C757" t="s">
        <v>915</v>
      </c>
      <c r="D757" t="s">
        <v>409</v>
      </c>
      <c r="E757" t="s">
        <v>494</v>
      </c>
      <c r="F757">
        <v>1.08</v>
      </c>
      <c r="G757">
        <v>20</v>
      </c>
      <c r="H757" t="s">
        <v>153</v>
      </c>
      <c r="I757" t="s">
        <v>153</v>
      </c>
      <c r="J757">
        <v>21.6</v>
      </c>
      <c r="K757">
        <v>8505</v>
      </c>
      <c r="L757" t="s">
        <v>1884</v>
      </c>
      <c r="M757">
        <v>393.75</v>
      </c>
      <c r="N757" t="s">
        <v>2953</v>
      </c>
      <c r="O757" t="s">
        <v>2950</v>
      </c>
    </row>
    <row r="758" spans="1:15" x14ac:dyDescent="0.2">
      <c r="A758">
        <v>99</v>
      </c>
      <c r="B758" t="s">
        <v>2117</v>
      </c>
      <c r="C758" t="s">
        <v>65</v>
      </c>
      <c r="D758" t="s">
        <v>1241</v>
      </c>
      <c r="E758" t="s">
        <v>264</v>
      </c>
      <c r="F758">
        <v>1</v>
      </c>
      <c r="G758">
        <v>13.2</v>
      </c>
      <c r="H758" t="s">
        <v>1152</v>
      </c>
      <c r="I758" t="s">
        <v>1152</v>
      </c>
      <c r="J758">
        <v>13.2</v>
      </c>
      <c r="K758">
        <v>213088.65599999999</v>
      </c>
      <c r="L758" t="s">
        <v>28</v>
      </c>
      <c r="M758">
        <v>16143.08</v>
      </c>
      <c r="N758" t="s">
        <v>2965</v>
      </c>
      <c r="O758" t="s">
        <v>609</v>
      </c>
    </row>
    <row r="759" spans="1:15" x14ac:dyDescent="0.2">
      <c r="A759">
        <v>99</v>
      </c>
      <c r="B759" t="s">
        <v>2117</v>
      </c>
      <c r="C759" t="s">
        <v>65</v>
      </c>
      <c r="D759" t="s">
        <v>369</v>
      </c>
      <c r="E759" t="s">
        <v>1077</v>
      </c>
      <c r="F759">
        <v>1</v>
      </c>
      <c r="G759">
        <v>74.5</v>
      </c>
      <c r="H759" t="s">
        <v>1819</v>
      </c>
      <c r="I759" t="s">
        <v>1152</v>
      </c>
      <c r="J759">
        <v>74.5</v>
      </c>
      <c r="K759">
        <v>1202659.46</v>
      </c>
      <c r="L759" t="s">
        <v>28</v>
      </c>
      <c r="M759">
        <v>16143.08</v>
      </c>
      <c r="N759" t="s">
        <v>2964</v>
      </c>
      <c r="O759" t="s">
        <v>609</v>
      </c>
    </row>
    <row r="760" spans="1:15" x14ac:dyDescent="0.2">
      <c r="A760">
        <v>99</v>
      </c>
      <c r="B760" t="s">
        <v>2117</v>
      </c>
      <c r="C760" t="s">
        <v>67</v>
      </c>
      <c r="D760" t="s">
        <v>138</v>
      </c>
      <c r="E760" t="s">
        <v>790</v>
      </c>
      <c r="F760">
        <v>1</v>
      </c>
      <c r="G760">
        <v>110</v>
      </c>
      <c r="H760" t="s">
        <v>1152</v>
      </c>
      <c r="I760" t="s">
        <v>1152</v>
      </c>
      <c r="J760">
        <v>110</v>
      </c>
      <c r="K760">
        <v>41587.699999999997</v>
      </c>
      <c r="L760" t="s">
        <v>30</v>
      </c>
      <c r="M760">
        <v>378.07</v>
      </c>
      <c r="N760" t="s">
        <v>2966</v>
      </c>
      <c r="O760" t="s">
        <v>2967</v>
      </c>
    </row>
    <row r="761" spans="1:15" x14ac:dyDescent="0.2">
      <c r="A761">
        <v>99</v>
      </c>
      <c r="B761" t="s">
        <v>2117</v>
      </c>
      <c r="C761" t="s">
        <v>67</v>
      </c>
      <c r="D761" t="s">
        <v>1239</v>
      </c>
      <c r="E761" t="s">
        <v>194</v>
      </c>
      <c r="F761">
        <v>1</v>
      </c>
      <c r="G761">
        <v>19</v>
      </c>
      <c r="H761" t="s">
        <v>1152</v>
      </c>
      <c r="I761" t="s">
        <v>1152</v>
      </c>
      <c r="J761">
        <v>19</v>
      </c>
      <c r="K761">
        <v>7183.33</v>
      </c>
      <c r="L761" t="s">
        <v>30</v>
      </c>
      <c r="M761">
        <v>378.07</v>
      </c>
      <c r="N761" t="s">
        <v>2968</v>
      </c>
      <c r="O761" t="s">
        <v>2967</v>
      </c>
    </row>
    <row r="762" spans="1:15" x14ac:dyDescent="0.2">
      <c r="A762">
        <v>99</v>
      </c>
      <c r="B762" t="s">
        <v>2117</v>
      </c>
      <c r="C762" t="s">
        <v>69</v>
      </c>
      <c r="D762" t="s">
        <v>252</v>
      </c>
      <c r="E762" t="s">
        <v>1301</v>
      </c>
      <c r="F762">
        <v>1</v>
      </c>
      <c r="G762">
        <v>12.35</v>
      </c>
      <c r="H762" t="s">
        <v>153</v>
      </c>
      <c r="I762" t="s">
        <v>153</v>
      </c>
      <c r="J762">
        <v>12.35</v>
      </c>
      <c r="K762">
        <v>142251.005</v>
      </c>
      <c r="L762" t="s">
        <v>33</v>
      </c>
      <c r="M762">
        <v>11518.3</v>
      </c>
      <c r="N762" t="s">
        <v>2969</v>
      </c>
      <c r="O762" t="s">
        <v>1181</v>
      </c>
    </row>
    <row r="763" spans="1:15" x14ac:dyDescent="0.2">
      <c r="A763">
        <v>99</v>
      </c>
      <c r="B763" t="s">
        <v>2117</v>
      </c>
      <c r="C763" t="s">
        <v>69</v>
      </c>
      <c r="D763" t="s">
        <v>1237</v>
      </c>
      <c r="E763" t="s">
        <v>1035</v>
      </c>
      <c r="F763">
        <v>1</v>
      </c>
      <c r="G763">
        <v>2.5</v>
      </c>
      <c r="H763" t="s">
        <v>153</v>
      </c>
      <c r="I763" t="s">
        <v>153</v>
      </c>
      <c r="J763">
        <v>2.5</v>
      </c>
      <c r="K763">
        <v>28795.75</v>
      </c>
      <c r="L763" t="s">
        <v>33</v>
      </c>
      <c r="M763">
        <v>11518.3</v>
      </c>
      <c r="N763" t="s">
        <v>2970</v>
      </c>
      <c r="O763" t="s">
        <v>1181</v>
      </c>
    </row>
    <row r="764" spans="1:15" x14ac:dyDescent="0.2">
      <c r="A764">
        <v>99</v>
      </c>
      <c r="B764" t="s">
        <v>2117</v>
      </c>
      <c r="C764" t="s">
        <v>71</v>
      </c>
      <c r="D764" t="s">
        <v>372</v>
      </c>
      <c r="E764" t="s">
        <v>756</v>
      </c>
      <c r="F764">
        <v>1</v>
      </c>
      <c r="G764">
        <v>108.04</v>
      </c>
      <c r="H764" t="s">
        <v>1152</v>
      </c>
      <c r="I764" t="s">
        <v>1152</v>
      </c>
      <c r="J764">
        <v>108.04</v>
      </c>
      <c r="K764">
        <v>65352.315600000002</v>
      </c>
      <c r="L764" t="s">
        <v>37</v>
      </c>
      <c r="M764">
        <v>604.89</v>
      </c>
      <c r="N764" t="s">
        <v>2971</v>
      </c>
      <c r="O764" t="s">
        <v>1967</v>
      </c>
    </row>
    <row r="765" spans="1:15" x14ac:dyDescent="0.2">
      <c r="A765">
        <v>99</v>
      </c>
      <c r="B765" t="s">
        <v>2117</v>
      </c>
      <c r="C765" t="s">
        <v>71</v>
      </c>
      <c r="D765" t="s">
        <v>1248</v>
      </c>
      <c r="E765" t="s">
        <v>1856</v>
      </c>
      <c r="F765">
        <v>1</v>
      </c>
      <c r="G765">
        <v>27.01</v>
      </c>
      <c r="H765" t="s">
        <v>1152</v>
      </c>
      <c r="I765" t="s">
        <v>1152</v>
      </c>
      <c r="J765">
        <v>27.01</v>
      </c>
      <c r="K765">
        <v>16338.0789</v>
      </c>
      <c r="L765" t="s">
        <v>37</v>
      </c>
      <c r="M765">
        <v>604.89</v>
      </c>
      <c r="N765" t="s">
        <v>2972</v>
      </c>
      <c r="O765" t="s">
        <v>1967</v>
      </c>
    </row>
    <row r="766" spans="1:15" x14ac:dyDescent="0.2">
      <c r="A766">
        <v>99</v>
      </c>
      <c r="B766" t="s">
        <v>2117</v>
      </c>
      <c r="C766" t="s">
        <v>1931</v>
      </c>
      <c r="D766" t="s">
        <v>1240</v>
      </c>
      <c r="E766" t="s">
        <v>331</v>
      </c>
      <c r="F766">
        <v>1</v>
      </c>
      <c r="G766">
        <v>162.4</v>
      </c>
      <c r="H766" t="s">
        <v>1152</v>
      </c>
      <c r="I766" t="s">
        <v>1152</v>
      </c>
      <c r="J766">
        <v>162.4</v>
      </c>
      <c r="K766">
        <v>11549.888000000001</v>
      </c>
      <c r="L766" t="s">
        <v>1905</v>
      </c>
      <c r="M766">
        <v>71.12</v>
      </c>
      <c r="N766" t="s">
        <v>2974</v>
      </c>
      <c r="O766" t="s">
        <v>1295</v>
      </c>
    </row>
    <row r="767" spans="1:15" x14ac:dyDescent="0.2">
      <c r="A767">
        <v>99</v>
      </c>
      <c r="B767" t="s">
        <v>2117</v>
      </c>
      <c r="C767" t="s">
        <v>1931</v>
      </c>
      <c r="D767" t="s">
        <v>2</v>
      </c>
      <c r="E767" t="s">
        <v>1334</v>
      </c>
      <c r="F767">
        <v>1</v>
      </c>
      <c r="G767">
        <v>417.6</v>
      </c>
      <c r="H767" t="s">
        <v>1152</v>
      </c>
      <c r="I767" t="s">
        <v>1152</v>
      </c>
      <c r="J767">
        <v>417.6</v>
      </c>
      <c r="K767">
        <v>29699.712</v>
      </c>
      <c r="L767" t="s">
        <v>1905</v>
      </c>
      <c r="M767">
        <v>71.12</v>
      </c>
      <c r="N767" t="s">
        <v>2973</v>
      </c>
      <c r="O767" t="s">
        <v>1295</v>
      </c>
    </row>
    <row r="768" spans="1:15" x14ac:dyDescent="0.2">
      <c r="A768">
        <v>99</v>
      </c>
      <c r="B768" t="s">
        <v>2117</v>
      </c>
      <c r="C768" t="s">
        <v>1672</v>
      </c>
      <c r="D768" t="s">
        <v>1246</v>
      </c>
      <c r="E768" t="s">
        <v>951</v>
      </c>
      <c r="F768">
        <v>1</v>
      </c>
      <c r="G768">
        <v>1000</v>
      </c>
      <c r="H768" t="s">
        <v>1819</v>
      </c>
      <c r="I768" t="s">
        <v>1152</v>
      </c>
      <c r="J768">
        <v>1000</v>
      </c>
      <c r="K768">
        <v>2127950</v>
      </c>
      <c r="L768" t="s">
        <v>1643</v>
      </c>
      <c r="M768">
        <v>2127.9499999999998</v>
      </c>
      <c r="N768" t="s">
        <v>2975</v>
      </c>
      <c r="O768" t="s">
        <v>2976</v>
      </c>
    </row>
    <row r="769" spans="1:15" x14ac:dyDescent="0.2">
      <c r="A769">
        <v>99</v>
      </c>
      <c r="B769" t="s">
        <v>2117</v>
      </c>
      <c r="C769" t="s">
        <v>4925</v>
      </c>
      <c r="D769" t="s">
        <v>4926</v>
      </c>
      <c r="E769" t="s">
        <v>4927</v>
      </c>
      <c r="F769">
        <v>1</v>
      </c>
      <c r="G769">
        <v>77.599999999999994</v>
      </c>
      <c r="H769" t="s">
        <v>1152</v>
      </c>
      <c r="I769" t="s">
        <v>1152</v>
      </c>
      <c r="J769">
        <v>77.599999999999994</v>
      </c>
      <c r="K769">
        <v>35857.408000000003</v>
      </c>
      <c r="L769" t="s">
        <v>4928</v>
      </c>
      <c r="M769">
        <v>462.08</v>
      </c>
      <c r="N769" t="s">
        <v>4929</v>
      </c>
      <c r="O769" t="s">
        <v>4930</v>
      </c>
    </row>
    <row r="770" spans="1:15" x14ac:dyDescent="0.2">
      <c r="A770">
        <v>99</v>
      </c>
      <c r="B770" t="s">
        <v>2117</v>
      </c>
      <c r="C770" t="s">
        <v>4925</v>
      </c>
      <c r="D770" t="s">
        <v>4931</v>
      </c>
      <c r="E770" t="s">
        <v>4932</v>
      </c>
      <c r="F770">
        <v>1</v>
      </c>
      <c r="G770">
        <v>19.399999999999999</v>
      </c>
      <c r="H770" t="s">
        <v>1152</v>
      </c>
      <c r="I770" t="s">
        <v>1152</v>
      </c>
      <c r="J770">
        <v>19.399999999999999</v>
      </c>
      <c r="K770">
        <v>8964.3520000000008</v>
      </c>
      <c r="L770" t="s">
        <v>4928</v>
      </c>
      <c r="M770">
        <v>462.08</v>
      </c>
      <c r="N770" t="s">
        <v>4933</v>
      </c>
      <c r="O770" t="s">
        <v>4930</v>
      </c>
    </row>
    <row r="771" spans="1:15" x14ac:dyDescent="0.2">
      <c r="A771">
        <v>99</v>
      </c>
      <c r="B771" t="s">
        <v>2117</v>
      </c>
      <c r="C771" t="s">
        <v>4934</v>
      </c>
      <c r="D771" t="s">
        <v>4935</v>
      </c>
      <c r="E771" t="s">
        <v>4936</v>
      </c>
      <c r="F771">
        <v>1</v>
      </c>
      <c r="G771">
        <v>16</v>
      </c>
      <c r="H771" t="s">
        <v>1152</v>
      </c>
      <c r="I771" t="s">
        <v>153</v>
      </c>
      <c r="J771">
        <v>16</v>
      </c>
      <c r="K771">
        <v>5507.84</v>
      </c>
      <c r="L771" t="s">
        <v>4937</v>
      </c>
      <c r="M771">
        <v>344.24</v>
      </c>
      <c r="N771" t="s">
        <v>4938</v>
      </c>
      <c r="O771" t="s">
        <v>4939</v>
      </c>
    </row>
    <row r="772" spans="1:15" x14ac:dyDescent="0.2">
      <c r="A772">
        <v>99</v>
      </c>
      <c r="B772" t="s">
        <v>2117</v>
      </c>
      <c r="C772" t="s">
        <v>4934</v>
      </c>
      <c r="D772" t="s">
        <v>4940</v>
      </c>
      <c r="E772" t="s">
        <v>4941</v>
      </c>
      <c r="F772">
        <v>1</v>
      </c>
      <c r="G772">
        <v>4</v>
      </c>
      <c r="H772" t="s">
        <v>1152</v>
      </c>
      <c r="I772" t="s">
        <v>153</v>
      </c>
      <c r="J772">
        <v>4</v>
      </c>
      <c r="K772">
        <v>1376.96</v>
      </c>
      <c r="L772" t="s">
        <v>4937</v>
      </c>
      <c r="M772">
        <v>344.24</v>
      </c>
      <c r="N772" t="s">
        <v>4942</v>
      </c>
      <c r="O772" t="s">
        <v>4939</v>
      </c>
    </row>
    <row r="773" spans="1:15" x14ac:dyDescent="0.2">
      <c r="A773">
        <v>99</v>
      </c>
      <c r="B773" t="s">
        <v>2117</v>
      </c>
      <c r="C773" t="s">
        <v>1498</v>
      </c>
      <c r="D773" t="s">
        <v>1625</v>
      </c>
      <c r="E773" t="s">
        <v>2977</v>
      </c>
      <c r="F773">
        <v>1</v>
      </c>
      <c r="G773">
        <v>180</v>
      </c>
      <c r="H773" t="s">
        <v>1819</v>
      </c>
      <c r="I773" t="s">
        <v>1152</v>
      </c>
      <c r="J773">
        <v>180</v>
      </c>
      <c r="K773">
        <v>1044545.4</v>
      </c>
      <c r="L773" t="s">
        <v>4943</v>
      </c>
      <c r="M773">
        <v>5803.03</v>
      </c>
      <c r="N773" t="s">
        <v>2978</v>
      </c>
      <c r="O773" t="s">
        <v>2979</v>
      </c>
    </row>
    <row r="774" spans="1:15" x14ac:dyDescent="0.2">
      <c r="A774">
        <v>99</v>
      </c>
      <c r="B774" t="s">
        <v>2117</v>
      </c>
      <c r="C774" t="s">
        <v>1498</v>
      </c>
      <c r="D774" t="s">
        <v>1111</v>
      </c>
      <c r="E774" t="s">
        <v>2980</v>
      </c>
      <c r="F774">
        <v>1</v>
      </c>
      <c r="G774">
        <v>70</v>
      </c>
      <c r="H774" t="s">
        <v>1819</v>
      </c>
      <c r="I774" t="s">
        <v>1152</v>
      </c>
      <c r="J774">
        <v>70</v>
      </c>
      <c r="K774">
        <v>406212.1</v>
      </c>
      <c r="L774" t="s">
        <v>4943</v>
      </c>
      <c r="M774">
        <v>5803.03</v>
      </c>
      <c r="N774" t="s">
        <v>2981</v>
      </c>
      <c r="O774" t="s">
        <v>2979</v>
      </c>
    </row>
    <row r="775" spans="1:15" x14ac:dyDescent="0.2">
      <c r="A775">
        <v>99</v>
      </c>
      <c r="B775" t="s">
        <v>2117</v>
      </c>
      <c r="C775" t="s">
        <v>1682</v>
      </c>
      <c r="D775" t="s">
        <v>497</v>
      </c>
      <c r="E775" t="s">
        <v>1487</v>
      </c>
      <c r="F775">
        <v>1</v>
      </c>
      <c r="G775">
        <v>42</v>
      </c>
      <c r="H775" t="s">
        <v>1152</v>
      </c>
      <c r="I775" t="s">
        <v>1152</v>
      </c>
      <c r="J775">
        <v>42</v>
      </c>
      <c r="K775">
        <v>128926.56</v>
      </c>
      <c r="L775" t="s">
        <v>1791</v>
      </c>
      <c r="M775">
        <v>3069.68</v>
      </c>
      <c r="N775" t="s">
        <v>2982</v>
      </c>
      <c r="O775" t="s">
        <v>1487</v>
      </c>
    </row>
    <row r="776" spans="1:15" x14ac:dyDescent="0.2">
      <c r="A776">
        <v>99</v>
      </c>
      <c r="B776" t="s">
        <v>2117</v>
      </c>
      <c r="C776" t="s">
        <v>1682</v>
      </c>
      <c r="D776" t="s">
        <v>1126</v>
      </c>
      <c r="E776" t="s">
        <v>2983</v>
      </c>
      <c r="F776">
        <v>1</v>
      </c>
      <c r="G776">
        <v>28</v>
      </c>
      <c r="H776" t="s">
        <v>1152</v>
      </c>
      <c r="I776" t="s">
        <v>1152</v>
      </c>
      <c r="J776">
        <v>28</v>
      </c>
      <c r="K776">
        <v>85951.039999999994</v>
      </c>
      <c r="L776" t="s">
        <v>1791</v>
      </c>
      <c r="M776">
        <v>3069.68</v>
      </c>
      <c r="N776" t="s">
        <v>2984</v>
      </c>
      <c r="O776" t="s">
        <v>1487</v>
      </c>
    </row>
    <row r="777" spans="1:15" x14ac:dyDescent="0.2">
      <c r="A777">
        <v>99</v>
      </c>
      <c r="B777" t="s">
        <v>2117</v>
      </c>
      <c r="C777" t="s">
        <v>1686</v>
      </c>
      <c r="D777" t="s">
        <v>500</v>
      </c>
      <c r="E777" t="s">
        <v>2985</v>
      </c>
      <c r="F777">
        <v>1</v>
      </c>
      <c r="G777">
        <v>27.47</v>
      </c>
      <c r="H777" t="s">
        <v>1152</v>
      </c>
      <c r="I777" t="s">
        <v>1152</v>
      </c>
      <c r="J777">
        <v>27.47</v>
      </c>
      <c r="K777">
        <v>177538.61</v>
      </c>
      <c r="L777" t="s">
        <v>1797</v>
      </c>
      <c r="M777">
        <v>6463</v>
      </c>
      <c r="N777" t="s">
        <v>2986</v>
      </c>
      <c r="O777" t="s">
        <v>2987</v>
      </c>
    </row>
    <row r="778" spans="1:15" x14ac:dyDescent="0.2">
      <c r="A778">
        <v>99</v>
      </c>
      <c r="B778" t="s">
        <v>2117</v>
      </c>
      <c r="C778" t="s">
        <v>1686</v>
      </c>
      <c r="D778" t="s">
        <v>1175</v>
      </c>
      <c r="E778" t="s">
        <v>2988</v>
      </c>
      <c r="F778">
        <v>1</v>
      </c>
      <c r="G778">
        <v>48</v>
      </c>
      <c r="H778" t="s">
        <v>1152</v>
      </c>
      <c r="I778" t="s">
        <v>1152</v>
      </c>
      <c r="J778">
        <v>48</v>
      </c>
      <c r="K778">
        <v>310224</v>
      </c>
      <c r="L778" t="s">
        <v>1797</v>
      </c>
      <c r="M778">
        <v>6463</v>
      </c>
      <c r="N778" t="s">
        <v>2989</v>
      </c>
      <c r="O778" t="s">
        <v>2987</v>
      </c>
    </row>
    <row r="779" spans="1:15" x14ac:dyDescent="0.2">
      <c r="A779">
        <v>99</v>
      </c>
      <c r="B779" t="s">
        <v>2117</v>
      </c>
      <c r="C779" t="s">
        <v>1468</v>
      </c>
      <c r="D779" t="s">
        <v>1128</v>
      </c>
      <c r="E779" t="s">
        <v>2993</v>
      </c>
      <c r="F779">
        <v>1</v>
      </c>
      <c r="G779">
        <v>42</v>
      </c>
      <c r="H779" t="s">
        <v>1152</v>
      </c>
      <c r="I779" t="s">
        <v>1152</v>
      </c>
      <c r="J779">
        <v>42</v>
      </c>
      <c r="K779">
        <v>66703.98</v>
      </c>
      <c r="L779" t="s">
        <v>1910</v>
      </c>
      <c r="M779">
        <v>1588.19</v>
      </c>
      <c r="N779" t="s">
        <v>2994</v>
      </c>
      <c r="O779" t="s">
        <v>2992</v>
      </c>
    </row>
    <row r="780" spans="1:15" x14ac:dyDescent="0.2">
      <c r="A780">
        <v>99</v>
      </c>
      <c r="B780" t="s">
        <v>2117</v>
      </c>
      <c r="C780" t="s">
        <v>1468</v>
      </c>
      <c r="D780" t="s">
        <v>1128</v>
      </c>
      <c r="E780" t="s">
        <v>2993</v>
      </c>
      <c r="F780">
        <v>1</v>
      </c>
      <c r="G780">
        <v>42</v>
      </c>
      <c r="H780" t="s">
        <v>1152</v>
      </c>
      <c r="I780" t="s">
        <v>1152</v>
      </c>
      <c r="J780">
        <v>42</v>
      </c>
      <c r="K780">
        <v>89100.479999999996</v>
      </c>
      <c r="L780" t="s">
        <v>1809</v>
      </c>
      <c r="M780">
        <v>2121.44</v>
      </c>
      <c r="N780" t="s">
        <v>2994</v>
      </c>
      <c r="O780" t="s">
        <v>2992</v>
      </c>
    </row>
    <row r="781" spans="1:15" x14ac:dyDescent="0.2">
      <c r="A781">
        <v>99</v>
      </c>
      <c r="B781" t="s">
        <v>2117</v>
      </c>
      <c r="C781" t="s">
        <v>1468</v>
      </c>
      <c r="D781" t="s">
        <v>1087</v>
      </c>
      <c r="E781" t="s">
        <v>2990</v>
      </c>
      <c r="F781">
        <v>1</v>
      </c>
      <c r="G781">
        <v>180.04</v>
      </c>
      <c r="H781" t="s">
        <v>1152</v>
      </c>
      <c r="I781" t="s">
        <v>1152</v>
      </c>
      <c r="J781">
        <v>180.04</v>
      </c>
      <c r="K781">
        <v>285937.72759999998</v>
      </c>
      <c r="L781" t="s">
        <v>1910</v>
      </c>
      <c r="M781">
        <v>1588.19</v>
      </c>
      <c r="N781" t="s">
        <v>2991</v>
      </c>
      <c r="O781" t="s">
        <v>2992</v>
      </c>
    </row>
    <row r="782" spans="1:15" x14ac:dyDescent="0.2">
      <c r="A782">
        <v>99</v>
      </c>
      <c r="B782" t="s">
        <v>2117</v>
      </c>
      <c r="C782" t="s">
        <v>1468</v>
      </c>
      <c r="D782" t="s">
        <v>1087</v>
      </c>
      <c r="E782" t="s">
        <v>2990</v>
      </c>
      <c r="F782">
        <v>1</v>
      </c>
      <c r="G782">
        <v>180.04</v>
      </c>
      <c r="H782" t="s">
        <v>1152</v>
      </c>
      <c r="I782" t="s">
        <v>1152</v>
      </c>
      <c r="J782">
        <v>180.04</v>
      </c>
      <c r="K782">
        <v>381944.0576</v>
      </c>
      <c r="L782" t="s">
        <v>1809</v>
      </c>
      <c r="M782">
        <v>2121.44</v>
      </c>
      <c r="N782" t="s">
        <v>2991</v>
      </c>
      <c r="O782" t="s">
        <v>2992</v>
      </c>
    </row>
    <row r="783" spans="1:15" x14ac:dyDescent="0.2">
      <c r="A783">
        <v>99</v>
      </c>
      <c r="B783" t="s">
        <v>2117</v>
      </c>
      <c r="C783" t="s">
        <v>1475</v>
      </c>
      <c r="D783" t="s">
        <v>1091</v>
      </c>
      <c r="E783" t="s">
        <v>2995</v>
      </c>
      <c r="F783">
        <v>1</v>
      </c>
      <c r="G783">
        <v>150</v>
      </c>
      <c r="H783" t="s">
        <v>1152</v>
      </c>
      <c r="I783" t="s">
        <v>1152</v>
      </c>
      <c r="J783">
        <v>150</v>
      </c>
      <c r="K783">
        <v>845470.5</v>
      </c>
      <c r="L783" t="s">
        <v>1906</v>
      </c>
      <c r="M783">
        <v>5636.47</v>
      </c>
      <c r="N783" t="s">
        <v>2996</v>
      </c>
      <c r="O783" t="s">
        <v>2997</v>
      </c>
    </row>
    <row r="784" spans="1:15" x14ac:dyDescent="0.2">
      <c r="A784">
        <v>99</v>
      </c>
      <c r="B784" t="s">
        <v>2117</v>
      </c>
      <c r="C784" t="s">
        <v>1475</v>
      </c>
      <c r="D784" t="s">
        <v>1091</v>
      </c>
      <c r="E784" t="s">
        <v>2995</v>
      </c>
      <c r="F784">
        <v>1</v>
      </c>
      <c r="G784">
        <v>150</v>
      </c>
      <c r="H784" t="s">
        <v>1152</v>
      </c>
      <c r="I784" t="s">
        <v>1152</v>
      </c>
      <c r="J784">
        <v>150</v>
      </c>
      <c r="K784">
        <v>575022</v>
      </c>
      <c r="L784" t="s">
        <v>1807</v>
      </c>
      <c r="M784">
        <v>3833.48</v>
      </c>
      <c r="N784" t="s">
        <v>2996</v>
      </c>
      <c r="O784" t="s">
        <v>2997</v>
      </c>
    </row>
    <row r="785" spans="1:15" x14ac:dyDescent="0.2">
      <c r="A785">
        <v>99</v>
      </c>
      <c r="B785" t="s">
        <v>2117</v>
      </c>
      <c r="C785" t="s">
        <v>1475</v>
      </c>
      <c r="D785" t="s">
        <v>1172</v>
      </c>
      <c r="E785" t="s">
        <v>2998</v>
      </c>
      <c r="F785">
        <v>1</v>
      </c>
      <c r="G785">
        <v>102</v>
      </c>
      <c r="H785" t="s">
        <v>1152</v>
      </c>
      <c r="I785" t="s">
        <v>1152</v>
      </c>
      <c r="J785">
        <v>102</v>
      </c>
      <c r="K785">
        <v>574919.93999999994</v>
      </c>
      <c r="L785" t="s">
        <v>1906</v>
      </c>
      <c r="M785">
        <v>5636.47</v>
      </c>
      <c r="N785" t="s">
        <v>2999</v>
      </c>
      <c r="O785" t="s">
        <v>2997</v>
      </c>
    </row>
    <row r="786" spans="1:15" x14ac:dyDescent="0.2">
      <c r="A786">
        <v>99</v>
      </c>
      <c r="B786" t="s">
        <v>2117</v>
      </c>
      <c r="C786" t="s">
        <v>1475</v>
      </c>
      <c r="D786" t="s">
        <v>1172</v>
      </c>
      <c r="E786" t="s">
        <v>2998</v>
      </c>
      <c r="F786">
        <v>1</v>
      </c>
      <c r="G786">
        <v>102</v>
      </c>
      <c r="H786" t="s">
        <v>1152</v>
      </c>
      <c r="I786" t="s">
        <v>1152</v>
      </c>
      <c r="J786">
        <v>102</v>
      </c>
      <c r="K786">
        <v>391014.96</v>
      </c>
      <c r="L786" t="s">
        <v>1807</v>
      </c>
      <c r="M786">
        <v>3833.48</v>
      </c>
      <c r="N786" t="s">
        <v>2999</v>
      </c>
      <c r="O786" t="s">
        <v>2997</v>
      </c>
    </row>
    <row r="787" spans="1:15" x14ac:dyDescent="0.2">
      <c r="A787">
        <v>99</v>
      </c>
      <c r="B787" t="s">
        <v>2117</v>
      </c>
      <c r="C787" t="s">
        <v>1476</v>
      </c>
      <c r="D787" t="s">
        <v>1180</v>
      </c>
      <c r="E787" t="s">
        <v>3003</v>
      </c>
      <c r="F787">
        <v>1</v>
      </c>
      <c r="G787">
        <v>10.24</v>
      </c>
      <c r="H787" t="s">
        <v>1152</v>
      </c>
      <c r="I787" t="s">
        <v>1152</v>
      </c>
      <c r="J787">
        <v>10.24</v>
      </c>
      <c r="K787">
        <v>31718.297600000002</v>
      </c>
      <c r="L787" t="s">
        <v>1804</v>
      </c>
      <c r="M787">
        <v>3097.49</v>
      </c>
      <c r="N787" t="s">
        <v>3004</v>
      </c>
      <c r="O787" t="s">
        <v>3002</v>
      </c>
    </row>
    <row r="788" spans="1:15" x14ac:dyDescent="0.2">
      <c r="A788">
        <v>99</v>
      </c>
      <c r="B788" t="s">
        <v>2117</v>
      </c>
      <c r="C788" t="s">
        <v>1476</v>
      </c>
      <c r="D788" t="s">
        <v>1099</v>
      </c>
      <c r="E788" t="s">
        <v>3000</v>
      </c>
      <c r="F788">
        <v>1</v>
      </c>
      <c r="G788">
        <v>237.81</v>
      </c>
      <c r="H788" t="s">
        <v>1152</v>
      </c>
      <c r="I788" t="s">
        <v>1152</v>
      </c>
      <c r="J788">
        <v>237.81</v>
      </c>
      <c r="K788">
        <v>736614.0969</v>
      </c>
      <c r="L788" t="s">
        <v>1804</v>
      </c>
      <c r="M788">
        <v>3097.49</v>
      </c>
      <c r="N788" t="s">
        <v>3001</v>
      </c>
      <c r="O788" t="s">
        <v>3002</v>
      </c>
    </row>
    <row r="789" spans="1:15" x14ac:dyDescent="0.2">
      <c r="A789">
        <v>99</v>
      </c>
      <c r="B789" t="s">
        <v>2117</v>
      </c>
      <c r="C789" t="s">
        <v>1337</v>
      </c>
      <c r="D789" t="s">
        <v>558</v>
      </c>
      <c r="E789" t="s">
        <v>3005</v>
      </c>
      <c r="F789">
        <v>1</v>
      </c>
      <c r="G789">
        <v>67.2</v>
      </c>
      <c r="H789" t="s">
        <v>1152</v>
      </c>
      <c r="I789" t="s">
        <v>1152</v>
      </c>
      <c r="J789">
        <v>67.2</v>
      </c>
      <c r="K789">
        <v>4779.9359999999997</v>
      </c>
      <c r="L789" t="s">
        <v>1800</v>
      </c>
      <c r="M789">
        <v>71.13</v>
      </c>
      <c r="N789" t="s">
        <v>3006</v>
      </c>
      <c r="O789" t="s">
        <v>3007</v>
      </c>
    </row>
    <row r="790" spans="1:15" x14ac:dyDescent="0.2">
      <c r="A790">
        <v>99</v>
      </c>
      <c r="B790" t="s">
        <v>2117</v>
      </c>
      <c r="C790" t="s">
        <v>1337</v>
      </c>
      <c r="D790" t="s">
        <v>1178</v>
      </c>
      <c r="E790" t="s">
        <v>3008</v>
      </c>
      <c r="F790">
        <v>1</v>
      </c>
      <c r="G790">
        <v>44.8</v>
      </c>
      <c r="H790" t="s">
        <v>1152</v>
      </c>
      <c r="I790" t="s">
        <v>1152</v>
      </c>
      <c r="J790">
        <v>44.8</v>
      </c>
      <c r="K790">
        <v>3186.6239999999998</v>
      </c>
      <c r="L790" t="s">
        <v>1800</v>
      </c>
      <c r="M790">
        <v>71.13</v>
      </c>
      <c r="N790" t="s">
        <v>3009</v>
      </c>
      <c r="O790" t="s">
        <v>3007</v>
      </c>
    </row>
    <row r="791" spans="1:15" x14ac:dyDescent="0.2">
      <c r="A791">
        <v>99</v>
      </c>
      <c r="B791" t="s">
        <v>2117</v>
      </c>
      <c r="C791" t="s">
        <v>1566</v>
      </c>
      <c r="D791" t="s">
        <v>708</v>
      </c>
      <c r="E791" t="s">
        <v>865</v>
      </c>
      <c r="F791">
        <v>8.8099999999999998E-2</v>
      </c>
      <c r="G791">
        <v>13.32</v>
      </c>
      <c r="H791" t="s">
        <v>1052</v>
      </c>
      <c r="I791" t="s">
        <v>1781</v>
      </c>
      <c r="J791">
        <v>1.173492</v>
      </c>
      <c r="K791">
        <v>28.163808</v>
      </c>
      <c r="L791" t="s">
        <v>1050</v>
      </c>
      <c r="M791">
        <v>24</v>
      </c>
      <c r="N791" t="s">
        <v>3015</v>
      </c>
      <c r="O791" t="s">
        <v>3012</v>
      </c>
    </row>
    <row r="792" spans="1:15" x14ac:dyDescent="0.2">
      <c r="A792">
        <v>99</v>
      </c>
      <c r="B792" t="s">
        <v>2117</v>
      </c>
      <c r="C792" t="s">
        <v>1566</v>
      </c>
      <c r="D792" t="s">
        <v>147</v>
      </c>
      <c r="E792" t="s">
        <v>3010</v>
      </c>
      <c r="F792">
        <v>1</v>
      </c>
      <c r="G792">
        <v>1007.09</v>
      </c>
      <c r="H792" t="s">
        <v>1781</v>
      </c>
      <c r="I792" t="s">
        <v>1781</v>
      </c>
      <c r="J792">
        <v>1007.09</v>
      </c>
      <c r="K792">
        <v>24170.16</v>
      </c>
      <c r="L792" t="s">
        <v>1050</v>
      </c>
      <c r="M792">
        <v>24</v>
      </c>
      <c r="N792" t="s">
        <v>3011</v>
      </c>
      <c r="O792" t="s">
        <v>3012</v>
      </c>
    </row>
    <row r="793" spans="1:15" x14ac:dyDescent="0.2">
      <c r="A793">
        <v>99</v>
      </c>
      <c r="B793" t="s">
        <v>2117</v>
      </c>
      <c r="C793" t="s">
        <v>1566</v>
      </c>
      <c r="D793" t="s">
        <v>1832</v>
      </c>
      <c r="E793" t="s">
        <v>3013</v>
      </c>
      <c r="F793">
        <v>1</v>
      </c>
      <c r="G793">
        <v>10.83</v>
      </c>
      <c r="H793" t="s">
        <v>1781</v>
      </c>
      <c r="I793" t="s">
        <v>1781</v>
      </c>
      <c r="J793">
        <v>10.83</v>
      </c>
      <c r="K793">
        <v>259.92</v>
      </c>
      <c r="L793" t="s">
        <v>1050</v>
      </c>
      <c r="M793">
        <v>24</v>
      </c>
      <c r="N793" t="s">
        <v>3014</v>
      </c>
      <c r="O793" t="s">
        <v>3012</v>
      </c>
    </row>
    <row r="794" spans="1:15" x14ac:dyDescent="0.2">
      <c r="A794">
        <v>99</v>
      </c>
      <c r="B794" t="s">
        <v>2117</v>
      </c>
      <c r="C794" t="s">
        <v>1566</v>
      </c>
      <c r="D794" t="s">
        <v>950</v>
      </c>
      <c r="E794" t="s">
        <v>1391</v>
      </c>
      <c r="F794">
        <v>0</v>
      </c>
      <c r="G794">
        <v>15.0943</v>
      </c>
      <c r="H794" t="s">
        <v>151</v>
      </c>
      <c r="I794" t="s">
        <v>1781</v>
      </c>
      <c r="J794">
        <v>0</v>
      </c>
      <c r="K794">
        <v>0</v>
      </c>
      <c r="L794" t="s">
        <v>1050</v>
      </c>
      <c r="M794">
        <v>24</v>
      </c>
      <c r="N794" t="s">
        <v>3018</v>
      </c>
      <c r="O794" t="s">
        <v>3012</v>
      </c>
    </row>
    <row r="795" spans="1:15" x14ac:dyDescent="0.2">
      <c r="A795">
        <v>99</v>
      </c>
      <c r="B795" t="s">
        <v>2117</v>
      </c>
      <c r="C795" t="s">
        <v>1566</v>
      </c>
      <c r="D795" t="s">
        <v>880</v>
      </c>
      <c r="E795" t="s">
        <v>3016</v>
      </c>
      <c r="F795">
        <v>2</v>
      </c>
      <c r="G795">
        <v>26.39</v>
      </c>
      <c r="H795" t="s">
        <v>1781</v>
      </c>
      <c r="I795" t="s">
        <v>1781</v>
      </c>
      <c r="J795">
        <v>52.78</v>
      </c>
      <c r="K795">
        <v>1266.72</v>
      </c>
      <c r="L795" t="s">
        <v>1050</v>
      </c>
      <c r="M795">
        <v>24</v>
      </c>
      <c r="N795" t="s">
        <v>3017</v>
      </c>
      <c r="O795" t="s">
        <v>3012</v>
      </c>
    </row>
    <row r="796" spans="1:15" x14ac:dyDescent="0.2">
      <c r="A796">
        <v>99</v>
      </c>
      <c r="B796" t="s">
        <v>2117</v>
      </c>
      <c r="C796" t="s">
        <v>1566</v>
      </c>
      <c r="D796" t="s">
        <v>498</v>
      </c>
      <c r="E796" t="s">
        <v>773</v>
      </c>
      <c r="F796">
        <v>1.2</v>
      </c>
      <c r="G796">
        <v>0</v>
      </c>
      <c r="H796" t="s">
        <v>84</v>
      </c>
      <c r="I796" t="s">
        <v>1781</v>
      </c>
      <c r="J796">
        <v>0</v>
      </c>
      <c r="K796">
        <v>0</v>
      </c>
      <c r="L796" t="s">
        <v>1050</v>
      </c>
      <c r="M796">
        <v>24</v>
      </c>
      <c r="N796" t="s">
        <v>3020</v>
      </c>
      <c r="O796" t="s">
        <v>3012</v>
      </c>
    </row>
    <row r="797" spans="1:15" x14ac:dyDescent="0.2">
      <c r="A797">
        <v>99</v>
      </c>
      <c r="B797" t="s">
        <v>2117</v>
      </c>
      <c r="C797" t="s">
        <v>1566</v>
      </c>
      <c r="D797" t="s">
        <v>801</v>
      </c>
      <c r="E797" t="s">
        <v>402</v>
      </c>
      <c r="F797">
        <v>0</v>
      </c>
      <c r="G797">
        <v>10.3</v>
      </c>
      <c r="H797" t="s">
        <v>151</v>
      </c>
      <c r="I797" t="s">
        <v>1781</v>
      </c>
      <c r="J797">
        <v>0</v>
      </c>
      <c r="K797">
        <v>0</v>
      </c>
      <c r="L797" t="s">
        <v>1050</v>
      </c>
      <c r="M797">
        <v>24</v>
      </c>
      <c r="N797" t="s">
        <v>3019</v>
      </c>
      <c r="O797" t="s">
        <v>3012</v>
      </c>
    </row>
    <row r="798" spans="1:15" x14ac:dyDescent="0.2">
      <c r="A798">
        <v>99</v>
      </c>
      <c r="B798" t="s">
        <v>2117</v>
      </c>
      <c r="C798" t="s">
        <v>1574</v>
      </c>
      <c r="D798" t="s">
        <v>801</v>
      </c>
      <c r="E798" t="s">
        <v>402</v>
      </c>
      <c r="F798">
        <v>0</v>
      </c>
      <c r="G798">
        <v>10.3</v>
      </c>
      <c r="H798" t="s">
        <v>151</v>
      </c>
      <c r="I798" t="s">
        <v>1781</v>
      </c>
      <c r="J798">
        <v>0</v>
      </c>
      <c r="K798">
        <v>0</v>
      </c>
      <c r="L798" t="s">
        <v>1045</v>
      </c>
      <c r="M798">
        <v>312</v>
      </c>
      <c r="N798" t="s">
        <v>3028</v>
      </c>
      <c r="O798" t="s">
        <v>3023</v>
      </c>
    </row>
    <row r="799" spans="1:15" x14ac:dyDescent="0.2">
      <c r="A799">
        <v>99</v>
      </c>
      <c r="B799" t="s">
        <v>2117</v>
      </c>
      <c r="C799" t="s">
        <v>1574</v>
      </c>
      <c r="D799" t="s">
        <v>498</v>
      </c>
      <c r="E799" t="s">
        <v>773</v>
      </c>
      <c r="F799">
        <v>1.2</v>
      </c>
      <c r="G799">
        <v>0</v>
      </c>
      <c r="H799" t="s">
        <v>84</v>
      </c>
      <c r="I799" t="s">
        <v>1781</v>
      </c>
      <c r="J799">
        <v>0</v>
      </c>
      <c r="K799">
        <v>0</v>
      </c>
      <c r="L799" t="s">
        <v>1045</v>
      </c>
      <c r="M799">
        <v>312</v>
      </c>
      <c r="N799" t="s">
        <v>3029</v>
      </c>
      <c r="O799" t="s">
        <v>3023</v>
      </c>
    </row>
    <row r="800" spans="1:15" x14ac:dyDescent="0.2">
      <c r="A800">
        <v>99</v>
      </c>
      <c r="B800" t="s">
        <v>2117</v>
      </c>
      <c r="C800" t="s">
        <v>1574</v>
      </c>
      <c r="D800" t="s">
        <v>880</v>
      </c>
      <c r="E800" t="s">
        <v>3016</v>
      </c>
      <c r="F800">
        <v>2</v>
      </c>
      <c r="G800">
        <v>26.39</v>
      </c>
      <c r="H800" t="s">
        <v>1781</v>
      </c>
      <c r="I800" t="s">
        <v>1781</v>
      </c>
      <c r="J800">
        <v>52.78</v>
      </c>
      <c r="K800">
        <v>16467.36</v>
      </c>
      <c r="L800" t="s">
        <v>1045</v>
      </c>
      <c r="M800">
        <v>312</v>
      </c>
      <c r="N800" t="s">
        <v>3026</v>
      </c>
      <c r="O800" t="s">
        <v>3023</v>
      </c>
    </row>
    <row r="801" spans="1:15" x14ac:dyDescent="0.2">
      <c r="A801">
        <v>99</v>
      </c>
      <c r="B801" t="s">
        <v>2117</v>
      </c>
      <c r="C801" t="s">
        <v>1574</v>
      </c>
      <c r="D801" t="s">
        <v>950</v>
      </c>
      <c r="E801" t="s">
        <v>1391</v>
      </c>
      <c r="F801">
        <v>0</v>
      </c>
      <c r="G801">
        <v>15.0943</v>
      </c>
      <c r="H801" t="s">
        <v>151</v>
      </c>
      <c r="I801" t="s">
        <v>1781</v>
      </c>
      <c r="J801">
        <v>0</v>
      </c>
      <c r="K801">
        <v>0</v>
      </c>
      <c r="L801" t="s">
        <v>1045</v>
      </c>
      <c r="M801">
        <v>312</v>
      </c>
      <c r="N801" t="s">
        <v>3027</v>
      </c>
      <c r="O801" t="s">
        <v>3023</v>
      </c>
    </row>
    <row r="802" spans="1:15" x14ac:dyDescent="0.2">
      <c r="A802">
        <v>99</v>
      </c>
      <c r="B802" t="s">
        <v>2117</v>
      </c>
      <c r="C802" t="s">
        <v>1574</v>
      </c>
      <c r="D802" t="s">
        <v>1832</v>
      </c>
      <c r="E802" t="s">
        <v>3013</v>
      </c>
      <c r="F802">
        <v>1</v>
      </c>
      <c r="G802">
        <v>10.83</v>
      </c>
      <c r="H802" t="s">
        <v>1781</v>
      </c>
      <c r="I802" t="s">
        <v>1781</v>
      </c>
      <c r="J802">
        <v>10.83</v>
      </c>
      <c r="K802">
        <v>3378.96</v>
      </c>
      <c r="L802" t="s">
        <v>1045</v>
      </c>
      <c r="M802">
        <v>312</v>
      </c>
      <c r="N802" t="s">
        <v>3024</v>
      </c>
      <c r="O802" t="s">
        <v>3023</v>
      </c>
    </row>
    <row r="803" spans="1:15" x14ac:dyDescent="0.2">
      <c r="A803">
        <v>99</v>
      </c>
      <c r="B803" t="s">
        <v>2117</v>
      </c>
      <c r="C803" t="s">
        <v>1574</v>
      </c>
      <c r="D803" t="s">
        <v>708</v>
      </c>
      <c r="E803" t="s">
        <v>865</v>
      </c>
      <c r="F803">
        <v>8.8099999999999998E-2</v>
      </c>
      <c r="G803">
        <v>13.32</v>
      </c>
      <c r="H803" t="s">
        <v>1052</v>
      </c>
      <c r="I803" t="s">
        <v>1781</v>
      </c>
      <c r="J803">
        <v>1.173492</v>
      </c>
      <c r="K803">
        <v>366.129504</v>
      </c>
      <c r="L803" t="s">
        <v>1045</v>
      </c>
      <c r="M803">
        <v>312</v>
      </c>
      <c r="N803" t="s">
        <v>3025</v>
      </c>
      <c r="O803" t="s">
        <v>3023</v>
      </c>
    </row>
    <row r="804" spans="1:15" x14ac:dyDescent="0.2">
      <c r="A804">
        <v>99</v>
      </c>
      <c r="B804" t="s">
        <v>2117</v>
      </c>
      <c r="C804" t="s">
        <v>1574</v>
      </c>
      <c r="D804" t="s">
        <v>179</v>
      </c>
      <c r="E804" t="s">
        <v>3021</v>
      </c>
      <c r="F804">
        <v>1</v>
      </c>
      <c r="G804">
        <v>801.73</v>
      </c>
      <c r="H804" t="s">
        <v>1781</v>
      </c>
      <c r="I804" t="s">
        <v>1781</v>
      </c>
      <c r="J804">
        <v>801.73</v>
      </c>
      <c r="K804">
        <v>250139.76</v>
      </c>
      <c r="L804" t="s">
        <v>1045</v>
      </c>
      <c r="M804">
        <v>312</v>
      </c>
      <c r="N804" t="s">
        <v>3022</v>
      </c>
      <c r="O804" t="s">
        <v>3023</v>
      </c>
    </row>
    <row r="805" spans="1:15" x14ac:dyDescent="0.2">
      <c r="A805">
        <v>99</v>
      </c>
      <c r="B805" t="s">
        <v>2117</v>
      </c>
      <c r="C805" t="s">
        <v>1439</v>
      </c>
      <c r="D805" t="s">
        <v>637</v>
      </c>
      <c r="E805" t="s">
        <v>1256</v>
      </c>
      <c r="F805">
        <v>0.52710000000000001</v>
      </c>
      <c r="G805">
        <v>35</v>
      </c>
      <c r="H805" t="s">
        <v>1052</v>
      </c>
      <c r="I805" t="s">
        <v>1781</v>
      </c>
      <c r="J805">
        <v>18.448499999999999</v>
      </c>
      <c r="K805">
        <v>6198.6959999999999</v>
      </c>
      <c r="L805" t="s">
        <v>1059</v>
      </c>
      <c r="M805">
        <v>336</v>
      </c>
      <c r="N805" t="s">
        <v>3033</v>
      </c>
      <c r="O805" t="s">
        <v>3032</v>
      </c>
    </row>
    <row r="806" spans="1:15" x14ac:dyDescent="0.2">
      <c r="A806">
        <v>99</v>
      </c>
      <c r="B806" t="s">
        <v>2117</v>
      </c>
      <c r="C806" t="s">
        <v>1439</v>
      </c>
      <c r="D806" t="s">
        <v>144</v>
      </c>
      <c r="E806" t="s">
        <v>3030</v>
      </c>
      <c r="F806">
        <v>1</v>
      </c>
      <c r="G806">
        <v>536.52</v>
      </c>
      <c r="H806" t="s">
        <v>1781</v>
      </c>
      <c r="I806" t="s">
        <v>1781</v>
      </c>
      <c r="J806">
        <v>536.52</v>
      </c>
      <c r="K806">
        <v>180270.72</v>
      </c>
      <c r="L806" t="s">
        <v>1059</v>
      </c>
      <c r="M806">
        <v>336</v>
      </c>
      <c r="N806" t="s">
        <v>3031</v>
      </c>
      <c r="O806" t="s">
        <v>3032</v>
      </c>
    </row>
    <row r="807" spans="1:15" x14ac:dyDescent="0.2">
      <c r="A807">
        <v>99</v>
      </c>
      <c r="B807" t="s">
        <v>2117</v>
      </c>
      <c r="C807" t="s">
        <v>1439</v>
      </c>
      <c r="D807" t="s">
        <v>498</v>
      </c>
      <c r="E807" t="s">
        <v>773</v>
      </c>
      <c r="F807">
        <v>1.2</v>
      </c>
      <c r="G807">
        <v>0</v>
      </c>
      <c r="H807" t="s">
        <v>84</v>
      </c>
      <c r="I807" t="s">
        <v>1781</v>
      </c>
      <c r="J807">
        <v>0</v>
      </c>
      <c r="K807">
        <v>0</v>
      </c>
      <c r="L807" t="s">
        <v>1059</v>
      </c>
      <c r="M807">
        <v>336</v>
      </c>
      <c r="N807" t="s">
        <v>3036</v>
      </c>
      <c r="O807" t="s">
        <v>3032</v>
      </c>
    </row>
    <row r="808" spans="1:15" x14ac:dyDescent="0.2">
      <c r="A808">
        <v>99</v>
      </c>
      <c r="B808" t="s">
        <v>2117</v>
      </c>
      <c r="C808" t="s">
        <v>1439</v>
      </c>
      <c r="D808" t="s">
        <v>1006</v>
      </c>
      <c r="E808" t="s">
        <v>699</v>
      </c>
      <c r="F808">
        <v>0</v>
      </c>
      <c r="G808">
        <v>28.988</v>
      </c>
      <c r="H808" t="s">
        <v>151</v>
      </c>
      <c r="I808" t="s">
        <v>1781</v>
      </c>
      <c r="J808">
        <v>0</v>
      </c>
      <c r="K808">
        <v>0</v>
      </c>
      <c r="L808" t="s">
        <v>1059</v>
      </c>
      <c r="M808">
        <v>336</v>
      </c>
      <c r="N808" t="s">
        <v>3034</v>
      </c>
      <c r="O808" t="s">
        <v>3032</v>
      </c>
    </row>
    <row r="809" spans="1:15" x14ac:dyDescent="0.2">
      <c r="A809">
        <v>99</v>
      </c>
      <c r="B809" t="s">
        <v>2117</v>
      </c>
      <c r="C809" t="s">
        <v>1439</v>
      </c>
      <c r="D809" t="s">
        <v>801</v>
      </c>
      <c r="E809" t="s">
        <v>402</v>
      </c>
      <c r="F809">
        <v>0</v>
      </c>
      <c r="G809">
        <v>10.3</v>
      </c>
      <c r="H809" t="s">
        <v>151</v>
      </c>
      <c r="I809" t="s">
        <v>1781</v>
      </c>
      <c r="J809">
        <v>0</v>
      </c>
      <c r="K809">
        <v>0</v>
      </c>
      <c r="L809" t="s">
        <v>1059</v>
      </c>
      <c r="M809">
        <v>336</v>
      </c>
      <c r="N809" t="s">
        <v>3035</v>
      </c>
      <c r="O809" t="s">
        <v>3032</v>
      </c>
    </row>
    <row r="810" spans="1:15" x14ac:dyDescent="0.2">
      <c r="A810">
        <v>99</v>
      </c>
      <c r="B810" t="s">
        <v>2117</v>
      </c>
      <c r="C810" t="s">
        <v>1366</v>
      </c>
      <c r="D810" t="s">
        <v>801</v>
      </c>
      <c r="E810" t="s">
        <v>402</v>
      </c>
      <c r="F810">
        <v>0</v>
      </c>
      <c r="G810">
        <v>10.3</v>
      </c>
      <c r="H810" t="s">
        <v>151</v>
      </c>
      <c r="I810" t="s">
        <v>1781</v>
      </c>
      <c r="J810">
        <v>0</v>
      </c>
      <c r="K810">
        <v>0</v>
      </c>
      <c r="L810" t="s">
        <v>997</v>
      </c>
      <c r="M810">
        <v>336</v>
      </c>
      <c r="N810" t="s">
        <v>3043</v>
      </c>
      <c r="O810" t="s">
        <v>3038</v>
      </c>
    </row>
    <row r="811" spans="1:15" x14ac:dyDescent="0.2">
      <c r="A811">
        <v>99</v>
      </c>
      <c r="B811" t="s">
        <v>2117</v>
      </c>
      <c r="C811" t="s">
        <v>1366</v>
      </c>
      <c r="D811" t="s">
        <v>498</v>
      </c>
      <c r="E811" t="s">
        <v>773</v>
      </c>
      <c r="F811">
        <v>1.2</v>
      </c>
      <c r="G811">
        <v>0</v>
      </c>
      <c r="H811" t="s">
        <v>84</v>
      </c>
      <c r="I811" t="s">
        <v>1781</v>
      </c>
      <c r="J811">
        <v>0</v>
      </c>
      <c r="K811">
        <v>0</v>
      </c>
      <c r="L811" t="s">
        <v>997</v>
      </c>
      <c r="M811">
        <v>336</v>
      </c>
      <c r="N811" t="s">
        <v>3037</v>
      </c>
      <c r="O811" t="s">
        <v>3038</v>
      </c>
    </row>
    <row r="812" spans="1:15" x14ac:dyDescent="0.2">
      <c r="A812">
        <v>99</v>
      </c>
      <c r="B812" t="s">
        <v>2117</v>
      </c>
      <c r="C812" t="s">
        <v>1366</v>
      </c>
      <c r="D812" t="s">
        <v>950</v>
      </c>
      <c r="E812" t="s">
        <v>1391</v>
      </c>
      <c r="F812">
        <v>0</v>
      </c>
      <c r="G812">
        <v>15.0943</v>
      </c>
      <c r="H812" t="s">
        <v>151</v>
      </c>
      <c r="I812" t="s">
        <v>1781</v>
      </c>
      <c r="J812">
        <v>0</v>
      </c>
      <c r="K812">
        <v>0</v>
      </c>
      <c r="L812" t="s">
        <v>997</v>
      </c>
      <c r="M812">
        <v>336</v>
      </c>
      <c r="N812" t="s">
        <v>3042</v>
      </c>
      <c r="O812" t="s">
        <v>3038</v>
      </c>
    </row>
    <row r="813" spans="1:15" x14ac:dyDescent="0.2">
      <c r="A813">
        <v>99</v>
      </c>
      <c r="B813" t="s">
        <v>2117</v>
      </c>
      <c r="C813" t="s">
        <v>1366</v>
      </c>
      <c r="D813" t="s">
        <v>17</v>
      </c>
      <c r="E813" t="s">
        <v>3039</v>
      </c>
      <c r="F813">
        <v>1</v>
      </c>
      <c r="G813">
        <v>1107.92</v>
      </c>
      <c r="H813" t="s">
        <v>1781</v>
      </c>
      <c r="I813" t="s">
        <v>1781</v>
      </c>
      <c r="J813">
        <v>1107.92</v>
      </c>
      <c r="K813">
        <v>372261.12</v>
      </c>
      <c r="L813" t="s">
        <v>997</v>
      </c>
      <c r="M813">
        <v>336</v>
      </c>
      <c r="N813" t="s">
        <v>3040</v>
      </c>
      <c r="O813" t="s">
        <v>3038</v>
      </c>
    </row>
    <row r="814" spans="1:15" x14ac:dyDescent="0.2">
      <c r="A814">
        <v>99</v>
      </c>
      <c r="B814" t="s">
        <v>2117</v>
      </c>
      <c r="C814" t="s">
        <v>1366</v>
      </c>
      <c r="D814" t="s">
        <v>1649</v>
      </c>
      <c r="E814" t="s">
        <v>1145</v>
      </c>
      <c r="F814">
        <v>4.2000000000000003E-2</v>
      </c>
      <c r="G814">
        <v>3.95</v>
      </c>
      <c r="H814" t="s">
        <v>1781</v>
      </c>
      <c r="I814" t="s">
        <v>1781</v>
      </c>
      <c r="J814">
        <v>0.16589999999999999</v>
      </c>
      <c r="K814">
        <v>55.742400000000004</v>
      </c>
      <c r="L814" t="s">
        <v>997</v>
      </c>
      <c r="M814">
        <v>336</v>
      </c>
      <c r="N814" t="s">
        <v>3041</v>
      </c>
      <c r="O814" t="s">
        <v>3038</v>
      </c>
    </row>
    <row r="815" spans="1:15" x14ac:dyDescent="0.2">
      <c r="A815">
        <v>99</v>
      </c>
      <c r="B815" t="s">
        <v>2117</v>
      </c>
      <c r="C815" t="s">
        <v>1370</v>
      </c>
      <c r="D815" t="s">
        <v>1649</v>
      </c>
      <c r="E815" t="s">
        <v>1145</v>
      </c>
      <c r="F815">
        <v>2.1000000000000001E-2</v>
      </c>
      <c r="G815">
        <v>3.95</v>
      </c>
      <c r="H815" t="s">
        <v>1781</v>
      </c>
      <c r="I815" t="s">
        <v>1781</v>
      </c>
      <c r="J815">
        <v>8.2949999999999996E-2</v>
      </c>
      <c r="K815">
        <v>19.908000000000001</v>
      </c>
      <c r="L815" t="s">
        <v>988</v>
      </c>
      <c r="M815">
        <v>240</v>
      </c>
      <c r="N815" t="s">
        <v>3047</v>
      </c>
      <c r="O815" t="s">
        <v>3046</v>
      </c>
    </row>
    <row r="816" spans="1:15" x14ac:dyDescent="0.2">
      <c r="A816">
        <v>99</v>
      </c>
      <c r="B816" t="s">
        <v>2117</v>
      </c>
      <c r="C816" t="s">
        <v>1370</v>
      </c>
      <c r="D816" t="s">
        <v>21</v>
      </c>
      <c r="E816" t="s">
        <v>3044</v>
      </c>
      <c r="F816">
        <v>1</v>
      </c>
      <c r="G816">
        <v>1249.21</v>
      </c>
      <c r="H816" t="s">
        <v>1781</v>
      </c>
      <c r="I816" t="s">
        <v>1781</v>
      </c>
      <c r="J816">
        <v>1249.21</v>
      </c>
      <c r="K816">
        <v>299810.40000000002</v>
      </c>
      <c r="L816" t="s">
        <v>988</v>
      </c>
      <c r="M816">
        <v>240</v>
      </c>
      <c r="N816" t="s">
        <v>3045</v>
      </c>
      <c r="O816" t="s">
        <v>3046</v>
      </c>
    </row>
    <row r="817" spans="1:15" x14ac:dyDescent="0.2">
      <c r="A817">
        <v>99</v>
      </c>
      <c r="B817" t="s">
        <v>2117</v>
      </c>
      <c r="C817" t="s">
        <v>1370</v>
      </c>
      <c r="D817" t="s">
        <v>950</v>
      </c>
      <c r="E817" t="s">
        <v>1391</v>
      </c>
      <c r="F817">
        <v>0</v>
      </c>
      <c r="G817">
        <v>15.0943</v>
      </c>
      <c r="H817" t="s">
        <v>151</v>
      </c>
      <c r="I817" t="s">
        <v>1781</v>
      </c>
      <c r="J817">
        <v>0</v>
      </c>
      <c r="K817">
        <v>0</v>
      </c>
      <c r="L817" t="s">
        <v>988</v>
      </c>
      <c r="M817">
        <v>240</v>
      </c>
      <c r="N817" t="s">
        <v>3048</v>
      </c>
      <c r="O817" t="s">
        <v>3046</v>
      </c>
    </row>
    <row r="818" spans="1:15" x14ac:dyDescent="0.2">
      <c r="A818">
        <v>99</v>
      </c>
      <c r="B818" t="s">
        <v>2117</v>
      </c>
      <c r="C818" t="s">
        <v>1370</v>
      </c>
      <c r="D818" t="s">
        <v>498</v>
      </c>
      <c r="E818" t="s">
        <v>773</v>
      </c>
      <c r="F818">
        <v>1.2</v>
      </c>
      <c r="G818">
        <v>0</v>
      </c>
      <c r="H818" t="s">
        <v>84</v>
      </c>
      <c r="I818" t="s">
        <v>1781</v>
      </c>
      <c r="J818">
        <v>0</v>
      </c>
      <c r="K818">
        <v>0</v>
      </c>
      <c r="L818" t="s">
        <v>988</v>
      </c>
      <c r="M818">
        <v>240</v>
      </c>
      <c r="N818" t="s">
        <v>3050</v>
      </c>
      <c r="O818" t="s">
        <v>3046</v>
      </c>
    </row>
    <row r="819" spans="1:15" x14ac:dyDescent="0.2">
      <c r="A819">
        <v>99</v>
      </c>
      <c r="B819" t="s">
        <v>2117</v>
      </c>
      <c r="C819" t="s">
        <v>1370</v>
      </c>
      <c r="D819" t="s">
        <v>801</v>
      </c>
      <c r="E819" t="s">
        <v>402</v>
      </c>
      <c r="F819">
        <v>0</v>
      </c>
      <c r="G819">
        <v>10.3</v>
      </c>
      <c r="H819" t="s">
        <v>151</v>
      </c>
      <c r="I819" t="s">
        <v>1781</v>
      </c>
      <c r="J819">
        <v>0</v>
      </c>
      <c r="K819">
        <v>0</v>
      </c>
      <c r="L819" t="s">
        <v>988</v>
      </c>
      <c r="M819">
        <v>240</v>
      </c>
      <c r="N819" t="s">
        <v>3049</v>
      </c>
      <c r="O819" t="s">
        <v>3046</v>
      </c>
    </row>
    <row r="820" spans="1:15" x14ac:dyDescent="0.2">
      <c r="A820">
        <v>99</v>
      </c>
      <c r="B820" t="s">
        <v>2117</v>
      </c>
      <c r="C820" t="s">
        <v>1176</v>
      </c>
      <c r="D820" t="s">
        <v>801</v>
      </c>
      <c r="E820" t="s">
        <v>402</v>
      </c>
      <c r="F820">
        <v>0</v>
      </c>
      <c r="G820">
        <v>10.3</v>
      </c>
      <c r="H820" t="s">
        <v>151</v>
      </c>
      <c r="I820" t="s">
        <v>1781</v>
      </c>
      <c r="J820">
        <v>0</v>
      </c>
      <c r="K820">
        <v>0</v>
      </c>
      <c r="L820" t="s">
        <v>905</v>
      </c>
      <c r="M820">
        <v>240</v>
      </c>
      <c r="N820" t="s">
        <v>3056</v>
      </c>
      <c r="O820" t="s">
        <v>3053</v>
      </c>
    </row>
    <row r="821" spans="1:15" x14ac:dyDescent="0.2">
      <c r="A821">
        <v>99</v>
      </c>
      <c r="B821" t="s">
        <v>2117</v>
      </c>
      <c r="C821" t="s">
        <v>1176</v>
      </c>
      <c r="D821" t="s">
        <v>498</v>
      </c>
      <c r="E821" t="s">
        <v>773</v>
      </c>
      <c r="F821">
        <v>1.2</v>
      </c>
      <c r="G821">
        <v>0</v>
      </c>
      <c r="H821" t="s">
        <v>84</v>
      </c>
      <c r="I821" t="s">
        <v>1781</v>
      </c>
      <c r="J821">
        <v>0</v>
      </c>
      <c r="K821">
        <v>0</v>
      </c>
      <c r="L821" t="s">
        <v>905</v>
      </c>
      <c r="M821">
        <v>240</v>
      </c>
      <c r="N821" t="s">
        <v>3057</v>
      </c>
      <c r="O821" t="s">
        <v>3053</v>
      </c>
    </row>
    <row r="822" spans="1:15" x14ac:dyDescent="0.2">
      <c r="A822">
        <v>99</v>
      </c>
      <c r="B822" t="s">
        <v>2117</v>
      </c>
      <c r="C822" t="s">
        <v>1176</v>
      </c>
      <c r="D822" t="s">
        <v>1006</v>
      </c>
      <c r="E822" t="s">
        <v>699</v>
      </c>
      <c r="F822">
        <v>0</v>
      </c>
      <c r="G822">
        <v>28.988</v>
      </c>
      <c r="H822" t="s">
        <v>151</v>
      </c>
      <c r="I822" t="s">
        <v>1781</v>
      </c>
      <c r="J822">
        <v>0</v>
      </c>
      <c r="K822">
        <v>0</v>
      </c>
      <c r="L822" t="s">
        <v>905</v>
      </c>
      <c r="M822">
        <v>240</v>
      </c>
      <c r="N822" t="s">
        <v>3055</v>
      </c>
      <c r="O822" t="s">
        <v>3053</v>
      </c>
    </row>
    <row r="823" spans="1:15" x14ac:dyDescent="0.2">
      <c r="A823">
        <v>99</v>
      </c>
      <c r="B823" t="s">
        <v>2117</v>
      </c>
      <c r="C823" t="s">
        <v>1176</v>
      </c>
      <c r="D823" t="s">
        <v>637</v>
      </c>
      <c r="E823" t="s">
        <v>1256</v>
      </c>
      <c r="F823">
        <v>0.34599999999999997</v>
      </c>
      <c r="G823">
        <v>35</v>
      </c>
      <c r="H823" t="s">
        <v>1052</v>
      </c>
      <c r="I823" t="s">
        <v>1781</v>
      </c>
      <c r="J823">
        <v>12.11</v>
      </c>
      <c r="K823">
        <v>2906.4</v>
      </c>
      <c r="L823" t="s">
        <v>905</v>
      </c>
      <c r="M823">
        <v>240</v>
      </c>
      <c r="N823" t="s">
        <v>3054</v>
      </c>
      <c r="O823" t="s">
        <v>3053</v>
      </c>
    </row>
    <row r="824" spans="1:15" x14ac:dyDescent="0.2">
      <c r="A824">
        <v>99</v>
      </c>
      <c r="B824" t="s">
        <v>2117</v>
      </c>
      <c r="C824" t="s">
        <v>1176</v>
      </c>
      <c r="D824" t="s">
        <v>1774</v>
      </c>
      <c r="E824" t="s">
        <v>3051</v>
      </c>
      <c r="F824">
        <v>1</v>
      </c>
      <c r="G824">
        <v>230</v>
      </c>
      <c r="H824" t="s">
        <v>1781</v>
      </c>
      <c r="I824" t="s">
        <v>1781</v>
      </c>
      <c r="J824">
        <v>230</v>
      </c>
      <c r="K824">
        <v>55200</v>
      </c>
      <c r="L824" t="s">
        <v>905</v>
      </c>
      <c r="M824">
        <v>240</v>
      </c>
      <c r="N824" t="s">
        <v>3052</v>
      </c>
      <c r="O824" t="s">
        <v>3053</v>
      </c>
    </row>
    <row r="825" spans="1:15" x14ac:dyDescent="0.2">
      <c r="A825">
        <v>99</v>
      </c>
      <c r="B825" t="s">
        <v>2117</v>
      </c>
      <c r="C825" t="s">
        <v>1055</v>
      </c>
      <c r="D825" t="s">
        <v>950</v>
      </c>
      <c r="E825" t="s">
        <v>1391</v>
      </c>
      <c r="F825">
        <v>0</v>
      </c>
      <c r="G825">
        <v>15.0943</v>
      </c>
      <c r="H825" t="s">
        <v>151</v>
      </c>
      <c r="I825" t="s">
        <v>1781</v>
      </c>
      <c r="J825">
        <v>0</v>
      </c>
      <c r="K825">
        <v>0</v>
      </c>
      <c r="L825" t="s">
        <v>914</v>
      </c>
      <c r="M825">
        <v>480</v>
      </c>
      <c r="N825" t="s">
        <v>3061</v>
      </c>
      <c r="O825" t="s">
        <v>3060</v>
      </c>
    </row>
    <row r="826" spans="1:15" x14ac:dyDescent="0.2">
      <c r="A826">
        <v>99</v>
      </c>
      <c r="B826" t="s">
        <v>2117</v>
      </c>
      <c r="C826" t="s">
        <v>1055</v>
      </c>
      <c r="D826" t="s">
        <v>1894</v>
      </c>
      <c r="E826" t="s">
        <v>3058</v>
      </c>
      <c r="F826">
        <v>1</v>
      </c>
      <c r="G826">
        <v>281.07</v>
      </c>
      <c r="H826" t="s">
        <v>1781</v>
      </c>
      <c r="I826" t="s">
        <v>1781</v>
      </c>
      <c r="J826">
        <v>281.07</v>
      </c>
      <c r="K826">
        <v>134913.60000000001</v>
      </c>
      <c r="L826" t="s">
        <v>914</v>
      </c>
      <c r="M826">
        <v>480</v>
      </c>
      <c r="N826" t="s">
        <v>3059</v>
      </c>
      <c r="O826" t="s">
        <v>3060</v>
      </c>
    </row>
    <row r="827" spans="1:15" x14ac:dyDescent="0.2">
      <c r="A827">
        <v>99</v>
      </c>
      <c r="B827" t="s">
        <v>2117</v>
      </c>
      <c r="C827" t="s">
        <v>1055</v>
      </c>
      <c r="D827" t="s">
        <v>498</v>
      </c>
      <c r="E827" t="s">
        <v>773</v>
      </c>
      <c r="F827">
        <v>1.2</v>
      </c>
      <c r="G827">
        <v>0</v>
      </c>
      <c r="H827" t="s">
        <v>84</v>
      </c>
      <c r="I827" t="s">
        <v>1781</v>
      </c>
      <c r="J827">
        <v>0</v>
      </c>
      <c r="K827">
        <v>0</v>
      </c>
      <c r="L827" t="s">
        <v>914</v>
      </c>
      <c r="M827">
        <v>480</v>
      </c>
      <c r="N827" t="s">
        <v>3063</v>
      </c>
      <c r="O827" t="s">
        <v>3060</v>
      </c>
    </row>
    <row r="828" spans="1:15" x14ac:dyDescent="0.2">
      <c r="A828">
        <v>99</v>
      </c>
      <c r="B828" t="s">
        <v>2117</v>
      </c>
      <c r="C828" t="s">
        <v>1055</v>
      </c>
      <c r="D828" t="s">
        <v>801</v>
      </c>
      <c r="E828" t="s">
        <v>402</v>
      </c>
      <c r="F828">
        <v>0</v>
      </c>
      <c r="G828">
        <v>10.3</v>
      </c>
      <c r="H828" t="s">
        <v>151</v>
      </c>
      <c r="I828" t="s">
        <v>1781</v>
      </c>
      <c r="J828">
        <v>0</v>
      </c>
      <c r="K828">
        <v>0</v>
      </c>
      <c r="L828" t="s">
        <v>914</v>
      </c>
      <c r="M828">
        <v>480</v>
      </c>
      <c r="N828" t="s">
        <v>3062</v>
      </c>
      <c r="O828" t="s">
        <v>3060</v>
      </c>
    </row>
    <row r="829" spans="1:15" x14ac:dyDescent="0.2">
      <c r="A829">
        <v>99</v>
      </c>
      <c r="B829" t="s">
        <v>2117</v>
      </c>
      <c r="C829" t="s">
        <v>1121</v>
      </c>
      <c r="D829" t="s">
        <v>801</v>
      </c>
      <c r="E829" t="s">
        <v>402</v>
      </c>
      <c r="F829">
        <v>0</v>
      </c>
      <c r="G829">
        <v>10.3</v>
      </c>
      <c r="H829" t="s">
        <v>151</v>
      </c>
      <c r="I829" t="s">
        <v>1781</v>
      </c>
      <c r="J829">
        <v>0</v>
      </c>
      <c r="K829">
        <v>0</v>
      </c>
      <c r="L829" t="s">
        <v>909</v>
      </c>
      <c r="M829">
        <v>336</v>
      </c>
      <c r="N829" t="s">
        <v>3068</v>
      </c>
      <c r="O829" t="s">
        <v>3066</v>
      </c>
    </row>
    <row r="830" spans="1:15" x14ac:dyDescent="0.2">
      <c r="A830">
        <v>99</v>
      </c>
      <c r="B830" t="s">
        <v>2117</v>
      </c>
      <c r="C830" t="s">
        <v>1121</v>
      </c>
      <c r="D830" t="s">
        <v>498</v>
      </c>
      <c r="E830" t="s">
        <v>773</v>
      </c>
      <c r="F830">
        <v>1.2</v>
      </c>
      <c r="G830">
        <v>0</v>
      </c>
      <c r="H830" t="s">
        <v>84</v>
      </c>
      <c r="I830" t="s">
        <v>1781</v>
      </c>
      <c r="J830">
        <v>0</v>
      </c>
      <c r="K830">
        <v>0</v>
      </c>
      <c r="L830" t="s">
        <v>909</v>
      </c>
      <c r="M830">
        <v>336</v>
      </c>
      <c r="N830" t="s">
        <v>3069</v>
      </c>
      <c r="O830" t="s">
        <v>3066</v>
      </c>
    </row>
    <row r="831" spans="1:15" x14ac:dyDescent="0.2">
      <c r="A831">
        <v>99</v>
      </c>
      <c r="B831" t="s">
        <v>2117</v>
      </c>
      <c r="C831" t="s">
        <v>1121</v>
      </c>
      <c r="D831" t="s">
        <v>16</v>
      </c>
      <c r="E831" t="s">
        <v>3064</v>
      </c>
      <c r="F831">
        <v>1</v>
      </c>
      <c r="G831">
        <v>628.09</v>
      </c>
      <c r="H831" t="s">
        <v>1781</v>
      </c>
      <c r="I831" t="s">
        <v>1781</v>
      </c>
      <c r="J831">
        <v>628.09</v>
      </c>
      <c r="K831">
        <v>211038.24</v>
      </c>
      <c r="L831" t="s">
        <v>909</v>
      </c>
      <c r="M831">
        <v>336</v>
      </c>
      <c r="N831" t="s">
        <v>3065</v>
      </c>
      <c r="O831" t="s">
        <v>3066</v>
      </c>
    </row>
    <row r="832" spans="1:15" x14ac:dyDescent="0.2">
      <c r="A832">
        <v>99</v>
      </c>
      <c r="B832" t="s">
        <v>2117</v>
      </c>
      <c r="C832" t="s">
        <v>1121</v>
      </c>
      <c r="D832" t="s">
        <v>950</v>
      </c>
      <c r="E832" t="s">
        <v>1391</v>
      </c>
      <c r="F832">
        <v>0</v>
      </c>
      <c r="G832">
        <v>15.0943</v>
      </c>
      <c r="H832" t="s">
        <v>151</v>
      </c>
      <c r="I832" t="s">
        <v>1781</v>
      </c>
      <c r="J832">
        <v>0</v>
      </c>
      <c r="K832">
        <v>0</v>
      </c>
      <c r="L832" t="s">
        <v>909</v>
      </c>
      <c r="M832">
        <v>336</v>
      </c>
      <c r="N832" t="s">
        <v>3067</v>
      </c>
      <c r="O832" t="s">
        <v>3066</v>
      </c>
    </row>
    <row r="833" spans="1:15" x14ac:dyDescent="0.2">
      <c r="A833">
        <v>99</v>
      </c>
      <c r="B833" t="s">
        <v>2117</v>
      </c>
      <c r="C833" t="s">
        <v>1125</v>
      </c>
      <c r="D833" t="s">
        <v>950</v>
      </c>
      <c r="E833" t="s">
        <v>1391</v>
      </c>
      <c r="F833">
        <v>0</v>
      </c>
      <c r="G833">
        <v>15.0943</v>
      </c>
      <c r="H833" t="s">
        <v>151</v>
      </c>
      <c r="I833" t="s">
        <v>1781</v>
      </c>
      <c r="J833">
        <v>0</v>
      </c>
      <c r="K833">
        <v>0</v>
      </c>
      <c r="L833" t="s">
        <v>992</v>
      </c>
      <c r="M833">
        <v>336</v>
      </c>
      <c r="N833" t="s">
        <v>3073</v>
      </c>
      <c r="O833" t="s">
        <v>3072</v>
      </c>
    </row>
    <row r="834" spans="1:15" x14ac:dyDescent="0.2">
      <c r="A834">
        <v>99</v>
      </c>
      <c r="B834" t="s">
        <v>2117</v>
      </c>
      <c r="C834" t="s">
        <v>1125</v>
      </c>
      <c r="D834" t="s">
        <v>498</v>
      </c>
      <c r="E834" t="s">
        <v>773</v>
      </c>
      <c r="F834">
        <v>1.2</v>
      </c>
      <c r="G834">
        <v>0</v>
      </c>
      <c r="H834" t="s">
        <v>84</v>
      </c>
      <c r="I834" t="s">
        <v>1781</v>
      </c>
      <c r="J834">
        <v>0</v>
      </c>
      <c r="K834">
        <v>0</v>
      </c>
      <c r="L834" t="s">
        <v>992</v>
      </c>
      <c r="M834">
        <v>336</v>
      </c>
      <c r="N834" t="s">
        <v>3075</v>
      </c>
      <c r="O834" t="s">
        <v>3072</v>
      </c>
    </row>
    <row r="835" spans="1:15" x14ac:dyDescent="0.2">
      <c r="A835">
        <v>99</v>
      </c>
      <c r="B835" t="s">
        <v>2117</v>
      </c>
      <c r="C835" t="s">
        <v>1125</v>
      </c>
      <c r="D835" t="s">
        <v>801</v>
      </c>
      <c r="E835" t="s">
        <v>402</v>
      </c>
      <c r="F835">
        <v>0</v>
      </c>
      <c r="G835">
        <v>10.3</v>
      </c>
      <c r="H835" t="s">
        <v>151</v>
      </c>
      <c r="I835" t="s">
        <v>1781</v>
      </c>
      <c r="J835">
        <v>0</v>
      </c>
      <c r="K835">
        <v>0</v>
      </c>
      <c r="L835" t="s">
        <v>992</v>
      </c>
      <c r="M835">
        <v>336</v>
      </c>
      <c r="N835" t="s">
        <v>3074</v>
      </c>
      <c r="O835" t="s">
        <v>3072</v>
      </c>
    </row>
    <row r="836" spans="1:15" x14ac:dyDescent="0.2">
      <c r="A836">
        <v>99</v>
      </c>
      <c r="B836" t="s">
        <v>2117</v>
      </c>
      <c r="C836" t="s">
        <v>1125</v>
      </c>
      <c r="D836" t="s">
        <v>18</v>
      </c>
      <c r="E836" t="s">
        <v>3070</v>
      </c>
      <c r="F836">
        <v>1</v>
      </c>
      <c r="G836">
        <v>628.09</v>
      </c>
      <c r="H836" t="s">
        <v>1781</v>
      </c>
      <c r="I836" t="s">
        <v>1781</v>
      </c>
      <c r="J836">
        <v>628.09</v>
      </c>
      <c r="K836">
        <v>211038.24</v>
      </c>
      <c r="L836" t="s">
        <v>992</v>
      </c>
      <c r="M836">
        <v>336</v>
      </c>
      <c r="N836" t="s">
        <v>3071</v>
      </c>
      <c r="O836" t="s">
        <v>3072</v>
      </c>
    </row>
    <row r="837" spans="1:15" x14ac:dyDescent="0.2">
      <c r="A837">
        <v>99</v>
      </c>
      <c r="B837" t="s">
        <v>2117</v>
      </c>
      <c r="C837" t="s">
        <v>888</v>
      </c>
      <c r="D837" t="s">
        <v>801</v>
      </c>
      <c r="E837" t="s">
        <v>402</v>
      </c>
      <c r="F837">
        <v>0</v>
      </c>
      <c r="G837">
        <v>10.3</v>
      </c>
      <c r="H837" t="s">
        <v>151</v>
      </c>
      <c r="I837" t="s">
        <v>1781</v>
      </c>
      <c r="J837">
        <v>0</v>
      </c>
      <c r="K837">
        <v>0</v>
      </c>
      <c r="L837" t="s">
        <v>919</v>
      </c>
      <c r="M837">
        <v>912</v>
      </c>
      <c r="N837" t="s">
        <v>3081</v>
      </c>
      <c r="O837" t="s">
        <v>3078</v>
      </c>
    </row>
    <row r="838" spans="1:15" x14ac:dyDescent="0.2">
      <c r="A838">
        <v>99</v>
      </c>
      <c r="B838" t="s">
        <v>2117</v>
      </c>
      <c r="C838" t="s">
        <v>888</v>
      </c>
      <c r="D838" t="s">
        <v>498</v>
      </c>
      <c r="E838" t="s">
        <v>773</v>
      </c>
      <c r="F838">
        <v>1.2</v>
      </c>
      <c r="G838">
        <v>0</v>
      </c>
      <c r="H838" t="s">
        <v>84</v>
      </c>
      <c r="I838" t="s">
        <v>1781</v>
      </c>
      <c r="J838">
        <v>0</v>
      </c>
      <c r="K838">
        <v>0</v>
      </c>
      <c r="L838" t="s">
        <v>919</v>
      </c>
      <c r="M838">
        <v>912</v>
      </c>
      <c r="N838" t="s">
        <v>3082</v>
      </c>
      <c r="O838" t="s">
        <v>3078</v>
      </c>
    </row>
    <row r="839" spans="1:15" x14ac:dyDescent="0.2">
      <c r="A839">
        <v>99</v>
      </c>
      <c r="B839" t="s">
        <v>2117</v>
      </c>
      <c r="C839" t="s">
        <v>888</v>
      </c>
      <c r="D839" t="s">
        <v>950</v>
      </c>
      <c r="E839" t="s">
        <v>1391</v>
      </c>
      <c r="F839">
        <v>0</v>
      </c>
      <c r="G839">
        <v>15.0943</v>
      </c>
      <c r="H839" t="s">
        <v>151</v>
      </c>
      <c r="I839" t="s">
        <v>1781</v>
      </c>
      <c r="J839">
        <v>0</v>
      </c>
      <c r="K839">
        <v>0</v>
      </c>
      <c r="L839" t="s">
        <v>919</v>
      </c>
      <c r="M839">
        <v>912</v>
      </c>
      <c r="N839" t="s">
        <v>3080</v>
      </c>
      <c r="O839" t="s">
        <v>3078</v>
      </c>
    </row>
    <row r="840" spans="1:15" x14ac:dyDescent="0.2">
      <c r="A840">
        <v>99</v>
      </c>
      <c r="B840" t="s">
        <v>2117</v>
      </c>
      <c r="C840" t="s">
        <v>888</v>
      </c>
      <c r="D840" t="s">
        <v>1827</v>
      </c>
      <c r="E840" t="s">
        <v>3076</v>
      </c>
      <c r="F840">
        <v>1</v>
      </c>
      <c r="G840">
        <v>30</v>
      </c>
      <c r="H840" t="s">
        <v>1781</v>
      </c>
      <c r="I840" t="s">
        <v>1781</v>
      </c>
      <c r="J840">
        <v>30</v>
      </c>
      <c r="K840">
        <v>27360</v>
      </c>
      <c r="L840" t="s">
        <v>919</v>
      </c>
      <c r="M840">
        <v>912</v>
      </c>
      <c r="N840" t="s">
        <v>3077</v>
      </c>
      <c r="O840" t="s">
        <v>3078</v>
      </c>
    </row>
    <row r="841" spans="1:15" x14ac:dyDescent="0.2">
      <c r="A841">
        <v>99</v>
      </c>
      <c r="B841" t="s">
        <v>2117</v>
      </c>
      <c r="C841" t="s">
        <v>888</v>
      </c>
      <c r="D841" t="s">
        <v>1649</v>
      </c>
      <c r="E841" t="s">
        <v>1145</v>
      </c>
      <c r="F841">
        <v>2.1000000000000001E-2</v>
      </c>
      <c r="G841">
        <v>3.95</v>
      </c>
      <c r="H841" t="s">
        <v>1781</v>
      </c>
      <c r="I841" t="s">
        <v>1781</v>
      </c>
      <c r="J841">
        <v>8.2949999999999996E-2</v>
      </c>
      <c r="K841">
        <v>75.650400000000005</v>
      </c>
      <c r="L841" t="s">
        <v>919</v>
      </c>
      <c r="M841">
        <v>912</v>
      </c>
      <c r="N841" t="s">
        <v>3079</v>
      </c>
      <c r="O841" t="s">
        <v>3078</v>
      </c>
    </row>
    <row r="842" spans="1:15" x14ac:dyDescent="0.2">
      <c r="A842">
        <v>99</v>
      </c>
      <c r="B842" t="s">
        <v>2117</v>
      </c>
      <c r="C842" t="s">
        <v>913</v>
      </c>
      <c r="D842" t="s">
        <v>885</v>
      </c>
      <c r="E842" t="s">
        <v>3086</v>
      </c>
      <c r="F842">
        <v>6</v>
      </c>
      <c r="G842">
        <v>19.559999999999999</v>
      </c>
      <c r="H842" t="s">
        <v>1781</v>
      </c>
      <c r="I842" t="s">
        <v>1781</v>
      </c>
      <c r="J842">
        <v>117.36</v>
      </c>
      <c r="K842">
        <v>8449.92</v>
      </c>
      <c r="L842" t="s">
        <v>776</v>
      </c>
      <c r="M842">
        <v>72</v>
      </c>
      <c r="N842" t="s">
        <v>3087</v>
      </c>
      <c r="O842" t="s">
        <v>3085</v>
      </c>
    </row>
    <row r="843" spans="1:15" x14ac:dyDescent="0.2">
      <c r="A843">
        <v>99</v>
      </c>
      <c r="B843" t="s">
        <v>2117</v>
      </c>
      <c r="C843" t="s">
        <v>913</v>
      </c>
      <c r="D843" t="s">
        <v>950</v>
      </c>
      <c r="E843" t="s">
        <v>1391</v>
      </c>
      <c r="F843">
        <v>0</v>
      </c>
      <c r="G843">
        <v>15.0943</v>
      </c>
      <c r="H843" t="s">
        <v>151</v>
      </c>
      <c r="I843" t="s">
        <v>1781</v>
      </c>
      <c r="J843">
        <v>0</v>
      </c>
      <c r="K843">
        <v>0</v>
      </c>
      <c r="L843" t="s">
        <v>776</v>
      </c>
      <c r="M843">
        <v>72</v>
      </c>
      <c r="N843" t="s">
        <v>3088</v>
      </c>
      <c r="O843" t="s">
        <v>3085</v>
      </c>
    </row>
    <row r="844" spans="1:15" x14ac:dyDescent="0.2">
      <c r="A844">
        <v>99</v>
      </c>
      <c r="B844" t="s">
        <v>2117</v>
      </c>
      <c r="C844" t="s">
        <v>913</v>
      </c>
      <c r="D844" t="s">
        <v>498</v>
      </c>
      <c r="E844" t="s">
        <v>773</v>
      </c>
      <c r="F844">
        <v>1.2</v>
      </c>
      <c r="G844">
        <v>0</v>
      </c>
      <c r="H844" t="s">
        <v>84</v>
      </c>
      <c r="I844" t="s">
        <v>1781</v>
      </c>
      <c r="J844">
        <v>0</v>
      </c>
      <c r="K844">
        <v>0</v>
      </c>
      <c r="L844" t="s">
        <v>776</v>
      </c>
      <c r="M844">
        <v>72</v>
      </c>
      <c r="N844" t="s">
        <v>3090</v>
      </c>
      <c r="O844" t="s">
        <v>3085</v>
      </c>
    </row>
    <row r="845" spans="1:15" x14ac:dyDescent="0.2">
      <c r="A845">
        <v>99</v>
      </c>
      <c r="B845" t="s">
        <v>2117</v>
      </c>
      <c r="C845" t="s">
        <v>913</v>
      </c>
      <c r="D845" t="s">
        <v>1886</v>
      </c>
      <c r="E845" t="s">
        <v>3083</v>
      </c>
      <c r="F845">
        <v>1</v>
      </c>
      <c r="G845">
        <v>125.3824</v>
      </c>
      <c r="H845" t="s">
        <v>1781</v>
      </c>
      <c r="I845" t="s">
        <v>1781</v>
      </c>
      <c r="J845">
        <v>125.3824</v>
      </c>
      <c r="K845">
        <v>9027.5328000000009</v>
      </c>
      <c r="L845" t="s">
        <v>776</v>
      </c>
      <c r="M845">
        <v>72</v>
      </c>
      <c r="N845" t="s">
        <v>3084</v>
      </c>
      <c r="O845" t="s">
        <v>3085</v>
      </c>
    </row>
    <row r="846" spans="1:15" x14ac:dyDescent="0.2">
      <c r="A846">
        <v>99</v>
      </c>
      <c r="B846" t="s">
        <v>2117</v>
      </c>
      <c r="C846" t="s">
        <v>913</v>
      </c>
      <c r="D846" t="s">
        <v>801</v>
      </c>
      <c r="E846" t="s">
        <v>402</v>
      </c>
      <c r="F846">
        <v>0</v>
      </c>
      <c r="G846">
        <v>10.3</v>
      </c>
      <c r="H846" t="s">
        <v>151</v>
      </c>
      <c r="I846" t="s">
        <v>1781</v>
      </c>
      <c r="J846">
        <v>0</v>
      </c>
      <c r="K846">
        <v>0</v>
      </c>
      <c r="L846" t="s">
        <v>776</v>
      </c>
      <c r="M846">
        <v>72</v>
      </c>
      <c r="N846" t="s">
        <v>3089</v>
      </c>
      <c r="O846" t="s">
        <v>3085</v>
      </c>
    </row>
    <row r="847" spans="1:15" x14ac:dyDescent="0.2">
      <c r="A847">
        <v>99</v>
      </c>
      <c r="B847" t="s">
        <v>2117</v>
      </c>
      <c r="C847" t="s">
        <v>918</v>
      </c>
      <c r="D847" t="s">
        <v>801</v>
      </c>
      <c r="E847" t="s">
        <v>402</v>
      </c>
      <c r="F847">
        <v>0</v>
      </c>
      <c r="G847">
        <v>10.3</v>
      </c>
      <c r="H847" t="s">
        <v>151</v>
      </c>
      <c r="I847" t="s">
        <v>1781</v>
      </c>
      <c r="J847">
        <v>0</v>
      </c>
      <c r="K847">
        <v>0</v>
      </c>
      <c r="L847" t="s">
        <v>780</v>
      </c>
      <c r="M847">
        <v>72</v>
      </c>
      <c r="N847" t="s">
        <v>3096</v>
      </c>
      <c r="O847" t="s">
        <v>3093</v>
      </c>
    </row>
    <row r="848" spans="1:15" x14ac:dyDescent="0.2">
      <c r="A848">
        <v>99</v>
      </c>
      <c r="B848" t="s">
        <v>2117</v>
      </c>
      <c r="C848" t="s">
        <v>918</v>
      </c>
      <c r="D848" t="s">
        <v>498</v>
      </c>
      <c r="E848" t="s">
        <v>773</v>
      </c>
      <c r="F848">
        <v>1.2</v>
      </c>
      <c r="G848">
        <v>0</v>
      </c>
      <c r="H848" t="s">
        <v>84</v>
      </c>
      <c r="I848" t="s">
        <v>1781</v>
      </c>
      <c r="J848">
        <v>0</v>
      </c>
      <c r="K848">
        <v>0</v>
      </c>
      <c r="L848" t="s">
        <v>780</v>
      </c>
      <c r="M848">
        <v>72</v>
      </c>
      <c r="N848" t="s">
        <v>3097</v>
      </c>
      <c r="O848" t="s">
        <v>3093</v>
      </c>
    </row>
    <row r="849" spans="1:15" x14ac:dyDescent="0.2">
      <c r="A849">
        <v>99</v>
      </c>
      <c r="B849" t="s">
        <v>2117</v>
      </c>
      <c r="C849" t="s">
        <v>918</v>
      </c>
      <c r="D849" t="s">
        <v>950</v>
      </c>
      <c r="E849" t="s">
        <v>1391</v>
      </c>
      <c r="F849">
        <v>0</v>
      </c>
      <c r="G849">
        <v>15.0943</v>
      </c>
      <c r="H849" t="s">
        <v>151</v>
      </c>
      <c r="I849" t="s">
        <v>1781</v>
      </c>
      <c r="J849">
        <v>0</v>
      </c>
      <c r="K849">
        <v>0</v>
      </c>
      <c r="L849" t="s">
        <v>780</v>
      </c>
      <c r="M849">
        <v>72</v>
      </c>
      <c r="N849" t="s">
        <v>3095</v>
      </c>
      <c r="O849" t="s">
        <v>3093</v>
      </c>
    </row>
    <row r="850" spans="1:15" x14ac:dyDescent="0.2">
      <c r="A850">
        <v>99</v>
      </c>
      <c r="B850" t="s">
        <v>2117</v>
      </c>
      <c r="C850" t="s">
        <v>918</v>
      </c>
      <c r="D850" t="s">
        <v>1883</v>
      </c>
      <c r="E850" t="s">
        <v>3091</v>
      </c>
      <c r="F850">
        <v>1</v>
      </c>
      <c r="G850">
        <v>151.83690000000001</v>
      </c>
      <c r="H850" t="s">
        <v>1781</v>
      </c>
      <c r="I850" t="s">
        <v>1781</v>
      </c>
      <c r="J850">
        <v>151.83690000000001</v>
      </c>
      <c r="K850">
        <v>10932.256799999999</v>
      </c>
      <c r="L850" t="s">
        <v>780</v>
      </c>
      <c r="M850">
        <v>72</v>
      </c>
      <c r="N850" t="s">
        <v>3092</v>
      </c>
      <c r="O850" t="s">
        <v>3093</v>
      </c>
    </row>
    <row r="851" spans="1:15" x14ac:dyDescent="0.2">
      <c r="A851">
        <v>99</v>
      </c>
      <c r="B851" t="s">
        <v>2117</v>
      </c>
      <c r="C851" t="s">
        <v>918</v>
      </c>
      <c r="D851" t="s">
        <v>885</v>
      </c>
      <c r="E851" t="s">
        <v>3086</v>
      </c>
      <c r="F851">
        <v>6</v>
      </c>
      <c r="G851">
        <v>19.559999999999999</v>
      </c>
      <c r="H851" t="s">
        <v>1781</v>
      </c>
      <c r="I851" t="s">
        <v>1781</v>
      </c>
      <c r="J851">
        <v>117.36</v>
      </c>
      <c r="K851">
        <v>8449.92</v>
      </c>
      <c r="L851" t="s">
        <v>780</v>
      </c>
      <c r="M851">
        <v>72</v>
      </c>
      <c r="N851" t="s">
        <v>3094</v>
      </c>
      <c r="O851" t="s">
        <v>3093</v>
      </c>
    </row>
    <row r="852" spans="1:15" x14ac:dyDescent="0.2">
      <c r="A852">
        <v>99</v>
      </c>
      <c r="B852" t="s">
        <v>2117</v>
      </c>
      <c r="C852" t="s">
        <v>970</v>
      </c>
      <c r="D852" t="s">
        <v>885</v>
      </c>
      <c r="E852" t="s">
        <v>3086</v>
      </c>
      <c r="F852">
        <v>6</v>
      </c>
      <c r="G852">
        <v>19.559999999999999</v>
      </c>
      <c r="H852" t="s">
        <v>1781</v>
      </c>
      <c r="I852" t="s">
        <v>1781</v>
      </c>
      <c r="J852">
        <v>117.36</v>
      </c>
      <c r="K852">
        <v>5633.28</v>
      </c>
      <c r="L852" t="s">
        <v>784</v>
      </c>
      <c r="M852">
        <v>48</v>
      </c>
      <c r="N852" t="s">
        <v>3101</v>
      </c>
      <c r="O852" t="s">
        <v>3100</v>
      </c>
    </row>
    <row r="853" spans="1:15" x14ac:dyDescent="0.2">
      <c r="A853">
        <v>99</v>
      </c>
      <c r="B853" t="s">
        <v>2117</v>
      </c>
      <c r="C853" t="s">
        <v>970</v>
      </c>
      <c r="D853" t="s">
        <v>1834</v>
      </c>
      <c r="E853" t="s">
        <v>3098</v>
      </c>
      <c r="F853">
        <v>1</v>
      </c>
      <c r="G853">
        <v>154.97880000000001</v>
      </c>
      <c r="H853" t="s">
        <v>1781</v>
      </c>
      <c r="I853" t="s">
        <v>1781</v>
      </c>
      <c r="J853">
        <v>154.97880000000001</v>
      </c>
      <c r="K853">
        <v>7438.9823999999999</v>
      </c>
      <c r="L853" t="s">
        <v>784</v>
      </c>
      <c r="M853">
        <v>48</v>
      </c>
      <c r="N853" t="s">
        <v>3099</v>
      </c>
      <c r="O853" t="s">
        <v>3100</v>
      </c>
    </row>
    <row r="854" spans="1:15" x14ac:dyDescent="0.2">
      <c r="A854">
        <v>99</v>
      </c>
      <c r="B854" t="s">
        <v>2117</v>
      </c>
      <c r="C854" t="s">
        <v>970</v>
      </c>
      <c r="D854" t="s">
        <v>950</v>
      </c>
      <c r="E854" t="s">
        <v>1391</v>
      </c>
      <c r="F854">
        <v>0</v>
      </c>
      <c r="G854">
        <v>15.0943</v>
      </c>
      <c r="H854" t="s">
        <v>151</v>
      </c>
      <c r="I854" t="s">
        <v>1781</v>
      </c>
      <c r="J854">
        <v>0</v>
      </c>
      <c r="K854">
        <v>0</v>
      </c>
      <c r="L854" t="s">
        <v>784</v>
      </c>
      <c r="M854">
        <v>48</v>
      </c>
      <c r="N854" t="s">
        <v>3102</v>
      </c>
      <c r="O854" t="s">
        <v>3100</v>
      </c>
    </row>
    <row r="855" spans="1:15" x14ac:dyDescent="0.2">
      <c r="A855">
        <v>99</v>
      </c>
      <c r="B855" t="s">
        <v>2117</v>
      </c>
      <c r="C855" t="s">
        <v>970</v>
      </c>
      <c r="D855" t="s">
        <v>498</v>
      </c>
      <c r="E855" t="s">
        <v>773</v>
      </c>
      <c r="F855">
        <v>1.2</v>
      </c>
      <c r="G855">
        <v>0</v>
      </c>
      <c r="H855" t="s">
        <v>84</v>
      </c>
      <c r="I855" t="s">
        <v>1781</v>
      </c>
      <c r="J855">
        <v>0</v>
      </c>
      <c r="K855">
        <v>0</v>
      </c>
      <c r="L855" t="s">
        <v>784</v>
      </c>
      <c r="M855">
        <v>48</v>
      </c>
      <c r="N855" t="s">
        <v>3104</v>
      </c>
      <c r="O855" t="s">
        <v>3100</v>
      </c>
    </row>
    <row r="856" spans="1:15" x14ac:dyDescent="0.2">
      <c r="A856">
        <v>99</v>
      </c>
      <c r="B856" t="s">
        <v>2117</v>
      </c>
      <c r="C856" t="s">
        <v>970</v>
      </c>
      <c r="D856" t="s">
        <v>801</v>
      </c>
      <c r="E856" t="s">
        <v>402</v>
      </c>
      <c r="F856">
        <v>0</v>
      </c>
      <c r="G856">
        <v>10.3</v>
      </c>
      <c r="H856" t="s">
        <v>151</v>
      </c>
      <c r="I856" t="s">
        <v>1781</v>
      </c>
      <c r="J856">
        <v>0</v>
      </c>
      <c r="K856">
        <v>0</v>
      </c>
      <c r="L856" t="s">
        <v>784</v>
      </c>
      <c r="M856">
        <v>48</v>
      </c>
      <c r="N856" t="s">
        <v>3103</v>
      </c>
      <c r="O856" t="s">
        <v>3100</v>
      </c>
    </row>
    <row r="857" spans="1:15" x14ac:dyDescent="0.2">
      <c r="A857">
        <v>99</v>
      </c>
      <c r="B857" t="s">
        <v>2117</v>
      </c>
      <c r="C857" t="s">
        <v>973</v>
      </c>
      <c r="D857" t="s">
        <v>801</v>
      </c>
      <c r="E857" t="s">
        <v>402</v>
      </c>
      <c r="F857">
        <v>0</v>
      </c>
      <c r="G857">
        <v>10.3</v>
      </c>
      <c r="H857" t="s">
        <v>151</v>
      </c>
      <c r="I857" t="s">
        <v>1781</v>
      </c>
      <c r="J857">
        <v>0</v>
      </c>
      <c r="K857">
        <v>0</v>
      </c>
      <c r="L857" t="s">
        <v>786</v>
      </c>
      <c r="M857">
        <v>24</v>
      </c>
      <c r="N857" t="s">
        <v>3110</v>
      </c>
      <c r="O857" t="s">
        <v>3107</v>
      </c>
    </row>
    <row r="858" spans="1:15" x14ac:dyDescent="0.2">
      <c r="A858">
        <v>99</v>
      </c>
      <c r="B858" t="s">
        <v>2117</v>
      </c>
      <c r="C858" t="s">
        <v>973</v>
      </c>
      <c r="D858" t="s">
        <v>498</v>
      </c>
      <c r="E858" t="s">
        <v>773</v>
      </c>
      <c r="F858">
        <v>1.2</v>
      </c>
      <c r="G858">
        <v>0</v>
      </c>
      <c r="H858" t="s">
        <v>84</v>
      </c>
      <c r="I858" t="s">
        <v>1781</v>
      </c>
      <c r="J858">
        <v>0</v>
      </c>
      <c r="K858">
        <v>0</v>
      </c>
      <c r="L858" t="s">
        <v>786</v>
      </c>
      <c r="M858">
        <v>24</v>
      </c>
      <c r="N858" t="s">
        <v>3111</v>
      </c>
      <c r="O858" t="s">
        <v>3107</v>
      </c>
    </row>
    <row r="859" spans="1:15" x14ac:dyDescent="0.2">
      <c r="A859">
        <v>99</v>
      </c>
      <c r="B859" t="s">
        <v>2117</v>
      </c>
      <c r="C859" t="s">
        <v>973</v>
      </c>
      <c r="D859" t="s">
        <v>1888</v>
      </c>
      <c r="E859" t="s">
        <v>3105</v>
      </c>
      <c r="F859">
        <v>1</v>
      </c>
      <c r="G859">
        <v>2109.31</v>
      </c>
      <c r="H859" t="s">
        <v>1781</v>
      </c>
      <c r="I859" t="s">
        <v>1781</v>
      </c>
      <c r="J859">
        <v>2109.31</v>
      </c>
      <c r="K859">
        <v>50623.44</v>
      </c>
      <c r="L859" t="s">
        <v>786</v>
      </c>
      <c r="M859">
        <v>24</v>
      </c>
      <c r="N859" t="s">
        <v>3106</v>
      </c>
      <c r="O859" t="s">
        <v>3107</v>
      </c>
    </row>
    <row r="860" spans="1:15" x14ac:dyDescent="0.2">
      <c r="A860">
        <v>99</v>
      </c>
      <c r="B860" t="s">
        <v>2117</v>
      </c>
      <c r="C860" t="s">
        <v>973</v>
      </c>
      <c r="D860" t="s">
        <v>950</v>
      </c>
      <c r="E860" t="s">
        <v>1391</v>
      </c>
      <c r="F860">
        <v>0</v>
      </c>
      <c r="G860">
        <v>15.0943</v>
      </c>
      <c r="H860" t="s">
        <v>151</v>
      </c>
      <c r="I860" t="s">
        <v>1781</v>
      </c>
      <c r="J860">
        <v>0</v>
      </c>
      <c r="K860">
        <v>0</v>
      </c>
      <c r="L860" t="s">
        <v>786</v>
      </c>
      <c r="M860">
        <v>24</v>
      </c>
      <c r="N860" t="s">
        <v>3109</v>
      </c>
      <c r="O860" t="s">
        <v>3107</v>
      </c>
    </row>
    <row r="861" spans="1:15" x14ac:dyDescent="0.2">
      <c r="A861">
        <v>99</v>
      </c>
      <c r="B861" t="s">
        <v>2117</v>
      </c>
      <c r="C861" t="s">
        <v>973</v>
      </c>
      <c r="D861" t="s">
        <v>885</v>
      </c>
      <c r="E861" t="s">
        <v>3086</v>
      </c>
      <c r="F861">
        <v>8</v>
      </c>
      <c r="G861">
        <v>19.559999999999999</v>
      </c>
      <c r="H861" t="s">
        <v>1781</v>
      </c>
      <c r="I861" t="s">
        <v>1781</v>
      </c>
      <c r="J861">
        <v>156.47999999999999</v>
      </c>
      <c r="K861">
        <v>3755.52</v>
      </c>
      <c r="L861" t="s">
        <v>786</v>
      </c>
      <c r="M861">
        <v>24</v>
      </c>
      <c r="N861" t="s">
        <v>3108</v>
      </c>
      <c r="O861" t="s">
        <v>3107</v>
      </c>
    </row>
    <row r="862" spans="1:15" x14ac:dyDescent="0.2">
      <c r="A862">
        <v>99</v>
      </c>
      <c r="B862" t="s">
        <v>2117</v>
      </c>
      <c r="C862" t="s">
        <v>981</v>
      </c>
      <c r="D862" t="s">
        <v>1649</v>
      </c>
      <c r="E862" t="s">
        <v>1145</v>
      </c>
      <c r="F862">
        <v>3.32E-2</v>
      </c>
      <c r="G862">
        <v>3.95</v>
      </c>
      <c r="H862" t="s">
        <v>1781</v>
      </c>
      <c r="I862" t="s">
        <v>1781</v>
      </c>
      <c r="J862">
        <v>0.13114000000000001</v>
      </c>
      <c r="K862">
        <v>75.536640000000006</v>
      </c>
      <c r="L862" t="s">
        <v>923</v>
      </c>
      <c r="M862">
        <v>576</v>
      </c>
      <c r="N862" t="s">
        <v>3115</v>
      </c>
      <c r="O862" t="s">
        <v>3114</v>
      </c>
    </row>
    <row r="863" spans="1:15" x14ac:dyDescent="0.2">
      <c r="A863">
        <v>99</v>
      </c>
      <c r="B863" t="s">
        <v>2117</v>
      </c>
      <c r="C863" t="s">
        <v>981</v>
      </c>
      <c r="D863" t="s">
        <v>950</v>
      </c>
      <c r="E863" t="s">
        <v>1391</v>
      </c>
      <c r="F863">
        <v>0</v>
      </c>
      <c r="G863">
        <v>15.0943</v>
      </c>
      <c r="H863" t="s">
        <v>151</v>
      </c>
      <c r="I863" t="s">
        <v>1781</v>
      </c>
      <c r="J863">
        <v>0</v>
      </c>
      <c r="K863">
        <v>0</v>
      </c>
      <c r="L863" t="s">
        <v>923</v>
      </c>
      <c r="M863">
        <v>576</v>
      </c>
      <c r="N863" t="s">
        <v>3116</v>
      </c>
      <c r="O863" t="s">
        <v>3114</v>
      </c>
    </row>
    <row r="864" spans="1:15" x14ac:dyDescent="0.2">
      <c r="A864">
        <v>99</v>
      </c>
      <c r="B864" t="s">
        <v>2117</v>
      </c>
      <c r="C864" t="s">
        <v>981</v>
      </c>
      <c r="D864" t="s">
        <v>1898</v>
      </c>
      <c r="E864" t="s">
        <v>3112</v>
      </c>
      <c r="F864">
        <v>1</v>
      </c>
      <c r="G864">
        <v>18</v>
      </c>
      <c r="H864" t="s">
        <v>1781</v>
      </c>
      <c r="I864" t="s">
        <v>1781</v>
      </c>
      <c r="J864">
        <v>18</v>
      </c>
      <c r="K864">
        <v>10368</v>
      </c>
      <c r="L864" t="s">
        <v>923</v>
      </c>
      <c r="M864">
        <v>576</v>
      </c>
      <c r="N864" t="s">
        <v>3113</v>
      </c>
      <c r="O864" t="s">
        <v>3114</v>
      </c>
    </row>
    <row r="865" spans="1:15" x14ac:dyDescent="0.2">
      <c r="A865">
        <v>99</v>
      </c>
      <c r="B865" t="s">
        <v>2117</v>
      </c>
      <c r="C865" t="s">
        <v>981</v>
      </c>
      <c r="D865" t="s">
        <v>498</v>
      </c>
      <c r="E865" t="s">
        <v>773</v>
      </c>
      <c r="F865">
        <v>1.2</v>
      </c>
      <c r="G865">
        <v>0</v>
      </c>
      <c r="H865" t="s">
        <v>84</v>
      </c>
      <c r="I865" t="s">
        <v>1781</v>
      </c>
      <c r="J865">
        <v>0</v>
      </c>
      <c r="K865">
        <v>0</v>
      </c>
      <c r="L865" t="s">
        <v>923</v>
      </c>
      <c r="M865">
        <v>576</v>
      </c>
      <c r="N865" t="s">
        <v>3118</v>
      </c>
      <c r="O865" t="s">
        <v>3114</v>
      </c>
    </row>
    <row r="866" spans="1:15" x14ac:dyDescent="0.2">
      <c r="A866">
        <v>99</v>
      </c>
      <c r="B866" t="s">
        <v>2117</v>
      </c>
      <c r="C866" t="s">
        <v>981</v>
      </c>
      <c r="D866" t="s">
        <v>801</v>
      </c>
      <c r="E866" t="s">
        <v>402</v>
      </c>
      <c r="F866">
        <v>0</v>
      </c>
      <c r="G866">
        <v>10.3</v>
      </c>
      <c r="H866" t="s">
        <v>151</v>
      </c>
      <c r="I866" t="s">
        <v>1781</v>
      </c>
      <c r="J866">
        <v>0</v>
      </c>
      <c r="K866">
        <v>0</v>
      </c>
      <c r="L866" t="s">
        <v>923</v>
      </c>
      <c r="M866">
        <v>576</v>
      </c>
      <c r="N866" t="s">
        <v>3117</v>
      </c>
      <c r="O866" t="s">
        <v>3114</v>
      </c>
    </row>
    <row r="867" spans="1:15" x14ac:dyDescent="0.2">
      <c r="A867">
        <v>99</v>
      </c>
      <c r="B867" t="s">
        <v>2117</v>
      </c>
      <c r="C867" t="s">
        <v>985</v>
      </c>
      <c r="D867" t="s">
        <v>801</v>
      </c>
      <c r="E867" t="s">
        <v>402</v>
      </c>
      <c r="F867">
        <v>0</v>
      </c>
      <c r="G867">
        <v>10.3</v>
      </c>
      <c r="H867" t="s">
        <v>151</v>
      </c>
      <c r="I867" t="s">
        <v>1781</v>
      </c>
      <c r="J867">
        <v>0</v>
      </c>
      <c r="K867">
        <v>0</v>
      </c>
      <c r="L867" t="s">
        <v>927</v>
      </c>
      <c r="M867">
        <v>240</v>
      </c>
      <c r="N867" t="s">
        <v>3123</v>
      </c>
      <c r="O867" t="s">
        <v>3120</v>
      </c>
    </row>
    <row r="868" spans="1:15" x14ac:dyDescent="0.2">
      <c r="A868">
        <v>99</v>
      </c>
      <c r="B868" t="s">
        <v>2117</v>
      </c>
      <c r="C868" t="s">
        <v>985</v>
      </c>
      <c r="D868" t="s">
        <v>498</v>
      </c>
      <c r="E868" t="s">
        <v>773</v>
      </c>
      <c r="F868">
        <v>1.2</v>
      </c>
      <c r="G868">
        <v>0</v>
      </c>
      <c r="H868" t="s">
        <v>84</v>
      </c>
      <c r="I868" t="s">
        <v>1781</v>
      </c>
      <c r="J868">
        <v>0</v>
      </c>
      <c r="K868">
        <v>0</v>
      </c>
      <c r="L868" t="s">
        <v>927</v>
      </c>
      <c r="M868">
        <v>240</v>
      </c>
      <c r="N868" t="s">
        <v>3124</v>
      </c>
      <c r="O868" t="s">
        <v>3120</v>
      </c>
    </row>
    <row r="869" spans="1:15" x14ac:dyDescent="0.2">
      <c r="A869">
        <v>99</v>
      </c>
      <c r="B869" t="s">
        <v>2117</v>
      </c>
      <c r="C869" t="s">
        <v>985</v>
      </c>
      <c r="D869" t="s">
        <v>1900</v>
      </c>
      <c r="E869" t="s">
        <v>1930</v>
      </c>
      <c r="F869">
        <v>1</v>
      </c>
      <c r="G869">
        <v>134.61000000000001</v>
      </c>
      <c r="H869" t="s">
        <v>1781</v>
      </c>
      <c r="I869" t="s">
        <v>1781</v>
      </c>
      <c r="J869">
        <v>134.61000000000001</v>
      </c>
      <c r="K869">
        <v>32306.400000000001</v>
      </c>
      <c r="L869" t="s">
        <v>927</v>
      </c>
      <c r="M869">
        <v>240</v>
      </c>
      <c r="N869" t="s">
        <v>3119</v>
      </c>
      <c r="O869" t="s">
        <v>3120</v>
      </c>
    </row>
    <row r="870" spans="1:15" x14ac:dyDescent="0.2">
      <c r="A870">
        <v>99</v>
      </c>
      <c r="B870" t="s">
        <v>2117</v>
      </c>
      <c r="C870" t="s">
        <v>985</v>
      </c>
      <c r="D870" t="s">
        <v>950</v>
      </c>
      <c r="E870" t="s">
        <v>1391</v>
      </c>
      <c r="F870">
        <v>0</v>
      </c>
      <c r="G870">
        <v>15.0943</v>
      </c>
      <c r="H870" t="s">
        <v>151</v>
      </c>
      <c r="I870" t="s">
        <v>1781</v>
      </c>
      <c r="J870">
        <v>0</v>
      </c>
      <c r="K870">
        <v>0</v>
      </c>
      <c r="L870" t="s">
        <v>927</v>
      </c>
      <c r="M870">
        <v>240</v>
      </c>
      <c r="N870" t="s">
        <v>3122</v>
      </c>
      <c r="O870" t="s">
        <v>3120</v>
      </c>
    </row>
    <row r="871" spans="1:15" x14ac:dyDescent="0.2">
      <c r="A871">
        <v>99</v>
      </c>
      <c r="B871" t="s">
        <v>2117</v>
      </c>
      <c r="C871" t="s">
        <v>985</v>
      </c>
      <c r="D871" t="s">
        <v>1649</v>
      </c>
      <c r="E871" t="s">
        <v>1145</v>
      </c>
      <c r="F871">
        <v>4.8000000000000001E-2</v>
      </c>
      <c r="G871">
        <v>3.95</v>
      </c>
      <c r="H871" t="s">
        <v>1781</v>
      </c>
      <c r="I871" t="s">
        <v>1781</v>
      </c>
      <c r="J871">
        <v>0.18959999999999999</v>
      </c>
      <c r="K871">
        <v>45.503999999999998</v>
      </c>
      <c r="L871" t="s">
        <v>927</v>
      </c>
      <c r="M871">
        <v>240</v>
      </c>
      <c r="N871" t="s">
        <v>3121</v>
      </c>
      <c r="O871" t="s">
        <v>3120</v>
      </c>
    </row>
    <row r="872" spans="1:15" x14ac:dyDescent="0.2">
      <c r="A872">
        <v>99</v>
      </c>
      <c r="B872" t="s">
        <v>2117</v>
      </c>
      <c r="C872" t="s">
        <v>989</v>
      </c>
      <c r="D872" t="s">
        <v>1649</v>
      </c>
      <c r="E872" t="s">
        <v>1145</v>
      </c>
      <c r="F872">
        <v>4.8000000000000001E-2</v>
      </c>
      <c r="G872">
        <v>3.95</v>
      </c>
      <c r="H872" t="s">
        <v>1781</v>
      </c>
      <c r="I872" t="s">
        <v>1781</v>
      </c>
      <c r="J872">
        <v>0.18959999999999999</v>
      </c>
      <c r="K872">
        <v>63.705599999999997</v>
      </c>
      <c r="L872" t="s">
        <v>929</v>
      </c>
      <c r="M872">
        <v>336</v>
      </c>
      <c r="N872" t="s">
        <v>3128</v>
      </c>
      <c r="O872" t="s">
        <v>3127</v>
      </c>
    </row>
    <row r="873" spans="1:15" x14ac:dyDescent="0.2">
      <c r="A873">
        <v>99</v>
      </c>
      <c r="B873" t="s">
        <v>2117</v>
      </c>
      <c r="C873" t="s">
        <v>989</v>
      </c>
      <c r="D873" t="s">
        <v>950</v>
      </c>
      <c r="E873" t="s">
        <v>1391</v>
      </c>
      <c r="F873">
        <v>0</v>
      </c>
      <c r="G873">
        <v>15.0943</v>
      </c>
      <c r="H873" t="s">
        <v>151</v>
      </c>
      <c r="I873" t="s">
        <v>1781</v>
      </c>
      <c r="J873">
        <v>0</v>
      </c>
      <c r="K873">
        <v>0</v>
      </c>
      <c r="L873" t="s">
        <v>929</v>
      </c>
      <c r="M873">
        <v>336</v>
      </c>
      <c r="N873" t="s">
        <v>3129</v>
      </c>
      <c r="O873" t="s">
        <v>3127</v>
      </c>
    </row>
    <row r="874" spans="1:15" x14ac:dyDescent="0.2">
      <c r="A874">
        <v>99</v>
      </c>
      <c r="B874" t="s">
        <v>2117</v>
      </c>
      <c r="C874" t="s">
        <v>989</v>
      </c>
      <c r="D874" t="s">
        <v>1631</v>
      </c>
      <c r="E874" t="s">
        <v>3125</v>
      </c>
      <c r="F874">
        <v>1</v>
      </c>
      <c r="G874">
        <v>405.16</v>
      </c>
      <c r="H874" t="s">
        <v>1781</v>
      </c>
      <c r="I874" t="s">
        <v>1781</v>
      </c>
      <c r="J874">
        <v>405.16</v>
      </c>
      <c r="K874">
        <v>136133.76000000001</v>
      </c>
      <c r="L874" t="s">
        <v>929</v>
      </c>
      <c r="M874">
        <v>336</v>
      </c>
      <c r="N874" t="s">
        <v>3126</v>
      </c>
      <c r="O874" t="s">
        <v>3127</v>
      </c>
    </row>
    <row r="875" spans="1:15" x14ac:dyDescent="0.2">
      <c r="A875">
        <v>99</v>
      </c>
      <c r="B875" t="s">
        <v>2117</v>
      </c>
      <c r="C875" t="s">
        <v>989</v>
      </c>
      <c r="D875" t="s">
        <v>498</v>
      </c>
      <c r="E875" t="s">
        <v>773</v>
      </c>
      <c r="F875">
        <v>1.2</v>
      </c>
      <c r="G875">
        <v>0</v>
      </c>
      <c r="H875" t="s">
        <v>84</v>
      </c>
      <c r="I875" t="s">
        <v>1781</v>
      </c>
      <c r="J875">
        <v>0</v>
      </c>
      <c r="K875">
        <v>0</v>
      </c>
      <c r="L875" t="s">
        <v>929</v>
      </c>
      <c r="M875">
        <v>336</v>
      </c>
      <c r="N875" t="s">
        <v>3131</v>
      </c>
      <c r="O875" t="s">
        <v>3127</v>
      </c>
    </row>
    <row r="876" spans="1:15" x14ac:dyDescent="0.2">
      <c r="A876">
        <v>99</v>
      </c>
      <c r="B876" t="s">
        <v>2117</v>
      </c>
      <c r="C876" t="s">
        <v>989</v>
      </c>
      <c r="D876" t="s">
        <v>801</v>
      </c>
      <c r="E876" t="s">
        <v>402</v>
      </c>
      <c r="F876">
        <v>0</v>
      </c>
      <c r="G876">
        <v>10.3</v>
      </c>
      <c r="H876" t="s">
        <v>151</v>
      </c>
      <c r="I876" t="s">
        <v>1781</v>
      </c>
      <c r="J876">
        <v>0</v>
      </c>
      <c r="K876">
        <v>0</v>
      </c>
      <c r="L876" t="s">
        <v>929</v>
      </c>
      <c r="M876">
        <v>336</v>
      </c>
      <c r="N876" t="s">
        <v>3130</v>
      </c>
      <c r="O876" t="s">
        <v>3127</v>
      </c>
    </row>
    <row r="877" spans="1:15" x14ac:dyDescent="0.2">
      <c r="A877">
        <v>99</v>
      </c>
      <c r="B877" t="s">
        <v>2117</v>
      </c>
      <c r="C877" t="s">
        <v>754</v>
      </c>
      <c r="D877" t="s">
        <v>801</v>
      </c>
      <c r="E877" t="s">
        <v>402</v>
      </c>
      <c r="F877">
        <v>0</v>
      </c>
      <c r="G877">
        <v>10.3</v>
      </c>
      <c r="H877" t="s">
        <v>151</v>
      </c>
      <c r="I877" t="s">
        <v>153</v>
      </c>
      <c r="J877">
        <v>0</v>
      </c>
      <c r="K877">
        <v>0</v>
      </c>
      <c r="L877" t="s">
        <v>934</v>
      </c>
      <c r="M877">
        <v>1224</v>
      </c>
      <c r="N877" t="s">
        <v>3140</v>
      </c>
      <c r="O877" t="s">
        <v>3133</v>
      </c>
    </row>
    <row r="878" spans="1:15" x14ac:dyDescent="0.2">
      <c r="A878">
        <v>99</v>
      </c>
      <c r="B878" t="s">
        <v>2117</v>
      </c>
      <c r="C878" t="s">
        <v>754</v>
      </c>
      <c r="D878" t="s">
        <v>1909</v>
      </c>
      <c r="E878" t="s">
        <v>3136</v>
      </c>
      <c r="F878">
        <v>7.4999999999999997E-3</v>
      </c>
      <c r="G878">
        <v>66.42</v>
      </c>
      <c r="H878" t="s">
        <v>1781</v>
      </c>
      <c r="I878" t="s">
        <v>153</v>
      </c>
      <c r="J878">
        <v>0.49814999999999998</v>
      </c>
      <c r="K878">
        <v>609.73559999999998</v>
      </c>
      <c r="L878" t="s">
        <v>934</v>
      </c>
      <c r="M878">
        <v>1224</v>
      </c>
      <c r="N878" t="s">
        <v>3137</v>
      </c>
      <c r="O878" t="s">
        <v>3133</v>
      </c>
    </row>
    <row r="879" spans="1:15" x14ac:dyDescent="0.2">
      <c r="A879">
        <v>99</v>
      </c>
      <c r="B879" t="s">
        <v>2117</v>
      </c>
      <c r="C879" t="s">
        <v>754</v>
      </c>
      <c r="D879" t="s">
        <v>626</v>
      </c>
      <c r="E879" t="s">
        <v>1750</v>
      </c>
      <c r="F879">
        <v>4.9000000000000002E-2</v>
      </c>
      <c r="G879">
        <v>58.63</v>
      </c>
      <c r="H879" t="s">
        <v>1781</v>
      </c>
      <c r="I879" t="s">
        <v>153</v>
      </c>
      <c r="J879">
        <v>2.8728699999999998</v>
      </c>
      <c r="K879">
        <v>3516.3928799999999</v>
      </c>
      <c r="L879" t="s">
        <v>934</v>
      </c>
      <c r="M879">
        <v>1224</v>
      </c>
      <c r="N879" t="s">
        <v>3138</v>
      </c>
      <c r="O879" t="s">
        <v>3133</v>
      </c>
    </row>
    <row r="880" spans="1:15" x14ac:dyDescent="0.2">
      <c r="A880">
        <v>99</v>
      </c>
      <c r="B880" t="s">
        <v>2117</v>
      </c>
      <c r="C880" t="s">
        <v>754</v>
      </c>
      <c r="D880" t="s">
        <v>498</v>
      </c>
      <c r="E880" t="s">
        <v>773</v>
      </c>
      <c r="F880">
        <v>1.2</v>
      </c>
      <c r="G880">
        <v>0</v>
      </c>
      <c r="H880" t="s">
        <v>84</v>
      </c>
      <c r="I880" t="s">
        <v>153</v>
      </c>
      <c r="J880">
        <v>0</v>
      </c>
      <c r="K880">
        <v>0</v>
      </c>
      <c r="L880" t="s">
        <v>934</v>
      </c>
      <c r="M880">
        <v>1224</v>
      </c>
      <c r="N880" t="s">
        <v>3132</v>
      </c>
      <c r="O880" t="s">
        <v>3133</v>
      </c>
    </row>
    <row r="881" spans="1:15" x14ac:dyDescent="0.2">
      <c r="A881">
        <v>99</v>
      </c>
      <c r="B881" t="s">
        <v>2117</v>
      </c>
      <c r="C881" t="s">
        <v>754</v>
      </c>
      <c r="D881" t="s">
        <v>160</v>
      </c>
      <c r="E881" t="s">
        <v>726</v>
      </c>
      <c r="F881">
        <v>3.5999999999999997E-2</v>
      </c>
      <c r="G881">
        <v>1.96</v>
      </c>
      <c r="H881" t="s">
        <v>1781</v>
      </c>
      <c r="I881" t="s">
        <v>153</v>
      </c>
      <c r="J881">
        <v>7.0559999999999998E-2</v>
      </c>
      <c r="K881">
        <v>86.365440000000007</v>
      </c>
      <c r="L881" t="s">
        <v>934</v>
      </c>
      <c r="M881">
        <v>1224</v>
      </c>
      <c r="N881" t="s">
        <v>3135</v>
      </c>
      <c r="O881" t="s">
        <v>3133</v>
      </c>
    </row>
    <row r="882" spans="1:15" x14ac:dyDescent="0.2">
      <c r="A882">
        <v>99</v>
      </c>
      <c r="B882" t="s">
        <v>2117</v>
      </c>
      <c r="C882" t="s">
        <v>754</v>
      </c>
      <c r="D882" t="s">
        <v>950</v>
      </c>
      <c r="E882" t="s">
        <v>1391</v>
      </c>
      <c r="F882">
        <v>0</v>
      </c>
      <c r="G882">
        <v>15.0943</v>
      </c>
      <c r="H882" t="s">
        <v>151</v>
      </c>
      <c r="I882" t="s">
        <v>153</v>
      </c>
      <c r="J882">
        <v>0</v>
      </c>
      <c r="K882">
        <v>0</v>
      </c>
      <c r="L882" t="s">
        <v>934</v>
      </c>
      <c r="M882">
        <v>1224</v>
      </c>
      <c r="N882" t="s">
        <v>3139</v>
      </c>
      <c r="O882" t="s">
        <v>3133</v>
      </c>
    </row>
    <row r="883" spans="1:15" x14ac:dyDescent="0.2">
      <c r="A883">
        <v>99</v>
      </c>
      <c r="B883" t="s">
        <v>2117</v>
      </c>
      <c r="C883" t="s">
        <v>754</v>
      </c>
      <c r="D883" t="s">
        <v>1474</v>
      </c>
      <c r="E883" t="s">
        <v>876</v>
      </c>
      <c r="F883">
        <v>1</v>
      </c>
      <c r="G883">
        <v>198</v>
      </c>
      <c r="H883" t="s">
        <v>153</v>
      </c>
      <c r="I883" t="s">
        <v>153</v>
      </c>
      <c r="J883">
        <v>198</v>
      </c>
      <c r="K883">
        <v>242352</v>
      </c>
      <c r="L883" t="s">
        <v>934</v>
      </c>
      <c r="M883">
        <v>1224</v>
      </c>
      <c r="N883" t="s">
        <v>3134</v>
      </c>
      <c r="O883" t="s">
        <v>3133</v>
      </c>
    </row>
    <row r="884" spans="1:15" x14ac:dyDescent="0.2">
      <c r="A884">
        <v>99</v>
      </c>
      <c r="B884" t="s">
        <v>2117</v>
      </c>
      <c r="C884" t="s">
        <v>758</v>
      </c>
      <c r="D884" t="s">
        <v>950</v>
      </c>
      <c r="E884" t="s">
        <v>1391</v>
      </c>
      <c r="F884">
        <v>0</v>
      </c>
      <c r="G884">
        <v>15.0943</v>
      </c>
      <c r="H884" t="s">
        <v>151</v>
      </c>
      <c r="I884" t="s">
        <v>153</v>
      </c>
      <c r="J884">
        <v>0</v>
      </c>
      <c r="K884">
        <v>0</v>
      </c>
      <c r="L884" t="s">
        <v>932</v>
      </c>
      <c r="M884">
        <v>336</v>
      </c>
      <c r="N884" t="s">
        <v>3146</v>
      </c>
      <c r="O884" t="s">
        <v>3142</v>
      </c>
    </row>
    <row r="885" spans="1:15" x14ac:dyDescent="0.2">
      <c r="A885">
        <v>99</v>
      </c>
      <c r="B885" t="s">
        <v>2117</v>
      </c>
      <c r="C885" t="s">
        <v>758</v>
      </c>
      <c r="D885" t="s">
        <v>1478</v>
      </c>
      <c r="E885" t="s">
        <v>978</v>
      </c>
      <c r="F885">
        <v>1</v>
      </c>
      <c r="G885">
        <v>292</v>
      </c>
      <c r="H885" t="s">
        <v>1781</v>
      </c>
      <c r="I885" t="s">
        <v>153</v>
      </c>
      <c r="J885">
        <v>292</v>
      </c>
      <c r="K885">
        <v>98112</v>
      </c>
      <c r="L885" t="s">
        <v>932</v>
      </c>
      <c r="M885">
        <v>336</v>
      </c>
      <c r="N885" t="s">
        <v>3141</v>
      </c>
      <c r="O885" t="s">
        <v>3142</v>
      </c>
    </row>
    <row r="886" spans="1:15" x14ac:dyDescent="0.2">
      <c r="A886">
        <v>99</v>
      </c>
      <c r="B886" t="s">
        <v>2117</v>
      </c>
      <c r="C886" t="s">
        <v>758</v>
      </c>
      <c r="D886" t="s">
        <v>160</v>
      </c>
      <c r="E886" t="s">
        <v>726</v>
      </c>
      <c r="F886">
        <v>3.5999999999999997E-2</v>
      </c>
      <c r="G886">
        <v>1.96</v>
      </c>
      <c r="H886" t="s">
        <v>1781</v>
      </c>
      <c r="I886" t="s">
        <v>153</v>
      </c>
      <c r="J886">
        <v>7.0559999999999998E-2</v>
      </c>
      <c r="K886">
        <v>23.708159999999999</v>
      </c>
      <c r="L886" t="s">
        <v>932</v>
      </c>
      <c r="M886">
        <v>336</v>
      </c>
      <c r="N886" t="s">
        <v>3143</v>
      </c>
      <c r="O886" t="s">
        <v>3142</v>
      </c>
    </row>
    <row r="887" spans="1:15" x14ac:dyDescent="0.2">
      <c r="A887">
        <v>99</v>
      </c>
      <c r="B887" t="s">
        <v>2117</v>
      </c>
      <c r="C887" t="s">
        <v>758</v>
      </c>
      <c r="D887" t="s">
        <v>498</v>
      </c>
      <c r="E887" t="s">
        <v>773</v>
      </c>
      <c r="F887">
        <v>1.2</v>
      </c>
      <c r="G887">
        <v>0</v>
      </c>
      <c r="H887" t="s">
        <v>84</v>
      </c>
      <c r="I887" t="s">
        <v>153</v>
      </c>
      <c r="J887">
        <v>0</v>
      </c>
      <c r="K887">
        <v>0</v>
      </c>
      <c r="L887" t="s">
        <v>932</v>
      </c>
      <c r="M887">
        <v>336</v>
      </c>
      <c r="N887" t="s">
        <v>3148</v>
      </c>
      <c r="O887" t="s">
        <v>3142</v>
      </c>
    </row>
    <row r="888" spans="1:15" x14ac:dyDescent="0.2">
      <c r="A888">
        <v>99</v>
      </c>
      <c r="B888" t="s">
        <v>2117</v>
      </c>
      <c r="C888" t="s">
        <v>758</v>
      </c>
      <c r="D888" t="s">
        <v>626</v>
      </c>
      <c r="E888" t="s">
        <v>1750</v>
      </c>
      <c r="F888">
        <v>4.9000000000000002E-2</v>
      </c>
      <c r="G888">
        <v>58.63</v>
      </c>
      <c r="H888" t="s">
        <v>1781</v>
      </c>
      <c r="I888" t="s">
        <v>153</v>
      </c>
      <c r="J888">
        <v>2.8728699999999998</v>
      </c>
      <c r="K888">
        <v>965.28431999999998</v>
      </c>
      <c r="L888" t="s">
        <v>932</v>
      </c>
      <c r="M888">
        <v>336</v>
      </c>
      <c r="N888" t="s">
        <v>3145</v>
      </c>
      <c r="O888" t="s">
        <v>3142</v>
      </c>
    </row>
    <row r="889" spans="1:15" x14ac:dyDescent="0.2">
      <c r="A889">
        <v>99</v>
      </c>
      <c r="B889" t="s">
        <v>2117</v>
      </c>
      <c r="C889" t="s">
        <v>758</v>
      </c>
      <c r="D889" t="s">
        <v>1909</v>
      </c>
      <c r="E889" t="s">
        <v>3136</v>
      </c>
      <c r="F889">
        <v>7.4999999999999997E-3</v>
      </c>
      <c r="G889">
        <v>66.42</v>
      </c>
      <c r="H889" t="s">
        <v>1781</v>
      </c>
      <c r="I889" t="s">
        <v>153</v>
      </c>
      <c r="J889">
        <v>0.49814999999999998</v>
      </c>
      <c r="K889">
        <v>167.3784</v>
      </c>
      <c r="L889" t="s">
        <v>932</v>
      </c>
      <c r="M889">
        <v>336</v>
      </c>
      <c r="N889" t="s">
        <v>3144</v>
      </c>
      <c r="O889" t="s">
        <v>3142</v>
      </c>
    </row>
    <row r="890" spans="1:15" x14ac:dyDescent="0.2">
      <c r="A890">
        <v>99</v>
      </c>
      <c r="B890" t="s">
        <v>2117</v>
      </c>
      <c r="C890" t="s">
        <v>758</v>
      </c>
      <c r="D890" t="s">
        <v>801</v>
      </c>
      <c r="E890" t="s">
        <v>402</v>
      </c>
      <c r="F890">
        <v>0</v>
      </c>
      <c r="G890">
        <v>10.3</v>
      </c>
      <c r="H890" t="s">
        <v>151</v>
      </c>
      <c r="I890" t="s">
        <v>153</v>
      </c>
      <c r="J890">
        <v>0</v>
      </c>
      <c r="K890">
        <v>0</v>
      </c>
      <c r="L890" t="s">
        <v>932</v>
      </c>
      <c r="M890">
        <v>336</v>
      </c>
      <c r="N890" t="s">
        <v>3147</v>
      </c>
      <c r="O890" t="s">
        <v>3142</v>
      </c>
    </row>
    <row r="891" spans="1:15" x14ac:dyDescent="0.2">
      <c r="A891">
        <v>99</v>
      </c>
      <c r="B891" t="s">
        <v>2117</v>
      </c>
      <c r="C891" t="s">
        <v>763</v>
      </c>
      <c r="D891" t="s">
        <v>801</v>
      </c>
      <c r="E891" t="s">
        <v>402</v>
      </c>
      <c r="F891">
        <v>0</v>
      </c>
      <c r="G891">
        <v>10.3</v>
      </c>
      <c r="H891" t="s">
        <v>151</v>
      </c>
      <c r="I891" t="s">
        <v>1781</v>
      </c>
      <c r="J891">
        <v>0</v>
      </c>
      <c r="K891">
        <v>0</v>
      </c>
      <c r="L891" t="s">
        <v>984</v>
      </c>
      <c r="M891">
        <v>336</v>
      </c>
      <c r="N891" t="s">
        <v>3155</v>
      </c>
      <c r="O891" t="s">
        <v>3150</v>
      </c>
    </row>
    <row r="892" spans="1:15" x14ac:dyDescent="0.2">
      <c r="A892">
        <v>99</v>
      </c>
      <c r="B892" t="s">
        <v>2117</v>
      </c>
      <c r="C892" t="s">
        <v>763</v>
      </c>
      <c r="D892" t="s">
        <v>1909</v>
      </c>
      <c r="E892" t="s">
        <v>3136</v>
      </c>
      <c r="F892">
        <v>7.4999999999999997E-3</v>
      </c>
      <c r="G892">
        <v>66.42</v>
      </c>
      <c r="H892" t="s">
        <v>1781</v>
      </c>
      <c r="I892" t="s">
        <v>1781</v>
      </c>
      <c r="J892">
        <v>0.49814999999999998</v>
      </c>
      <c r="K892">
        <v>167.3784</v>
      </c>
      <c r="L892" t="s">
        <v>984</v>
      </c>
      <c r="M892">
        <v>336</v>
      </c>
      <c r="N892" t="s">
        <v>3152</v>
      </c>
      <c r="O892" t="s">
        <v>3150</v>
      </c>
    </row>
    <row r="893" spans="1:15" x14ac:dyDescent="0.2">
      <c r="A893">
        <v>99</v>
      </c>
      <c r="B893" t="s">
        <v>2117</v>
      </c>
      <c r="C893" t="s">
        <v>763</v>
      </c>
      <c r="D893" t="s">
        <v>1482</v>
      </c>
      <c r="E893" t="s">
        <v>396</v>
      </c>
      <c r="F893">
        <v>1</v>
      </c>
      <c r="G893">
        <v>98.65</v>
      </c>
      <c r="H893" t="s">
        <v>1781</v>
      </c>
      <c r="I893" t="s">
        <v>1781</v>
      </c>
      <c r="J893">
        <v>98.65</v>
      </c>
      <c r="K893">
        <v>33146.400000000001</v>
      </c>
      <c r="L893" t="s">
        <v>984</v>
      </c>
      <c r="M893">
        <v>336</v>
      </c>
      <c r="N893" t="s">
        <v>3149</v>
      </c>
      <c r="O893" t="s">
        <v>3150</v>
      </c>
    </row>
    <row r="894" spans="1:15" x14ac:dyDescent="0.2">
      <c r="A894">
        <v>99</v>
      </c>
      <c r="B894" t="s">
        <v>2117</v>
      </c>
      <c r="C894" t="s">
        <v>763</v>
      </c>
      <c r="D894" t="s">
        <v>626</v>
      </c>
      <c r="E894" t="s">
        <v>1750</v>
      </c>
      <c r="F894">
        <v>4.8999999999999998E-3</v>
      </c>
      <c r="G894">
        <v>58.63</v>
      </c>
      <c r="H894" t="s">
        <v>1781</v>
      </c>
      <c r="I894" t="s">
        <v>1781</v>
      </c>
      <c r="J894">
        <v>0.28728700000000001</v>
      </c>
      <c r="K894">
        <v>96.528431999999995</v>
      </c>
      <c r="L894" t="s">
        <v>984</v>
      </c>
      <c r="M894">
        <v>336</v>
      </c>
      <c r="N894" t="s">
        <v>3153</v>
      </c>
      <c r="O894" t="s">
        <v>3150</v>
      </c>
    </row>
    <row r="895" spans="1:15" x14ac:dyDescent="0.2">
      <c r="A895">
        <v>99</v>
      </c>
      <c r="B895" t="s">
        <v>2117</v>
      </c>
      <c r="C895" t="s">
        <v>763</v>
      </c>
      <c r="D895" t="s">
        <v>498</v>
      </c>
      <c r="E895" t="s">
        <v>773</v>
      </c>
      <c r="F895">
        <v>1.2</v>
      </c>
      <c r="G895">
        <v>0</v>
      </c>
      <c r="H895" t="s">
        <v>84</v>
      </c>
      <c r="I895" t="s">
        <v>1781</v>
      </c>
      <c r="J895">
        <v>0</v>
      </c>
      <c r="K895">
        <v>0</v>
      </c>
      <c r="L895" t="s">
        <v>984</v>
      </c>
      <c r="M895">
        <v>336</v>
      </c>
      <c r="N895" t="s">
        <v>3156</v>
      </c>
      <c r="O895" t="s">
        <v>3150</v>
      </c>
    </row>
    <row r="896" spans="1:15" x14ac:dyDescent="0.2">
      <c r="A896">
        <v>99</v>
      </c>
      <c r="B896" t="s">
        <v>2117</v>
      </c>
      <c r="C896" t="s">
        <v>763</v>
      </c>
      <c r="D896" t="s">
        <v>160</v>
      </c>
      <c r="E896" t="s">
        <v>726</v>
      </c>
      <c r="F896">
        <v>3.5999999999999997E-2</v>
      </c>
      <c r="G896">
        <v>1.96</v>
      </c>
      <c r="H896" t="s">
        <v>1781</v>
      </c>
      <c r="I896" t="s">
        <v>1781</v>
      </c>
      <c r="J896">
        <v>7.0559999999999998E-2</v>
      </c>
      <c r="K896">
        <v>23.708159999999999</v>
      </c>
      <c r="L896" t="s">
        <v>984</v>
      </c>
      <c r="M896">
        <v>336</v>
      </c>
      <c r="N896" t="s">
        <v>3151</v>
      </c>
      <c r="O896" t="s">
        <v>3150</v>
      </c>
    </row>
    <row r="897" spans="1:15" x14ac:dyDescent="0.2">
      <c r="A897">
        <v>99</v>
      </c>
      <c r="B897" t="s">
        <v>2117</v>
      </c>
      <c r="C897" t="s">
        <v>763</v>
      </c>
      <c r="D897" t="s">
        <v>950</v>
      </c>
      <c r="E897" t="s">
        <v>1391</v>
      </c>
      <c r="F897">
        <v>0</v>
      </c>
      <c r="G897">
        <v>15.0943</v>
      </c>
      <c r="H897" t="s">
        <v>151</v>
      </c>
      <c r="I897" t="s">
        <v>1781</v>
      </c>
      <c r="J897">
        <v>0</v>
      </c>
      <c r="K897">
        <v>0</v>
      </c>
      <c r="L897" t="s">
        <v>984</v>
      </c>
      <c r="M897">
        <v>336</v>
      </c>
      <c r="N897" t="s">
        <v>3154</v>
      </c>
      <c r="O897" t="s">
        <v>3150</v>
      </c>
    </row>
    <row r="898" spans="1:15" x14ac:dyDescent="0.2">
      <c r="A898">
        <v>99</v>
      </c>
      <c r="B898" t="s">
        <v>2117</v>
      </c>
      <c r="C898" t="s">
        <v>633</v>
      </c>
      <c r="D898" t="s">
        <v>950</v>
      </c>
      <c r="E898" t="s">
        <v>1391</v>
      </c>
      <c r="F898">
        <v>0</v>
      </c>
      <c r="G898">
        <v>15.0943</v>
      </c>
      <c r="H898" t="s">
        <v>151</v>
      </c>
      <c r="I898" t="s">
        <v>1781</v>
      </c>
      <c r="J898">
        <v>0</v>
      </c>
      <c r="K898">
        <v>0</v>
      </c>
      <c r="L898" t="s">
        <v>1056</v>
      </c>
      <c r="M898">
        <v>108</v>
      </c>
      <c r="N898" t="s">
        <v>3161</v>
      </c>
      <c r="O898" t="s">
        <v>3159</v>
      </c>
    </row>
    <row r="899" spans="1:15" x14ac:dyDescent="0.2">
      <c r="A899">
        <v>99</v>
      </c>
      <c r="B899" t="s">
        <v>2117</v>
      </c>
      <c r="C899" t="s">
        <v>633</v>
      </c>
      <c r="D899" t="s">
        <v>1233</v>
      </c>
      <c r="E899" t="s">
        <v>3157</v>
      </c>
      <c r="F899">
        <v>1</v>
      </c>
      <c r="G899">
        <v>9412.7999999999993</v>
      </c>
      <c r="H899" t="s">
        <v>1781</v>
      </c>
      <c r="I899" t="s">
        <v>1781</v>
      </c>
      <c r="J899">
        <v>9412.7999999999993</v>
      </c>
      <c r="K899">
        <v>1016582.4</v>
      </c>
      <c r="L899" t="s">
        <v>1056</v>
      </c>
      <c r="M899">
        <v>108</v>
      </c>
      <c r="N899" t="s">
        <v>3158</v>
      </c>
      <c r="O899" t="s">
        <v>3159</v>
      </c>
    </row>
    <row r="900" spans="1:15" x14ac:dyDescent="0.2">
      <c r="A900">
        <v>99</v>
      </c>
      <c r="B900" t="s">
        <v>2117</v>
      </c>
      <c r="C900" t="s">
        <v>633</v>
      </c>
      <c r="D900" t="s">
        <v>1649</v>
      </c>
      <c r="E900" t="s">
        <v>1145</v>
      </c>
      <c r="F900">
        <v>0.5</v>
      </c>
      <c r="G900">
        <v>3.95</v>
      </c>
      <c r="H900" t="s">
        <v>1781</v>
      </c>
      <c r="I900" t="s">
        <v>1781</v>
      </c>
      <c r="J900">
        <v>1.9750000000000001</v>
      </c>
      <c r="K900">
        <v>213.3</v>
      </c>
      <c r="L900" t="s">
        <v>1056</v>
      </c>
      <c r="M900">
        <v>108</v>
      </c>
      <c r="N900" t="s">
        <v>3160</v>
      </c>
      <c r="O900" t="s">
        <v>3159</v>
      </c>
    </row>
    <row r="901" spans="1:15" x14ac:dyDescent="0.2">
      <c r="A901">
        <v>99</v>
      </c>
      <c r="B901" t="s">
        <v>2117</v>
      </c>
      <c r="C901" t="s">
        <v>633</v>
      </c>
      <c r="D901" t="s">
        <v>498</v>
      </c>
      <c r="E901" t="s">
        <v>773</v>
      </c>
      <c r="F901">
        <v>1.2</v>
      </c>
      <c r="G901">
        <v>0</v>
      </c>
      <c r="H901" t="s">
        <v>84</v>
      </c>
      <c r="I901" t="s">
        <v>1781</v>
      </c>
      <c r="J901">
        <v>0</v>
      </c>
      <c r="K901">
        <v>0</v>
      </c>
      <c r="L901" t="s">
        <v>1056</v>
      </c>
      <c r="M901">
        <v>108</v>
      </c>
      <c r="N901" t="s">
        <v>3163</v>
      </c>
      <c r="O901" t="s">
        <v>3159</v>
      </c>
    </row>
    <row r="902" spans="1:15" x14ac:dyDescent="0.2">
      <c r="A902">
        <v>99</v>
      </c>
      <c r="B902" t="s">
        <v>2117</v>
      </c>
      <c r="C902" t="s">
        <v>633</v>
      </c>
      <c r="D902" t="s">
        <v>801</v>
      </c>
      <c r="E902" t="s">
        <v>402</v>
      </c>
      <c r="F902">
        <v>0</v>
      </c>
      <c r="G902">
        <v>10.3</v>
      </c>
      <c r="H902" t="s">
        <v>151</v>
      </c>
      <c r="I902" t="s">
        <v>1781</v>
      </c>
      <c r="J902">
        <v>0</v>
      </c>
      <c r="K902">
        <v>0</v>
      </c>
      <c r="L902" t="s">
        <v>1056</v>
      </c>
      <c r="M902">
        <v>108</v>
      </c>
      <c r="N902" t="s">
        <v>3162</v>
      </c>
      <c r="O902" t="s">
        <v>3159</v>
      </c>
    </row>
    <row r="903" spans="1:15" x14ac:dyDescent="0.2">
      <c r="A903">
        <v>99</v>
      </c>
      <c r="B903" t="s">
        <v>2117</v>
      </c>
      <c r="C903" t="s">
        <v>4944</v>
      </c>
      <c r="D903" t="s">
        <v>801</v>
      </c>
      <c r="E903" t="s">
        <v>402</v>
      </c>
      <c r="F903">
        <v>0</v>
      </c>
      <c r="G903">
        <v>10.3</v>
      </c>
      <c r="H903" t="s">
        <v>151</v>
      </c>
      <c r="I903" t="s">
        <v>1781</v>
      </c>
      <c r="J903">
        <v>0</v>
      </c>
      <c r="K903">
        <v>0</v>
      </c>
      <c r="L903" t="s">
        <v>766</v>
      </c>
      <c r="M903">
        <v>24</v>
      </c>
      <c r="N903" t="s">
        <v>4945</v>
      </c>
      <c r="O903" t="s">
        <v>4946</v>
      </c>
    </row>
    <row r="904" spans="1:15" x14ac:dyDescent="0.2">
      <c r="A904">
        <v>99</v>
      </c>
      <c r="B904" t="s">
        <v>2117</v>
      </c>
      <c r="C904" t="s">
        <v>4944</v>
      </c>
      <c r="D904" t="s">
        <v>498</v>
      </c>
      <c r="E904" t="s">
        <v>773</v>
      </c>
      <c r="F904">
        <v>1.2</v>
      </c>
      <c r="G904">
        <v>0</v>
      </c>
      <c r="H904" t="s">
        <v>84</v>
      </c>
      <c r="I904" t="s">
        <v>1781</v>
      </c>
      <c r="J904">
        <v>0</v>
      </c>
      <c r="K904">
        <v>0</v>
      </c>
      <c r="L904" t="s">
        <v>766</v>
      </c>
      <c r="M904">
        <v>24</v>
      </c>
      <c r="N904" t="s">
        <v>4947</v>
      </c>
      <c r="O904" t="s">
        <v>4946</v>
      </c>
    </row>
    <row r="905" spans="1:15" x14ac:dyDescent="0.2">
      <c r="A905">
        <v>99</v>
      </c>
      <c r="B905" t="s">
        <v>2117</v>
      </c>
      <c r="C905" t="s">
        <v>4944</v>
      </c>
      <c r="D905" t="s">
        <v>1649</v>
      </c>
      <c r="E905" t="s">
        <v>1145</v>
      </c>
      <c r="F905">
        <v>2.1000000000000001E-2</v>
      </c>
      <c r="G905">
        <v>3.95</v>
      </c>
      <c r="H905" t="s">
        <v>1781</v>
      </c>
      <c r="I905" t="s">
        <v>1781</v>
      </c>
      <c r="J905">
        <v>8.2949999999999996E-2</v>
      </c>
      <c r="K905">
        <v>1.9907999999999999</v>
      </c>
      <c r="L905" t="s">
        <v>766</v>
      </c>
      <c r="M905">
        <v>24</v>
      </c>
      <c r="N905" t="s">
        <v>4948</v>
      </c>
      <c r="O905" t="s">
        <v>4946</v>
      </c>
    </row>
    <row r="906" spans="1:15" x14ac:dyDescent="0.2">
      <c r="A906">
        <v>99</v>
      </c>
      <c r="B906" t="s">
        <v>2117</v>
      </c>
      <c r="C906" t="s">
        <v>4944</v>
      </c>
      <c r="D906" t="s">
        <v>1346</v>
      </c>
      <c r="E906" t="s">
        <v>3356</v>
      </c>
      <c r="F906">
        <v>1</v>
      </c>
      <c r="G906">
        <v>689.85</v>
      </c>
      <c r="H906" t="s">
        <v>1781</v>
      </c>
      <c r="I906" t="s">
        <v>1781</v>
      </c>
      <c r="J906">
        <v>689.85</v>
      </c>
      <c r="K906">
        <v>16556.400000000001</v>
      </c>
      <c r="L906" t="s">
        <v>766</v>
      </c>
      <c r="M906">
        <v>24</v>
      </c>
      <c r="N906" t="s">
        <v>4949</v>
      </c>
      <c r="O906" t="s">
        <v>4946</v>
      </c>
    </row>
    <row r="907" spans="1:15" x14ac:dyDescent="0.2">
      <c r="A907">
        <v>99</v>
      </c>
      <c r="B907" t="s">
        <v>2117</v>
      </c>
      <c r="C907" t="s">
        <v>4944</v>
      </c>
      <c r="D907" t="s">
        <v>950</v>
      </c>
      <c r="E907" t="s">
        <v>1391</v>
      </c>
      <c r="F907">
        <v>0</v>
      </c>
      <c r="G907">
        <v>15.0943</v>
      </c>
      <c r="H907" t="s">
        <v>151</v>
      </c>
      <c r="I907" t="s">
        <v>1781</v>
      </c>
      <c r="J907">
        <v>0</v>
      </c>
      <c r="K907">
        <v>0</v>
      </c>
      <c r="L907" t="s">
        <v>766</v>
      </c>
      <c r="M907">
        <v>24</v>
      </c>
      <c r="N907" t="s">
        <v>4950</v>
      </c>
      <c r="O907" t="s">
        <v>4946</v>
      </c>
    </row>
    <row r="908" spans="1:15" x14ac:dyDescent="0.2">
      <c r="A908">
        <v>99</v>
      </c>
      <c r="B908" t="s">
        <v>2117</v>
      </c>
      <c r="C908" t="s">
        <v>543</v>
      </c>
      <c r="D908" t="s">
        <v>950</v>
      </c>
      <c r="E908" t="s">
        <v>1391</v>
      </c>
      <c r="F908">
        <v>0</v>
      </c>
      <c r="G908">
        <v>15.0943</v>
      </c>
      <c r="H908" t="s">
        <v>151</v>
      </c>
      <c r="I908" t="s">
        <v>1781</v>
      </c>
      <c r="J908">
        <v>0</v>
      </c>
      <c r="K908">
        <v>0</v>
      </c>
      <c r="L908" t="s">
        <v>762</v>
      </c>
      <c r="M908">
        <v>312</v>
      </c>
      <c r="N908" t="s">
        <v>3168</v>
      </c>
      <c r="O908" t="s">
        <v>3166</v>
      </c>
    </row>
    <row r="909" spans="1:15" x14ac:dyDescent="0.2">
      <c r="A909">
        <v>99</v>
      </c>
      <c r="B909" t="s">
        <v>2117</v>
      </c>
      <c r="C909" t="s">
        <v>543</v>
      </c>
      <c r="D909" t="s">
        <v>1649</v>
      </c>
      <c r="E909" t="s">
        <v>1145</v>
      </c>
      <c r="F909">
        <v>2.1000000000000001E-2</v>
      </c>
      <c r="G909">
        <v>3.95</v>
      </c>
      <c r="H909" t="s">
        <v>1781</v>
      </c>
      <c r="I909" t="s">
        <v>1781</v>
      </c>
      <c r="J909">
        <v>8.2949999999999996E-2</v>
      </c>
      <c r="K909">
        <v>25.880400000000002</v>
      </c>
      <c r="L909" t="s">
        <v>762</v>
      </c>
      <c r="M909">
        <v>312</v>
      </c>
      <c r="N909" t="s">
        <v>3167</v>
      </c>
      <c r="O909" t="s">
        <v>3166</v>
      </c>
    </row>
    <row r="910" spans="1:15" x14ac:dyDescent="0.2">
      <c r="A910">
        <v>99</v>
      </c>
      <c r="B910" t="s">
        <v>2117</v>
      </c>
      <c r="C910" t="s">
        <v>543</v>
      </c>
      <c r="D910" t="s">
        <v>498</v>
      </c>
      <c r="E910" t="s">
        <v>773</v>
      </c>
      <c r="F910">
        <v>1.2</v>
      </c>
      <c r="G910">
        <v>0</v>
      </c>
      <c r="H910" t="s">
        <v>84</v>
      </c>
      <c r="I910" t="s">
        <v>1781</v>
      </c>
      <c r="J910">
        <v>0</v>
      </c>
      <c r="K910">
        <v>0</v>
      </c>
      <c r="L910" t="s">
        <v>762</v>
      </c>
      <c r="M910">
        <v>312</v>
      </c>
      <c r="N910" t="s">
        <v>3170</v>
      </c>
      <c r="O910" t="s">
        <v>3166</v>
      </c>
    </row>
    <row r="911" spans="1:15" x14ac:dyDescent="0.2">
      <c r="A911">
        <v>99</v>
      </c>
      <c r="B911" t="s">
        <v>2117</v>
      </c>
      <c r="C911" t="s">
        <v>543</v>
      </c>
      <c r="D911" t="s">
        <v>801</v>
      </c>
      <c r="E911" t="s">
        <v>402</v>
      </c>
      <c r="F911">
        <v>0</v>
      </c>
      <c r="G911">
        <v>10.3</v>
      </c>
      <c r="H911" t="s">
        <v>151</v>
      </c>
      <c r="I911" t="s">
        <v>1781</v>
      </c>
      <c r="J911">
        <v>0</v>
      </c>
      <c r="K911">
        <v>0</v>
      </c>
      <c r="L911" t="s">
        <v>762</v>
      </c>
      <c r="M911">
        <v>312</v>
      </c>
      <c r="N911" t="s">
        <v>3169</v>
      </c>
      <c r="O911" t="s">
        <v>3166</v>
      </c>
    </row>
    <row r="912" spans="1:15" x14ac:dyDescent="0.2">
      <c r="A912">
        <v>99</v>
      </c>
      <c r="B912" t="s">
        <v>2117</v>
      </c>
      <c r="C912" t="s">
        <v>543</v>
      </c>
      <c r="D912" t="s">
        <v>1416</v>
      </c>
      <c r="E912" t="s">
        <v>3164</v>
      </c>
      <c r="F912">
        <v>1</v>
      </c>
      <c r="G912">
        <v>379</v>
      </c>
      <c r="H912" t="s">
        <v>1781</v>
      </c>
      <c r="I912" t="s">
        <v>1781</v>
      </c>
      <c r="J912">
        <v>379</v>
      </c>
      <c r="K912">
        <v>118248</v>
      </c>
      <c r="L912" t="s">
        <v>762</v>
      </c>
      <c r="M912">
        <v>312</v>
      </c>
      <c r="N912" t="s">
        <v>3165</v>
      </c>
      <c r="O912" t="s">
        <v>3166</v>
      </c>
    </row>
    <row r="913" spans="1:15" x14ac:dyDescent="0.2">
      <c r="A913">
        <v>99</v>
      </c>
      <c r="B913" t="s">
        <v>2117</v>
      </c>
      <c r="C913" t="s">
        <v>576</v>
      </c>
      <c r="D913" t="s">
        <v>801</v>
      </c>
      <c r="E913" t="s">
        <v>402</v>
      </c>
      <c r="F913">
        <v>0</v>
      </c>
      <c r="G913">
        <v>10.3</v>
      </c>
      <c r="H913" t="s">
        <v>151</v>
      </c>
      <c r="I913" t="s">
        <v>1781</v>
      </c>
      <c r="J913">
        <v>0</v>
      </c>
      <c r="K913">
        <v>0</v>
      </c>
      <c r="L913" t="s">
        <v>770</v>
      </c>
      <c r="M913">
        <v>336</v>
      </c>
      <c r="N913" t="s">
        <v>3176</v>
      </c>
      <c r="O913" t="s">
        <v>3173</v>
      </c>
    </row>
    <row r="914" spans="1:15" x14ac:dyDescent="0.2">
      <c r="A914">
        <v>99</v>
      </c>
      <c r="B914" t="s">
        <v>2117</v>
      </c>
      <c r="C914" t="s">
        <v>576</v>
      </c>
      <c r="D914" t="s">
        <v>1419</v>
      </c>
      <c r="E914" t="s">
        <v>3171</v>
      </c>
      <c r="F914">
        <v>1</v>
      </c>
      <c r="G914">
        <v>158.55000000000001</v>
      </c>
      <c r="H914" t="s">
        <v>1781</v>
      </c>
      <c r="I914" t="s">
        <v>1781</v>
      </c>
      <c r="J914">
        <v>158.55000000000001</v>
      </c>
      <c r="K914">
        <v>53272.800000000003</v>
      </c>
      <c r="L914" t="s">
        <v>770</v>
      </c>
      <c r="M914">
        <v>336</v>
      </c>
      <c r="N914" t="s">
        <v>3172</v>
      </c>
      <c r="O914" t="s">
        <v>3173</v>
      </c>
    </row>
    <row r="915" spans="1:15" x14ac:dyDescent="0.2">
      <c r="A915">
        <v>99</v>
      </c>
      <c r="B915" t="s">
        <v>2117</v>
      </c>
      <c r="C915" t="s">
        <v>576</v>
      </c>
      <c r="D915" t="s">
        <v>498</v>
      </c>
      <c r="E915" t="s">
        <v>773</v>
      </c>
      <c r="F915">
        <v>1.2</v>
      </c>
      <c r="G915">
        <v>0</v>
      </c>
      <c r="H915" t="s">
        <v>84</v>
      </c>
      <c r="I915" t="s">
        <v>1781</v>
      </c>
      <c r="J915">
        <v>0</v>
      </c>
      <c r="K915">
        <v>0</v>
      </c>
      <c r="L915" t="s">
        <v>770</v>
      </c>
      <c r="M915">
        <v>336</v>
      </c>
      <c r="N915" t="s">
        <v>3177</v>
      </c>
      <c r="O915" t="s">
        <v>3173</v>
      </c>
    </row>
    <row r="916" spans="1:15" x14ac:dyDescent="0.2">
      <c r="A916">
        <v>99</v>
      </c>
      <c r="B916" t="s">
        <v>2117</v>
      </c>
      <c r="C916" t="s">
        <v>576</v>
      </c>
      <c r="D916" t="s">
        <v>1649</v>
      </c>
      <c r="E916" t="s">
        <v>1145</v>
      </c>
      <c r="F916">
        <v>2.1000000000000001E-2</v>
      </c>
      <c r="G916">
        <v>3.95</v>
      </c>
      <c r="H916" t="s">
        <v>1781</v>
      </c>
      <c r="I916" t="s">
        <v>1781</v>
      </c>
      <c r="J916">
        <v>8.2949999999999996E-2</v>
      </c>
      <c r="K916">
        <v>27.871200000000002</v>
      </c>
      <c r="L916" t="s">
        <v>770</v>
      </c>
      <c r="M916">
        <v>336</v>
      </c>
      <c r="N916" t="s">
        <v>3174</v>
      </c>
      <c r="O916" t="s">
        <v>3173</v>
      </c>
    </row>
    <row r="917" spans="1:15" x14ac:dyDescent="0.2">
      <c r="A917">
        <v>99</v>
      </c>
      <c r="B917" t="s">
        <v>2117</v>
      </c>
      <c r="C917" t="s">
        <v>576</v>
      </c>
      <c r="D917" t="s">
        <v>950</v>
      </c>
      <c r="E917" t="s">
        <v>1391</v>
      </c>
      <c r="F917">
        <v>0</v>
      </c>
      <c r="G917">
        <v>15.0943</v>
      </c>
      <c r="H917" t="s">
        <v>151</v>
      </c>
      <c r="I917" t="s">
        <v>1781</v>
      </c>
      <c r="J917">
        <v>0</v>
      </c>
      <c r="K917">
        <v>0</v>
      </c>
      <c r="L917" t="s">
        <v>770</v>
      </c>
      <c r="M917">
        <v>336</v>
      </c>
      <c r="N917" t="s">
        <v>3175</v>
      </c>
      <c r="O917" t="s">
        <v>3173</v>
      </c>
    </row>
    <row r="918" spans="1:15" x14ac:dyDescent="0.2">
      <c r="A918">
        <v>99</v>
      </c>
      <c r="B918" t="s">
        <v>2117</v>
      </c>
      <c r="C918" t="s">
        <v>1400</v>
      </c>
      <c r="D918" t="s">
        <v>950</v>
      </c>
      <c r="E918" t="s">
        <v>1391</v>
      </c>
      <c r="F918">
        <v>0</v>
      </c>
      <c r="G918">
        <v>15.0943</v>
      </c>
      <c r="H918" t="s">
        <v>151</v>
      </c>
      <c r="I918" t="s">
        <v>1781</v>
      </c>
      <c r="J918">
        <v>0</v>
      </c>
      <c r="K918">
        <v>0</v>
      </c>
      <c r="L918" t="s">
        <v>1851</v>
      </c>
      <c r="M918">
        <v>9</v>
      </c>
      <c r="N918" t="s">
        <v>3183</v>
      </c>
      <c r="O918" t="s">
        <v>3179</v>
      </c>
    </row>
    <row r="919" spans="1:15" x14ac:dyDescent="0.2">
      <c r="A919">
        <v>99</v>
      </c>
      <c r="B919" t="s">
        <v>2117</v>
      </c>
      <c r="C919" t="s">
        <v>1400</v>
      </c>
      <c r="D919" t="s">
        <v>1832</v>
      </c>
      <c r="E919" t="s">
        <v>3013</v>
      </c>
      <c r="F919">
        <v>1</v>
      </c>
      <c r="G919">
        <v>10.83</v>
      </c>
      <c r="H919" t="s">
        <v>1781</v>
      </c>
      <c r="I919" t="s">
        <v>1781</v>
      </c>
      <c r="J919">
        <v>10.83</v>
      </c>
      <c r="K919">
        <v>97.47</v>
      </c>
      <c r="L919" t="s">
        <v>1851</v>
      </c>
      <c r="M919">
        <v>9</v>
      </c>
      <c r="N919" t="s">
        <v>3180</v>
      </c>
      <c r="O919" t="s">
        <v>3179</v>
      </c>
    </row>
    <row r="920" spans="1:15" x14ac:dyDescent="0.2">
      <c r="A920">
        <v>99</v>
      </c>
      <c r="B920" t="s">
        <v>2117</v>
      </c>
      <c r="C920" t="s">
        <v>1400</v>
      </c>
      <c r="D920" t="s">
        <v>147</v>
      </c>
      <c r="E920" t="s">
        <v>3010</v>
      </c>
      <c r="F920">
        <v>1</v>
      </c>
      <c r="G920">
        <v>1007.09</v>
      </c>
      <c r="H920" t="s">
        <v>1781</v>
      </c>
      <c r="I920" t="s">
        <v>1781</v>
      </c>
      <c r="J920">
        <v>1007.09</v>
      </c>
      <c r="K920">
        <v>9063.81</v>
      </c>
      <c r="L920" t="s">
        <v>1851</v>
      </c>
      <c r="M920">
        <v>9</v>
      </c>
      <c r="N920" t="s">
        <v>3178</v>
      </c>
      <c r="O920" t="s">
        <v>3179</v>
      </c>
    </row>
    <row r="921" spans="1:15" x14ac:dyDescent="0.2">
      <c r="A921">
        <v>99</v>
      </c>
      <c r="B921" t="s">
        <v>2117</v>
      </c>
      <c r="C921" t="s">
        <v>1400</v>
      </c>
      <c r="D921" t="s">
        <v>708</v>
      </c>
      <c r="E921" t="s">
        <v>865</v>
      </c>
      <c r="F921">
        <v>8.8099999999999998E-2</v>
      </c>
      <c r="G921">
        <v>13.32</v>
      </c>
      <c r="H921" t="s">
        <v>1052</v>
      </c>
      <c r="I921" t="s">
        <v>1781</v>
      </c>
      <c r="J921">
        <v>1.173492</v>
      </c>
      <c r="K921">
        <v>10.561427999999999</v>
      </c>
      <c r="L921" t="s">
        <v>1851</v>
      </c>
      <c r="M921">
        <v>9</v>
      </c>
      <c r="N921" t="s">
        <v>3181</v>
      </c>
      <c r="O921" t="s">
        <v>3179</v>
      </c>
    </row>
    <row r="922" spans="1:15" x14ac:dyDescent="0.2">
      <c r="A922">
        <v>99</v>
      </c>
      <c r="B922" t="s">
        <v>2117</v>
      </c>
      <c r="C922" t="s">
        <v>1400</v>
      </c>
      <c r="D922" t="s">
        <v>498</v>
      </c>
      <c r="E922" t="s">
        <v>773</v>
      </c>
      <c r="F922">
        <v>1.2</v>
      </c>
      <c r="G922">
        <v>0</v>
      </c>
      <c r="H922" t="s">
        <v>84</v>
      </c>
      <c r="I922" t="s">
        <v>1781</v>
      </c>
      <c r="J922">
        <v>0</v>
      </c>
      <c r="K922">
        <v>0</v>
      </c>
      <c r="L922" t="s">
        <v>1851</v>
      </c>
      <c r="M922">
        <v>9</v>
      </c>
      <c r="N922" t="s">
        <v>3185</v>
      </c>
      <c r="O922" t="s">
        <v>3179</v>
      </c>
    </row>
    <row r="923" spans="1:15" x14ac:dyDescent="0.2">
      <c r="A923">
        <v>99</v>
      </c>
      <c r="B923" t="s">
        <v>2117</v>
      </c>
      <c r="C923" t="s">
        <v>1400</v>
      </c>
      <c r="D923" t="s">
        <v>880</v>
      </c>
      <c r="E923" t="s">
        <v>3016</v>
      </c>
      <c r="F923">
        <v>2</v>
      </c>
      <c r="G923">
        <v>26.39</v>
      </c>
      <c r="H923" t="s">
        <v>1781</v>
      </c>
      <c r="I923" t="s">
        <v>1781</v>
      </c>
      <c r="J923">
        <v>52.78</v>
      </c>
      <c r="K923">
        <v>475.02</v>
      </c>
      <c r="L923" t="s">
        <v>1851</v>
      </c>
      <c r="M923">
        <v>9</v>
      </c>
      <c r="N923" t="s">
        <v>3182</v>
      </c>
      <c r="O923" t="s">
        <v>3179</v>
      </c>
    </row>
    <row r="924" spans="1:15" x14ac:dyDescent="0.2">
      <c r="A924">
        <v>99</v>
      </c>
      <c r="B924" t="s">
        <v>2117</v>
      </c>
      <c r="C924" t="s">
        <v>1400</v>
      </c>
      <c r="D924" t="s">
        <v>801</v>
      </c>
      <c r="E924" t="s">
        <v>402</v>
      </c>
      <c r="F924">
        <v>0</v>
      </c>
      <c r="G924">
        <v>10.3</v>
      </c>
      <c r="H924" t="s">
        <v>151</v>
      </c>
      <c r="I924" t="s">
        <v>1781</v>
      </c>
      <c r="J924">
        <v>0</v>
      </c>
      <c r="K924">
        <v>0</v>
      </c>
      <c r="L924" t="s">
        <v>1851</v>
      </c>
      <c r="M924">
        <v>9</v>
      </c>
      <c r="N924" t="s">
        <v>3184</v>
      </c>
      <c r="O924" t="s">
        <v>3179</v>
      </c>
    </row>
    <row r="925" spans="1:15" x14ac:dyDescent="0.2">
      <c r="A925">
        <v>99</v>
      </c>
      <c r="B925" t="s">
        <v>2117</v>
      </c>
      <c r="C925" t="s">
        <v>1405</v>
      </c>
      <c r="D925" t="s">
        <v>801</v>
      </c>
      <c r="E925" t="s">
        <v>402</v>
      </c>
      <c r="F925">
        <v>0</v>
      </c>
      <c r="G925">
        <v>10.3</v>
      </c>
      <c r="H925" t="s">
        <v>151</v>
      </c>
      <c r="I925" t="s">
        <v>1781</v>
      </c>
      <c r="J925">
        <v>0</v>
      </c>
      <c r="K925">
        <v>0</v>
      </c>
      <c r="L925" t="s">
        <v>1861</v>
      </c>
      <c r="M925">
        <v>18</v>
      </c>
      <c r="N925" t="s">
        <v>3192</v>
      </c>
      <c r="O925" t="s">
        <v>3187</v>
      </c>
    </row>
    <row r="926" spans="1:15" x14ac:dyDescent="0.2">
      <c r="A926">
        <v>99</v>
      </c>
      <c r="B926" t="s">
        <v>2117</v>
      </c>
      <c r="C926" t="s">
        <v>1405</v>
      </c>
      <c r="D926" t="s">
        <v>498</v>
      </c>
      <c r="E926" t="s">
        <v>773</v>
      </c>
      <c r="F926">
        <v>1.2</v>
      </c>
      <c r="G926">
        <v>0</v>
      </c>
      <c r="H926" t="s">
        <v>84</v>
      </c>
      <c r="I926" t="s">
        <v>1781</v>
      </c>
      <c r="J926">
        <v>0</v>
      </c>
      <c r="K926">
        <v>0</v>
      </c>
      <c r="L926" t="s">
        <v>1861</v>
      </c>
      <c r="M926">
        <v>18</v>
      </c>
      <c r="N926" t="s">
        <v>3193</v>
      </c>
      <c r="O926" t="s">
        <v>3187</v>
      </c>
    </row>
    <row r="927" spans="1:15" x14ac:dyDescent="0.2">
      <c r="A927">
        <v>99</v>
      </c>
      <c r="B927" t="s">
        <v>2117</v>
      </c>
      <c r="C927" t="s">
        <v>1405</v>
      </c>
      <c r="D927" t="s">
        <v>148</v>
      </c>
      <c r="E927" t="s">
        <v>555</v>
      </c>
      <c r="F927">
        <v>1</v>
      </c>
      <c r="G927">
        <v>2217</v>
      </c>
      <c r="H927" t="s">
        <v>1781</v>
      </c>
      <c r="I927" t="s">
        <v>1781</v>
      </c>
      <c r="J927">
        <v>2217</v>
      </c>
      <c r="K927">
        <v>39906</v>
      </c>
      <c r="L927" t="s">
        <v>1861</v>
      </c>
      <c r="M927">
        <v>18</v>
      </c>
      <c r="N927" t="s">
        <v>3186</v>
      </c>
      <c r="O927" t="s">
        <v>3187</v>
      </c>
    </row>
    <row r="928" spans="1:15" x14ac:dyDescent="0.2">
      <c r="A928">
        <v>99</v>
      </c>
      <c r="B928" t="s">
        <v>2117</v>
      </c>
      <c r="C928" t="s">
        <v>1405</v>
      </c>
      <c r="D928" t="s">
        <v>885</v>
      </c>
      <c r="E928" t="s">
        <v>3086</v>
      </c>
      <c r="F928">
        <v>2</v>
      </c>
      <c r="G928">
        <v>19.559999999999999</v>
      </c>
      <c r="H928" t="s">
        <v>1781</v>
      </c>
      <c r="I928" t="s">
        <v>1781</v>
      </c>
      <c r="J928">
        <v>39.119999999999997</v>
      </c>
      <c r="K928">
        <v>704.16</v>
      </c>
      <c r="L928" t="s">
        <v>1861</v>
      </c>
      <c r="M928">
        <v>18</v>
      </c>
      <c r="N928" t="s">
        <v>3190</v>
      </c>
      <c r="O928" t="s">
        <v>3187</v>
      </c>
    </row>
    <row r="929" spans="1:15" x14ac:dyDescent="0.2">
      <c r="A929">
        <v>99</v>
      </c>
      <c r="B929" t="s">
        <v>2117</v>
      </c>
      <c r="C929" t="s">
        <v>1405</v>
      </c>
      <c r="D929" t="s">
        <v>950</v>
      </c>
      <c r="E929" t="s">
        <v>1391</v>
      </c>
      <c r="F929">
        <v>0</v>
      </c>
      <c r="G929">
        <v>15.0943</v>
      </c>
      <c r="H929" t="s">
        <v>151</v>
      </c>
      <c r="I929" t="s">
        <v>1781</v>
      </c>
      <c r="J929">
        <v>0</v>
      </c>
      <c r="K929">
        <v>0</v>
      </c>
      <c r="L929" t="s">
        <v>1861</v>
      </c>
      <c r="M929">
        <v>18</v>
      </c>
      <c r="N929" t="s">
        <v>3191</v>
      </c>
      <c r="O929" t="s">
        <v>3187</v>
      </c>
    </row>
    <row r="930" spans="1:15" x14ac:dyDescent="0.2">
      <c r="A930">
        <v>99</v>
      </c>
      <c r="B930" t="s">
        <v>2117</v>
      </c>
      <c r="C930" t="s">
        <v>1405</v>
      </c>
      <c r="D930" t="s">
        <v>1830</v>
      </c>
      <c r="E930" t="s">
        <v>3188</v>
      </c>
      <c r="F930">
        <v>1</v>
      </c>
      <c r="G930">
        <v>8.27</v>
      </c>
      <c r="H930" t="s">
        <v>1781</v>
      </c>
      <c r="I930" t="s">
        <v>1781</v>
      </c>
      <c r="J930">
        <v>8.27</v>
      </c>
      <c r="K930">
        <v>148.86000000000001</v>
      </c>
      <c r="L930" t="s">
        <v>1861</v>
      </c>
      <c r="M930">
        <v>18</v>
      </c>
      <c r="N930" t="s">
        <v>3189</v>
      </c>
      <c r="O930" t="s">
        <v>3187</v>
      </c>
    </row>
    <row r="931" spans="1:15" x14ac:dyDescent="0.2">
      <c r="A931">
        <v>99</v>
      </c>
      <c r="B931" t="s">
        <v>2117</v>
      </c>
      <c r="C931" t="s">
        <v>1412</v>
      </c>
      <c r="D931" t="s">
        <v>950</v>
      </c>
      <c r="E931" t="s">
        <v>1391</v>
      </c>
      <c r="F931">
        <v>0</v>
      </c>
      <c r="G931">
        <v>15.0943</v>
      </c>
      <c r="H931" t="s">
        <v>151</v>
      </c>
      <c r="I931" t="s">
        <v>1781</v>
      </c>
      <c r="J931">
        <v>0</v>
      </c>
      <c r="K931">
        <v>0</v>
      </c>
      <c r="L931" t="s">
        <v>1847</v>
      </c>
      <c r="M931">
        <v>47</v>
      </c>
      <c r="N931" t="s">
        <v>3199</v>
      </c>
      <c r="O931" t="s">
        <v>3195</v>
      </c>
    </row>
    <row r="932" spans="1:15" x14ac:dyDescent="0.2">
      <c r="A932">
        <v>99</v>
      </c>
      <c r="B932" t="s">
        <v>2117</v>
      </c>
      <c r="C932" t="s">
        <v>1412</v>
      </c>
      <c r="D932" t="s">
        <v>1832</v>
      </c>
      <c r="E932" t="s">
        <v>3013</v>
      </c>
      <c r="F932">
        <v>1</v>
      </c>
      <c r="G932">
        <v>10.83</v>
      </c>
      <c r="H932" t="s">
        <v>1781</v>
      </c>
      <c r="I932" t="s">
        <v>1781</v>
      </c>
      <c r="J932">
        <v>10.83</v>
      </c>
      <c r="K932">
        <v>509.01</v>
      </c>
      <c r="L932" t="s">
        <v>1847</v>
      </c>
      <c r="M932">
        <v>47</v>
      </c>
      <c r="N932" t="s">
        <v>3196</v>
      </c>
      <c r="O932" t="s">
        <v>3195</v>
      </c>
    </row>
    <row r="933" spans="1:15" x14ac:dyDescent="0.2">
      <c r="A933">
        <v>99</v>
      </c>
      <c r="B933" t="s">
        <v>2117</v>
      </c>
      <c r="C933" t="s">
        <v>1412</v>
      </c>
      <c r="D933" t="s">
        <v>179</v>
      </c>
      <c r="E933" t="s">
        <v>3021</v>
      </c>
      <c r="F933">
        <v>1</v>
      </c>
      <c r="G933">
        <v>801.73</v>
      </c>
      <c r="H933" t="s">
        <v>1781</v>
      </c>
      <c r="I933" t="s">
        <v>1781</v>
      </c>
      <c r="J933">
        <v>801.73</v>
      </c>
      <c r="K933">
        <v>37681.31</v>
      </c>
      <c r="L933" t="s">
        <v>1847</v>
      </c>
      <c r="M933">
        <v>47</v>
      </c>
      <c r="N933" t="s">
        <v>3194</v>
      </c>
      <c r="O933" t="s">
        <v>3195</v>
      </c>
    </row>
    <row r="934" spans="1:15" x14ac:dyDescent="0.2">
      <c r="A934">
        <v>99</v>
      </c>
      <c r="B934" t="s">
        <v>2117</v>
      </c>
      <c r="C934" t="s">
        <v>1412</v>
      </c>
      <c r="D934" t="s">
        <v>708</v>
      </c>
      <c r="E934" t="s">
        <v>865</v>
      </c>
      <c r="F934">
        <v>8.8099999999999998E-2</v>
      </c>
      <c r="G934">
        <v>13.32</v>
      </c>
      <c r="H934" t="s">
        <v>1052</v>
      </c>
      <c r="I934" t="s">
        <v>1781</v>
      </c>
      <c r="J934">
        <v>1.173492</v>
      </c>
      <c r="K934">
        <v>55.154124000000003</v>
      </c>
      <c r="L934" t="s">
        <v>1847</v>
      </c>
      <c r="M934">
        <v>47</v>
      </c>
      <c r="N934" t="s">
        <v>3197</v>
      </c>
      <c r="O934" t="s">
        <v>3195</v>
      </c>
    </row>
    <row r="935" spans="1:15" x14ac:dyDescent="0.2">
      <c r="A935">
        <v>99</v>
      </c>
      <c r="B935" t="s">
        <v>2117</v>
      </c>
      <c r="C935" t="s">
        <v>1412</v>
      </c>
      <c r="D935" t="s">
        <v>498</v>
      </c>
      <c r="E935" t="s">
        <v>773</v>
      </c>
      <c r="F935">
        <v>1.2</v>
      </c>
      <c r="G935">
        <v>0</v>
      </c>
      <c r="H935" t="s">
        <v>84</v>
      </c>
      <c r="I935" t="s">
        <v>1781</v>
      </c>
      <c r="J935">
        <v>0</v>
      </c>
      <c r="K935">
        <v>0</v>
      </c>
      <c r="L935" t="s">
        <v>1847</v>
      </c>
      <c r="M935">
        <v>47</v>
      </c>
      <c r="N935" t="s">
        <v>3201</v>
      </c>
      <c r="O935" t="s">
        <v>3195</v>
      </c>
    </row>
    <row r="936" spans="1:15" x14ac:dyDescent="0.2">
      <c r="A936">
        <v>99</v>
      </c>
      <c r="B936" t="s">
        <v>2117</v>
      </c>
      <c r="C936" t="s">
        <v>1412</v>
      </c>
      <c r="D936" t="s">
        <v>880</v>
      </c>
      <c r="E936" t="s">
        <v>3016</v>
      </c>
      <c r="F936">
        <v>2</v>
      </c>
      <c r="G936">
        <v>26.39</v>
      </c>
      <c r="H936" t="s">
        <v>1781</v>
      </c>
      <c r="I936" t="s">
        <v>1781</v>
      </c>
      <c r="J936">
        <v>52.78</v>
      </c>
      <c r="K936">
        <v>2480.66</v>
      </c>
      <c r="L936" t="s">
        <v>1847</v>
      </c>
      <c r="M936">
        <v>47</v>
      </c>
      <c r="N936" t="s">
        <v>3198</v>
      </c>
      <c r="O936" t="s">
        <v>3195</v>
      </c>
    </row>
    <row r="937" spans="1:15" x14ac:dyDescent="0.2">
      <c r="A937">
        <v>99</v>
      </c>
      <c r="B937" t="s">
        <v>2117</v>
      </c>
      <c r="C937" t="s">
        <v>1412</v>
      </c>
      <c r="D937" t="s">
        <v>801</v>
      </c>
      <c r="E937" t="s">
        <v>402</v>
      </c>
      <c r="F937">
        <v>0</v>
      </c>
      <c r="G937">
        <v>10.3</v>
      </c>
      <c r="H937" t="s">
        <v>151</v>
      </c>
      <c r="I937" t="s">
        <v>1781</v>
      </c>
      <c r="J937">
        <v>0</v>
      </c>
      <c r="K937">
        <v>0</v>
      </c>
      <c r="L937" t="s">
        <v>1847</v>
      </c>
      <c r="M937">
        <v>47</v>
      </c>
      <c r="N937" t="s">
        <v>3200</v>
      </c>
      <c r="O937" t="s">
        <v>3195</v>
      </c>
    </row>
    <row r="938" spans="1:15" x14ac:dyDescent="0.2">
      <c r="A938">
        <v>99</v>
      </c>
      <c r="B938" t="s">
        <v>2117</v>
      </c>
      <c r="C938" t="s">
        <v>1291</v>
      </c>
      <c r="D938" t="s">
        <v>801</v>
      </c>
      <c r="E938" t="s">
        <v>402</v>
      </c>
      <c r="F938">
        <v>0</v>
      </c>
      <c r="G938">
        <v>10.3</v>
      </c>
      <c r="H938" t="s">
        <v>151</v>
      </c>
      <c r="I938" t="s">
        <v>1781</v>
      </c>
      <c r="J938">
        <v>0</v>
      </c>
      <c r="K938">
        <v>0</v>
      </c>
      <c r="L938" t="s">
        <v>1865</v>
      </c>
      <c r="M938">
        <v>2</v>
      </c>
      <c r="N938" t="s">
        <v>3208</v>
      </c>
      <c r="O938" t="s">
        <v>3204</v>
      </c>
    </row>
    <row r="939" spans="1:15" x14ac:dyDescent="0.2">
      <c r="A939">
        <v>99</v>
      </c>
      <c r="B939" t="s">
        <v>2117</v>
      </c>
      <c r="C939" t="s">
        <v>1291</v>
      </c>
      <c r="D939" t="s">
        <v>8</v>
      </c>
      <c r="E939" t="s">
        <v>3202</v>
      </c>
      <c r="F939">
        <v>1</v>
      </c>
      <c r="G939">
        <v>1254</v>
      </c>
      <c r="H939" t="s">
        <v>1781</v>
      </c>
      <c r="I939" t="s">
        <v>1781</v>
      </c>
      <c r="J939">
        <v>1254</v>
      </c>
      <c r="K939">
        <v>2508</v>
      </c>
      <c r="L939" t="s">
        <v>1865</v>
      </c>
      <c r="M939">
        <v>2</v>
      </c>
      <c r="N939" t="s">
        <v>3203</v>
      </c>
      <c r="O939" t="s">
        <v>3204</v>
      </c>
    </row>
    <row r="940" spans="1:15" x14ac:dyDescent="0.2">
      <c r="A940">
        <v>99</v>
      </c>
      <c r="B940" t="s">
        <v>2117</v>
      </c>
      <c r="C940" t="s">
        <v>1291</v>
      </c>
      <c r="D940" t="s">
        <v>498</v>
      </c>
      <c r="E940" t="s">
        <v>773</v>
      </c>
      <c r="F940">
        <v>1.2</v>
      </c>
      <c r="G940">
        <v>0</v>
      </c>
      <c r="H940" t="s">
        <v>84</v>
      </c>
      <c r="I940" t="s">
        <v>1781</v>
      </c>
      <c r="J940">
        <v>0</v>
      </c>
      <c r="K940">
        <v>0</v>
      </c>
      <c r="L940" t="s">
        <v>1865</v>
      </c>
      <c r="M940">
        <v>2</v>
      </c>
      <c r="N940" t="s">
        <v>3209</v>
      </c>
      <c r="O940" t="s">
        <v>3204</v>
      </c>
    </row>
    <row r="941" spans="1:15" x14ac:dyDescent="0.2">
      <c r="A941">
        <v>99</v>
      </c>
      <c r="B941" t="s">
        <v>2117</v>
      </c>
      <c r="C941" t="s">
        <v>1291</v>
      </c>
      <c r="D941" t="s">
        <v>708</v>
      </c>
      <c r="E941" t="s">
        <v>865</v>
      </c>
      <c r="F941">
        <v>3.04E-2</v>
      </c>
      <c r="G941">
        <v>13.32</v>
      </c>
      <c r="H941" t="s">
        <v>1052</v>
      </c>
      <c r="I941" t="s">
        <v>1781</v>
      </c>
      <c r="J941">
        <v>0.40492800000000001</v>
      </c>
      <c r="K941">
        <v>0.80985600000000002</v>
      </c>
      <c r="L941" t="s">
        <v>1865</v>
      </c>
      <c r="M941">
        <v>2</v>
      </c>
      <c r="N941" t="s">
        <v>3205</v>
      </c>
      <c r="O941" t="s">
        <v>3204</v>
      </c>
    </row>
    <row r="942" spans="1:15" x14ac:dyDescent="0.2">
      <c r="A942">
        <v>99</v>
      </c>
      <c r="B942" t="s">
        <v>2117</v>
      </c>
      <c r="C942" t="s">
        <v>1291</v>
      </c>
      <c r="D942" t="s">
        <v>885</v>
      </c>
      <c r="E942" t="s">
        <v>3086</v>
      </c>
      <c r="F942">
        <v>2</v>
      </c>
      <c r="G942">
        <v>19.559999999999999</v>
      </c>
      <c r="H942" t="s">
        <v>1781</v>
      </c>
      <c r="I942" t="s">
        <v>1781</v>
      </c>
      <c r="J942">
        <v>39.119999999999997</v>
      </c>
      <c r="K942">
        <v>78.239999999999995</v>
      </c>
      <c r="L942" t="s">
        <v>1865</v>
      </c>
      <c r="M942">
        <v>2</v>
      </c>
      <c r="N942" t="s">
        <v>3206</v>
      </c>
      <c r="O942" t="s">
        <v>3204</v>
      </c>
    </row>
    <row r="943" spans="1:15" x14ac:dyDescent="0.2">
      <c r="A943">
        <v>99</v>
      </c>
      <c r="B943" t="s">
        <v>2117</v>
      </c>
      <c r="C943" t="s">
        <v>1291</v>
      </c>
      <c r="D943" t="s">
        <v>950</v>
      </c>
      <c r="E943" t="s">
        <v>1391</v>
      </c>
      <c r="F943">
        <v>0</v>
      </c>
      <c r="G943">
        <v>15.0943</v>
      </c>
      <c r="H943" t="s">
        <v>151</v>
      </c>
      <c r="I943" t="s">
        <v>1781</v>
      </c>
      <c r="J943">
        <v>0</v>
      </c>
      <c r="K943">
        <v>0</v>
      </c>
      <c r="L943" t="s">
        <v>1865</v>
      </c>
      <c r="M943">
        <v>2</v>
      </c>
      <c r="N943" t="s">
        <v>3207</v>
      </c>
      <c r="O943" t="s">
        <v>3204</v>
      </c>
    </row>
    <row r="944" spans="1:15" x14ac:dyDescent="0.2">
      <c r="A944">
        <v>99</v>
      </c>
      <c r="B944" t="s">
        <v>2117</v>
      </c>
      <c r="C944" t="s">
        <v>1321</v>
      </c>
      <c r="D944" t="s">
        <v>637</v>
      </c>
      <c r="E944" t="s">
        <v>1256</v>
      </c>
      <c r="F944">
        <v>0.52710000000000001</v>
      </c>
      <c r="G944">
        <v>35</v>
      </c>
      <c r="H944" t="s">
        <v>1052</v>
      </c>
      <c r="I944" t="s">
        <v>1781</v>
      </c>
      <c r="J944">
        <v>18.448499999999999</v>
      </c>
      <c r="K944">
        <v>903.97649999999999</v>
      </c>
      <c r="L944" t="s">
        <v>1860</v>
      </c>
      <c r="M944">
        <v>49</v>
      </c>
      <c r="N944" t="s">
        <v>3213</v>
      </c>
      <c r="O944" t="s">
        <v>3212</v>
      </c>
    </row>
    <row r="945" spans="1:15" x14ac:dyDescent="0.2">
      <c r="A945">
        <v>99</v>
      </c>
      <c r="B945" t="s">
        <v>2117</v>
      </c>
      <c r="C945" t="s">
        <v>1321</v>
      </c>
      <c r="D945" t="s">
        <v>89</v>
      </c>
      <c r="E945" t="s">
        <v>3210</v>
      </c>
      <c r="F945">
        <v>1</v>
      </c>
      <c r="G945">
        <v>181.97</v>
      </c>
      <c r="H945" t="s">
        <v>1781</v>
      </c>
      <c r="I945" t="s">
        <v>1781</v>
      </c>
      <c r="J945">
        <v>181.97</v>
      </c>
      <c r="K945">
        <v>8916.5300000000007</v>
      </c>
      <c r="L945" t="s">
        <v>1860</v>
      </c>
      <c r="M945">
        <v>49</v>
      </c>
      <c r="N945" t="s">
        <v>3211</v>
      </c>
      <c r="O945" t="s">
        <v>3212</v>
      </c>
    </row>
    <row r="946" spans="1:15" x14ac:dyDescent="0.2">
      <c r="A946">
        <v>99</v>
      </c>
      <c r="B946" t="s">
        <v>2117</v>
      </c>
      <c r="C946" t="s">
        <v>1321</v>
      </c>
      <c r="D946" t="s">
        <v>498</v>
      </c>
      <c r="E946" t="s">
        <v>773</v>
      </c>
      <c r="F946">
        <v>1.2</v>
      </c>
      <c r="G946">
        <v>0</v>
      </c>
      <c r="H946" t="s">
        <v>84</v>
      </c>
      <c r="I946" t="s">
        <v>1781</v>
      </c>
      <c r="J946">
        <v>0</v>
      </c>
      <c r="K946">
        <v>0</v>
      </c>
      <c r="L946" t="s">
        <v>1860</v>
      </c>
      <c r="M946">
        <v>49</v>
      </c>
      <c r="N946" t="s">
        <v>3216</v>
      </c>
      <c r="O946" t="s">
        <v>3212</v>
      </c>
    </row>
    <row r="947" spans="1:15" x14ac:dyDescent="0.2">
      <c r="A947">
        <v>99</v>
      </c>
      <c r="B947" t="s">
        <v>2117</v>
      </c>
      <c r="C947" t="s">
        <v>1321</v>
      </c>
      <c r="D947" t="s">
        <v>1006</v>
      </c>
      <c r="E947" t="s">
        <v>699</v>
      </c>
      <c r="F947">
        <v>0</v>
      </c>
      <c r="G947">
        <v>28.988</v>
      </c>
      <c r="H947" t="s">
        <v>151</v>
      </c>
      <c r="I947" t="s">
        <v>1781</v>
      </c>
      <c r="J947">
        <v>0</v>
      </c>
      <c r="K947">
        <v>0</v>
      </c>
      <c r="L947" t="s">
        <v>1860</v>
      </c>
      <c r="M947">
        <v>49</v>
      </c>
      <c r="N947" t="s">
        <v>3214</v>
      </c>
      <c r="O947" t="s">
        <v>3212</v>
      </c>
    </row>
    <row r="948" spans="1:15" x14ac:dyDescent="0.2">
      <c r="A948">
        <v>99</v>
      </c>
      <c r="B948" t="s">
        <v>2117</v>
      </c>
      <c r="C948" t="s">
        <v>1321</v>
      </c>
      <c r="D948" t="s">
        <v>801</v>
      </c>
      <c r="E948" t="s">
        <v>402</v>
      </c>
      <c r="F948">
        <v>0</v>
      </c>
      <c r="G948">
        <v>10.3</v>
      </c>
      <c r="H948" t="s">
        <v>151</v>
      </c>
      <c r="I948" t="s">
        <v>1781</v>
      </c>
      <c r="J948">
        <v>0</v>
      </c>
      <c r="K948">
        <v>0</v>
      </c>
      <c r="L948" t="s">
        <v>1860</v>
      </c>
      <c r="M948">
        <v>49</v>
      </c>
      <c r="N948" t="s">
        <v>3215</v>
      </c>
      <c r="O948" t="s">
        <v>3212</v>
      </c>
    </row>
    <row r="949" spans="1:15" x14ac:dyDescent="0.2">
      <c r="A949">
        <v>99</v>
      </c>
      <c r="B949" t="s">
        <v>2117</v>
      </c>
      <c r="C949" t="s">
        <v>1323</v>
      </c>
      <c r="D949" t="s">
        <v>801</v>
      </c>
      <c r="E949" t="s">
        <v>402</v>
      </c>
      <c r="F949">
        <v>0</v>
      </c>
      <c r="G949">
        <v>10.3</v>
      </c>
      <c r="H949" t="s">
        <v>151</v>
      </c>
      <c r="I949" t="s">
        <v>1781</v>
      </c>
      <c r="J949">
        <v>0</v>
      </c>
      <c r="K949">
        <v>0</v>
      </c>
      <c r="L949" t="s">
        <v>1854</v>
      </c>
      <c r="M949">
        <v>2</v>
      </c>
      <c r="N949" t="s">
        <v>3222</v>
      </c>
      <c r="O949" t="s">
        <v>3219</v>
      </c>
    </row>
    <row r="950" spans="1:15" x14ac:dyDescent="0.2">
      <c r="A950">
        <v>99</v>
      </c>
      <c r="B950" t="s">
        <v>2117</v>
      </c>
      <c r="C950" t="s">
        <v>1323</v>
      </c>
      <c r="D950" t="s">
        <v>141</v>
      </c>
      <c r="E950" t="s">
        <v>3217</v>
      </c>
      <c r="F950">
        <v>1</v>
      </c>
      <c r="G950">
        <v>780.46</v>
      </c>
      <c r="H950" t="s">
        <v>1781</v>
      </c>
      <c r="I950" t="s">
        <v>1781</v>
      </c>
      <c r="J950">
        <v>780.46</v>
      </c>
      <c r="K950">
        <v>1560.92</v>
      </c>
      <c r="L950" t="s">
        <v>1854</v>
      </c>
      <c r="M950">
        <v>2</v>
      </c>
      <c r="N950" t="s">
        <v>3218</v>
      </c>
      <c r="O950" t="s">
        <v>3219</v>
      </c>
    </row>
    <row r="951" spans="1:15" x14ac:dyDescent="0.2">
      <c r="A951">
        <v>99</v>
      </c>
      <c r="B951" t="s">
        <v>2117</v>
      </c>
      <c r="C951" t="s">
        <v>1323</v>
      </c>
      <c r="D951" t="s">
        <v>1006</v>
      </c>
      <c r="E951" t="s">
        <v>699</v>
      </c>
      <c r="F951">
        <v>0</v>
      </c>
      <c r="G951">
        <v>28.988</v>
      </c>
      <c r="H951" t="s">
        <v>151</v>
      </c>
      <c r="I951" t="s">
        <v>1781</v>
      </c>
      <c r="J951">
        <v>0</v>
      </c>
      <c r="K951">
        <v>0</v>
      </c>
      <c r="L951" t="s">
        <v>1854</v>
      </c>
      <c r="M951">
        <v>2</v>
      </c>
      <c r="N951" t="s">
        <v>3221</v>
      </c>
      <c r="O951" t="s">
        <v>3219</v>
      </c>
    </row>
    <row r="952" spans="1:15" x14ac:dyDescent="0.2">
      <c r="A952">
        <v>99</v>
      </c>
      <c r="B952" t="s">
        <v>2117</v>
      </c>
      <c r="C952" t="s">
        <v>1323</v>
      </c>
      <c r="D952" t="s">
        <v>498</v>
      </c>
      <c r="E952" t="s">
        <v>773</v>
      </c>
      <c r="F952">
        <v>1.2</v>
      </c>
      <c r="G952">
        <v>0</v>
      </c>
      <c r="H952" t="s">
        <v>84</v>
      </c>
      <c r="I952" t="s">
        <v>1781</v>
      </c>
      <c r="J952">
        <v>0</v>
      </c>
      <c r="K952">
        <v>0</v>
      </c>
      <c r="L952" t="s">
        <v>1854</v>
      </c>
      <c r="M952">
        <v>2</v>
      </c>
      <c r="N952" t="s">
        <v>3223</v>
      </c>
      <c r="O952" t="s">
        <v>3219</v>
      </c>
    </row>
    <row r="953" spans="1:15" x14ac:dyDescent="0.2">
      <c r="A953">
        <v>99</v>
      </c>
      <c r="B953" t="s">
        <v>2117</v>
      </c>
      <c r="C953" t="s">
        <v>1323</v>
      </c>
      <c r="D953" t="s">
        <v>637</v>
      </c>
      <c r="E953" t="s">
        <v>1256</v>
      </c>
      <c r="F953">
        <v>0.52710000000000001</v>
      </c>
      <c r="G953">
        <v>35</v>
      </c>
      <c r="H953" t="s">
        <v>1052</v>
      </c>
      <c r="I953" t="s">
        <v>1781</v>
      </c>
      <c r="J953">
        <v>18.448499999999999</v>
      </c>
      <c r="K953">
        <v>36.896999999999998</v>
      </c>
      <c r="L953" t="s">
        <v>1854</v>
      </c>
      <c r="M953">
        <v>2</v>
      </c>
      <c r="N953" t="s">
        <v>3220</v>
      </c>
      <c r="O953" t="s">
        <v>3219</v>
      </c>
    </row>
    <row r="954" spans="1:15" x14ac:dyDescent="0.2">
      <c r="A954">
        <v>99</v>
      </c>
      <c r="B954" t="s">
        <v>2117</v>
      </c>
      <c r="C954" t="s">
        <v>1326</v>
      </c>
      <c r="D954" t="s">
        <v>950</v>
      </c>
      <c r="E954" t="s">
        <v>1391</v>
      </c>
      <c r="F954">
        <v>0</v>
      </c>
      <c r="G954">
        <v>15.0943</v>
      </c>
      <c r="H954" t="s">
        <v>151</v>
      </c>
      <c r="I954" t="s">
        <v>1781</v>
      </c>
      <c r="J954">
        <v>0</v>
      </c>
      <c r="K954">
        <v>0</v>
      </c>
      <c r="L954" t="s">
        <v>1864</v>
      </c>
      <c r="M954">
        <v>2</v>
      </c>
      <c r="N954" t="s">
        <v>3229</v>
      </c>
      <c r="O954" t="s">
        <v>3226</v>
      </c>
    </row>
    <row r="955" spans="1:15" x14ac:dyDescent="0.2">
      <c r="A955">
        <v>99</v>
      </c>
      <c r="B955" t="s">
        <v>2117</v>
      </c>
      <c r="C955" t="s">
        <v>1326</v>
      </c>
      <c r="D955" t="s">
        <v>885</v>
      </c>
      <c r="E955" t="s">
        <v>3086</v>
      </c>
      <c r="F955">
        <v>6</v>
      </c>
      <c r="G955">
        <v>19.559999999999999</v>
      </c>
      <c r="H955" t="s">
        <v>1781</v>
      </c>
      <c r="I955" t="s">
        <v>1781</v>
      </c>
      <c r="J955">
        <v>117.36</v>
      </c>
      <c r="K955">
        <v>234.72</v>
      </c>
      <c r="L955" t="s">
        <v>1864</v>
      </c>
      <c r="M955">
        <v>2</v>
      </c>
      <c r="N955" t="s">
        <v>3228</v>
      </c>
      <c r="O955" t="s">
        <v>3226</v>
      </c>
    </row>
    <row r="956" spans="1:15" x14ac:dyDescent="0.2">
      <c r="A956">
        <v>99</v>
      </c>
      <c r="B956" t="s">
        <v>2117</v>
      </c>
      <c r="C956" t="s">
        <v>1326</v>
      </c>
      <c r="D956" t="s">
        <v>708</v>
      </c>
      <c r="E956" t="s">
        <v>865</v>
      </c>
      <c r="F956">
        <v>7.0199999999999999E-2</v>
      </c>
      <c r="G956">
        <v>13.32</v>
      </c>
      <c r="H956" t="s">
        <v>1052</v>
      </c>
      <c r="I956" t="s">
        <v>1781</v>
      </c>
      <c r="J956">
        <v>0.93506400000000001</v>
      </c>
      <c r="K956">
        <v>1.870128</v>
      </c>
      <c r="L956" t="s">
        <v>1864</v>
      </c>
      <c r="M956">
        <v>2</v>
      </c>
      <c r="N956" t="s">
        <v>3227</v>
      </c>
      <c r="O956" t="s">
        <v>3226</v>
      </c>
    </row>
    <row r="957" spans="1:15" x14ac:dyDescent="0.2">
      <c r="A957">
        <v>99</v>
      </c>
      <c r="B957" t="s">
        <v>2117</v>
      </c>
      <c r="C957" t="s">
        <v>1326</v>
      </c>
      <c r="D957" t="s">
        <v>498</v>
      </c>
      <c r="E957" t="s">
        <v>773</v>
      </c>
      <c r="F957">
        <v>1.2</v>
      </c>
      <c r="G957">
        <v>0</v>
      </c>
      <c r="H957" t="s">
        <v>84</v>
      </c>
      <c r="I957" t="s">
        <v>1781</v>
      </c>
      <c r="J957">
        <v>0</v>
      </c>
      <c r="K957">
        <v>0</v>
      </c>
      <c r="L957" t="s">
        <v>1864</v>
      </c>
      <c r="M957">
        <v>2</v>
      </c>
      <c r="N957" t="s">
        <v>3231</v>
      </c>
      <c r="O957" t="s">
        <v>3226</v>
      </c>
    </row>
    <row r="958" spans="1:15" x14ac:dyDescent="0.2">
      <c r="A958">
        <v>99</v>
      </c>
      <c r="B958" t="s">
        <v>2117</v>
      </c>
      <c r="C958" t="s">
        <v>1326</v>
      </c>
      <c r="D958" t="s">
        <v>801</v>
      </c>
      <c r="E958" t="s">
        <v>402</v>
      </c>
      <c r="F958">
        <v>0</v>
      </c>
      <c r="G958">
        <v>10.3</v>
      </c>
      <c r="H958" t="s">
        <v>151</v>
      </c>
      <c r="I958" t="s">
        <v>1781</v>
      </c>
      <c r="J958">
        <v>0</v>
      </c>
      <c r="K958">
        <v>0</v>
      </c>
      <c r="L958" t="s">
        <v>1864</v>
      </c>
      <c r="M958">
        <v>2</v>
      </c>
      <c r="N958" t="s">
        <v>3230</v>
      </c>
      <c r="O958" t="s">
        <v>3226</v>
      </c>
    </row>
    <row r="959" spans="1:15" x14ac:dyDescent="0.2">
      <c r="A959">
        <v>99</v>
      </c>
      <c r="B959" t="s">
        <v>2117</v>
      </c>
      <c r="C959" t="s">
        <v>1326</v>
      </c>
      <c r="D959" t="s">
        <v>149</v>
      </c>
      <c r="E959" t="s">
        <v>3224</v>
      </c>
      <c r="F959">
        <v>1</v>
      </c>
      <c r="G959">
        <v>389.08</v>
      </c>
      <c r="H959" t="s">
        <v>1781</v>
      </c>
      <c r="I959" t="s">
        <v>1781</v>
      </c>
      <c r="J959">
        <v>389.08</v>
      </c>
      <c r="K959">
        <v>778.16</v>
      </c>
      <c r="L959" t="s">
        <v>1864</v>
      </c>
      <c r="M959">
        <v>2</v>
      </c>
      <c r="N959" t="s">
        <v>3225</v>
      </c>
      <c r="O959" t="s">
        <v>3226</v>
      </c>
    </row>
    <row r="960" spans="1:15" x14ac:dyDescent="0.2">
      <c r="A960">
        <v>99</v>
      </c>
      <c r="B960" t="s">
        <v>2117</v>
      </c>
      <c r="C960" t="s">
        <v>1333</v>
      </c>
      <c r="D960" t="s">
        <v>1006</v>
      </c>
      <c r="E960" t="s">
        <v>699</v>
      </c>
      <c r="F960">
        <v>0</v>
      </c>
      <c r="G960">
        <v>28.988</v>
      </c>
      <c r="H960" t="s">
        <v>151</v>
      </c>
      <c r="I960" t="s">
        <v>1781</v>
      </c>
      <c r="J960">
        <v>0</v>
      </c>
      <c r="K960">
        <v>0</v>
      </c>
      <c r="L960" t="s">
        <v>1863</v>
      </c>
      <c r="M960">
        <v>6</v>
      </c>
      <c r="N960" t="s">
        <v>3235</v>
      </c>
      <c r="O960" t="s">
        <v>3233</v>
      </c>
    </row>
    <row r="961" spans="1:15" x14ac:dyDescent="0.2">
      <c r="A961">
        <v>99</v>
      </c>
      <c r="B961" t="s">
        <v>2117</v>
      </c>
      <c r="C961" t="s">
        <v>1333</v>
      </c>
      <c r="D961" t="s">
        <v>801</v>
      </c>
      <c r="E961" t="s">
        <v>402</v>
      </c>
      <c r="F961">
        <v>0</v>
      </c>
      <c r="G961">
        <v>10.3</v>
      </c>
      <c r="H961" t="s">
        <v>151</v>
      </c>
      <c r="I961" t="s">
        <v>1781</v>
      </c>
      <c r="J961">
        <v>0</v>
      </c>
      <c r="K961">
        <v>0</v>
      </c>
      <c r="L961" t="s">
        <v>1863</v>
      </c>
      <c r="M961">
        <v>6</v>
      </c>
      <c r="N961" t="s">
        <v>3236</v>
      </c>
      <c r="O961" t="s">
        <v>3233</v>
      </c>
    </row>
    <row r="962" spans="1:15" x14ac:dyDescent="0.2">
      <c r="A962">
        <v>99</v>
      </c>
      <c r="B962" t="s">
        <v>2117</v>
      </c>
      <c r="C962" t="s">
        <v>1333</v>
      </c>
      <c r="D962" t="s">
        <v>498</v>
      </c>
      <c r="E962" t="s">
        <v>773</v>
      </c>
      <c r="F962">
        <v>1.2</v>
      </c>
      <c r="G962">
        <v>0</v>
      </c>
      <c r="H962" t="s">
        <v>84</v>
      </c>
      <c r="I962" t="s">
        <v>1781</v>
      </c>
      <c r="J962">
        <v>0</v>
      </c>
      <c r="K962">
        <v>0</v>
      </c>
      <c r="L962" t="s">
        <v>1863</v>
      </c>
      <c r="M962">
        <v>6</v>
      </c>
      <c r="N962" t="s">
        <v>3237</v>
      </c>
      <c r="O962" t="s">
        <v>3233</v>
      </c>
    </row>
    <row r="963" spans="1:15" x14ac:dyDescent="0.2">
      <c r="A963">
        <v>99</v>
      </c>
      <c r="B963" t="s">
        <v>2117</v>
      </c>
      <c r="C963" t="s">
        <v>1333</v>
      </c>
      <c r="D963" t="s">
        <v>637</v>
      </c>
      <c r="E963" t="s">
        <v>1256</v>
      </c>
      <c r="F963">
        <v>0.52710000000000001</v>
      </c>
      <c r="G963">
        <v>35</v>
      </c>
      <c r="H963" t="s">
        <v>1052</v>
      </c>
      <c r="I963" t="s">
        <v>1781</v>
      </c>
      <c r="J963">
        <v>18.448499999999999</v>
      </c>
      <c r="K963">
        <v>110.691</v>
      </c>
      <c r="L963" t="s">
        <v>1863</v>
      </c>
      <c r="M963">
        <v>6</v>
      </c>
      <c r="N963" t="s">
        <v>3234</v>
      </c>
      <c r="O963" t="s">
        <v>3233</v>
      </c>
    </row>
    <row r="964" spans="1:15" x14ac:dyDescent="0.2">
      <c r="A964">
        <v>99</v>
      </c>
      <c r="B964" t="s">
        <v>2117</v>
      </c>
      <c r="C964" t="s">
        <v>1333</v>
      </c>
      <c r="D964" t="s">
        <v>144</v>
      </c>
      <c r="E964" t="s">
        <v>3030</v>
      </c>
      <c r="F964">
        <v>1</v>
      </c>
      <c r="G964">
        <v>536.52</v>
      </c>
      <c r="H964" t="s">
        <v>1781</v>
      </c>
      <c r="I964" t="s">
        <v>1781</v>
      </c>
      <c r="J964">
        <v>536.52</v>
      </c>
      <c r="K964">
        <v>3219.12</v>
      </c>
      <c r="L964" t="s">
        <v>1863</v>
      </c>
      <c r="M964">
        <v>6</v>
      </c>
      <c r="N964" t="s">
        <v>3232</v>
      </c>
      <c r="O964" t="s">
        <v>3233</v>
      </c>
    </row>
    <row r="965" spans="1:15" x14ac:dyDescent="0.2">
      <c r="A965">
        <v>99</v>
      </c>
      <c r="B965" t="s">
        <v>2117</v>
      </c>
      <c r="C965" t="s">
        <v>4951</v>
      </c>
      <c r="D965" t="s">
        <v>950</v>
      </c>
      <c r="E965" t="s">
        <v>1391</v>
      </c>
      <c r="F965">
        <v>0</v>
      </c>
      <c r="G965">
        <v>15.0943</v>
      </c>
      <c r="H965" t="s">
        <v>151</v>
      </c>
      <c r="I965" t="s">
        <v>1781</v>
      </c>
      <c r="J965">
        <v>0</v>
      </c>
      <c r="K965">
        <v>0</v>
      </c>
      <c r="L965" t="s">
        <v>4952</v>
      </c>
      <c r="M965">
        <v>16</v>
      </c>
      <c r="N965" t="s">
        <v>4953</v>
      </c>
      <c r="O965" t="s">
        <v>4954</v>
      </c>
    </row>
    <row r="966" spans="1:15" x14ac:dyDescent="0.2">
      <c r="A966">
        <v>99</v>
      </c>
      <c r="B966" t="s">
        <v>2117</v>
      </c>
      <c r="C966" t="s">
        <v>4951</v>
      </c>
      <c r="D966" t="s">
        <v>1649</v>
      </c>
      <c r="E966" t="s">
        <v>1145</v>
      </c>
      <c r="F966">
        <v>2.1000000000000001E-2</v>
      </c>
      <c r="G966">
        <v>3.95</v>
      </c>
      <c r="H966" t="s">
        <v>1781</v>
      </c>
      <c r="I966" t="s">
        <v>1781</v>
      </c>
      <c r="J966">
        <v>8.2949999999999996E-2</v>
      </c>
      <c r="K966">
        <v>1.3271999999999999</v>
      </c>
      <c r="L966" t="s">
        <v>4952</v>
      </c>
      <c r="M966">
        <v>16</v>
      </c>
      <c r="N966" t="s">
        <v>4955</v>
      </c>
      <c r="O966" t="s">
        <v>4954</v>
      </c>
    </row>
    <row r="967" spans="1:15" x14ac:dyDescent="0.2">
      <c r="A967">
        <v>99</v>
      </c>
      <c r="B967" t="s">
        <v>2117</v>
      </c>
      <c r="C967" t="s">
        <v>4951</v>
      </c>
      <c r="D967" t="s">
        <v>498</v>
      </c>
      <c r="E967" t="s">
        <v>773</v>
      </c>
      <c r="F967">
        <v>1.2</v>
      </c>
      <c r="G967">
        <v>0</v>
      </c>
      <c r="H967" t="s">
        <v>84</v>
      </c>
      <c r="I967" t="s">
        <v>1781</v>
      </c>
      <c r="J967">
        <v>0</v>
      </c>
      <c r="K967">
        <v>0</v>
      </c>
      <c r="L967" t="s">
        <v>4952</v>
      </c>
      <c r="M967">
        <v>16</v>
      </c>
      <c r="N967" t="s">
        <v>4956</v>
      </c>
      <c r="O967" t="s">
        <v>4954</v>
      </c>
    </row>
    <row r="968" spans="1:15" x14ac:dyDescent="0.2">
      <c r="A968">
        <v>99</v>
      </c>
      <c r="B968" t="s">
        <v>2117</v>
      </c>
      <c r="C968" t="s">
        <v>4951</v>
      </c>
      <c r="D968" t="s">
        <v>801</v>
      </c>
      <c r="E968" t="s">
        <v>402</v>
      </c>
      <c r="F968">
        <v>0</v>
      </c>
      <c r="G968">
        <v>10.3</v>
      </c>
      <c r="H968" t="s">
        <v>151</v>
      </c>
      <c r="I968" t="s">
        <v>1781</v>
      </c>
      <c r="J968">
        <v>0</v>
      </c>
      <c r="K968">
        <v>0</v>
      </c>
      <c r="L968" t="s">
        <v>4952</v>
      </c>
      <c r="M968">
        <v>16</v>
      </c>
      <c r="N968" t="s">
        <v>4957</v>
      </c>
      <c r="O968" t="s">
        <v>4954</v>
      </c>
    </row>
    <row r="969" spans="1:15" x14ac:dyDescent="0.2">
      <c r="A969">
        <v>99</v>
      </c>
      <c r="B969" t="s">
        <v>2117</v>
      </c>
      <c r="C969" t="s">
        <v>4951</v>
      </c>
      <c r="D969" t="s">
        <v>4958</v>
      </c>
      <c r="E969" t="s">
        <v>4959</v>
      </c>
      <c r="F969">
        <v>1</v>
      </c>
      <c r="G969">
        <v>260</v>
      </c>
      <c r="H969" t="s">
        <v>1781</v>
      </c>
      <c r="I969" t="s">
        <v>1781</v>
      </c>
      <c r="J969">
        <v>260</v>
      </c>
      <c r="K969">
        <v>4160</v>
      </c>
      <c r="L969" t="s">
        <v>4952</v>
      </c>
      <c r="M969">
        <v>16</v>
      </c>
      <c r="N969" t="s">
        <v>4960</v>
      </c>
      <c r="O969" t="s">
        <v>4954</v>
      </c>
    </row>
    <row r="970" spans="1:15" x14ac:dyDescent="0.2">
      <c r="A970">
        <v>99</v>
      </c>
      <c r="B970" t="s">
        <v>2117</v>
      </c>
      <c r="C970" t="s">
        <v>1277</v>
      </c>
      <c r="D970" t="s">
        <v>801</v>
      </c>
      <c r="E970" t="s">
        <v>402</v>
      </c>
      <c r="F970">
        <v>0</v>
      </c>
      <c r="G970">
        <v>10.3</v>
      </c>
      <c r="H970" t="s">
        <v>151</v>
      </c>
      <c r="I970" t="s">
        <v>1781</v>
      </c>
      <c r="J970">
        <v>0</v>
      </c>
      <c r="K970">
        <v>0</v>
      </c>
      <c r="L970" t="s">
        <v>1796</v>
      </c>
      <c r="M970">
        <v>4</v>
      </c>
      <c r="N970" t="s">
        <v>3243</v>
      </c>
      <c r="O970" t="s">
        <v>3240</v>
      </c>
    </row>
    <row r="971" spans="1:15" x14ac:dyDescent="0.2">
      <c r="A971">
        <v>99</v>
      </c>
      <c r="B971" t="s">
        <v>2117</v>
      </c>
      <c r="C971" t="s">
        <v>1277</v>
      </c>
      <c r="D971" t="s">
        <v>498</v>
      </c>
      <c r="E971" t="s">
        <v>773</v>
      </c>
      <c r="F971">
        <v>1.2</v>
      </c>
      <c r="G971">
        <v>0</v>
      </c>
      <c r="H971" t="s">
        <v>84</v>
      </c>
      <c r="I971" t="s">
        <v>1781</v>
      </c>
      <c r="J971">
        <v>0</v>
      </c>
      <c r="K971">
        <v>0</v>
      </c>
      <c r="L971" t="s">
        <v>1796</v>
      </c>
      <c r="M971">
        <v>4</v>
      </c>
      <c r="N971" t="s">
        <v>3244</v>
      </c>
      <c r="O971" t="s">
        <v>3240</v>
      </c>
    </row>
    <row r="972" spans="1:15" x14ac:dyDescent="0.2">
      <c r="A972">
        <v>99</v>
      </c>
      <c r="B972" t="s">
        <v>2117</v>
      </c>
      <c r="C972" t="s">
        <v>1277</v>
      </c>
      <c r="D972" t="s">
        <v>1649</v>
      </c>
      <c r="E972" t="s">
        <v>1145</v>
      </c>
      <c r="F972">
        <v>4.2000000000000003E-2</v>
      </c>
      <c r="G972">
        <v>3.95</v>
      </c>
      <c r="H972" t="s">
        <v>1781</v>
      </c>
      <c r="I972" t="s">
        <v>1781</v>
      </c>
      <c r="J972">
        <v>0.16589999999999999</v>
      </c>
      <c r="K972">
        <v>0.66359999999999997</v>
      </c>
      <c r="L972" t="s">
        <v>1796</v>
      </c>
      <c r="M972">
        <v>4</v>
      </c>
      <c r="N972" t="s">
        <v>3241</v>
      </c>
      <c r="O972" t="s">
        <v>3240</v>
      </c>
    </row>
    <row r="973" spans="1:15" x14ac:dyDescent="0.2">
      <c r="A973">
        <v>99</v>
      </c>
      <c r="B973" t="s">
        <v>2117</v>
      </c>
      <c r="C973" t="s">
        <v>1277</v>
      </c>
      <c r="D973" t="s">
        <v>950</v>
      </c>
      <c r="E973" t="s">
        <v>1391</v>
      </c>
      <c r="F973">
        <v>0</v>
      </c>
      <c r="G973">
        <v>15.0943</v>
      </c>
      <c r="H973" t="s">
        <v>151</v>
      </c>
      <c r="I973" t="s">
        <v>1781</v>
      </c>
      <c r="J973">
        <v>0</v>
      </c>
      <c r="K973">
        <v>0</v>
      </c>
      <c r="L973" t="s">
        <v>1796</v>
      </c>
      <c r="M973">
        <v>4</v>
      </c>
      <c r="N973" t="s">
        <v>3242</v>
      </c>
      <c r="O973" t="s">
        <v>3240</v>
      </c>
    </row>
    <row r="974" spans="1:15" x14ac:dyDescent="0.2">
      <c r="A974">
        <v>99</v>
      </c>
      <c r="B974" t="s">
        <v>2117</v>
      </c>
      <c r="C974" t="s">
        <v>1277</v>
      </c>
      <c r="D974" t="s">
        <v>15</v>
      </c>
      <c r="E974" t="s">
        <v>3238</v>
      </c>
      <c r="F974">
        <v>1</v>
      </c>
      <c r="G974">
        <v>161.06</v>
      </c>
      <c r="H974" t="s">
        <v>1781</v>
      </c>
      <c r="I974" t="s">
        <v>1781</v>
      </c>
      <c r="J974">
        <v>161.06</v>
      </c>
      <c r="K974">
        <v>644.24</v>
      </c>
      <c r="L974" t="s">
        <v>1796</v>
      </c>
      <c r="M974">
        <v>4</v>
      </c>
      <c r="N974" t="s">
        <v>3239</v>
      </c>
      <c r="O974" t="s">
        <v>3240</v>
      </c>
    </row>
    <row r="975" spans="1:15" x14ac:dyDescent="0.2">
      <c r="A975">
        <v>99</v>
      </c>
      <c r="B975" t="s">
        <v>2117</v>
      </c>
      <c r="C975" t="s">
        <v>1280</v>
      </c>
      <c r="D975" t="s">
        <v>950</v>
      </c>
      <c r="E975" t="s">
        <v>1391</v>
      </c>
      <c r="F975">
        <v>0</v>
      </c>
      <c r="G975">
        <v>15.0943</v>
      </c>
      <c r="H975" t="s">
        <v>151</v>
      </c>
      <c r="I975" t="s">
        <v>1781</v>
      </c>
      <c r="J975">
        <v>0</v>
      </c>
      <c r="K975">
        <v>0</v>
      </c>
      <c r="L975" t="s">
        <v>1748</v>
      </c>
      <c r="M975">
        <v>50</v>
      </c>
      <c r="N975" t="s">
        <v>3248</v>
      </c>
      <c r="O975" t="s">
        <v>3246</v>
      </c>
    </row>
    <row r="976" spans="1:15" x14ac:dyDescent="0.2">
      <c r="A976">
        <v>99</v>
      </c>
      <c r="B976" t="s">
        <v>2117</v>
      </c>
      <c r="C976" t="s">
        <v>1280</v>
      </c>
      <c r="D976" t="s">
        <v>17</v>
      </c>
      <c r="E976" t="s">
        <v>3039</v>
      </c>
      <c r="F976">
        <v>1</v>
      </c>
      <c r="G976">
        <v>1107.92</v>
      </c>
      <c r="H976" t="s">
        <v>1781</v>
      </c>
      <c r="I976" t="s">
        <v>1781</v>
      </c>
      <c r="J976">
        <v>1107.92</v>
      </c>
      <c r="K976">
        <v>55396</v>
      </c>
      <c r="L976" t="s">
        <v>1748</v>
      </c>
      <c r="M976">
        <v>50</v>
      </c>
      <c r="N976" t="s">
        <v>3245</v>
      </c>
      <c r="O976" t="s">
        <v>3246</v>
      </c>
    </row>
    <row r="977" spans="1:15" x14ac:dyDescent="0.2">
      <c r="A977">
        <v>99</v>
      </c>
      <c r="B977" t="s">
        <v>2117</v>
      </c>
      <c r="C977" t="s">
        <v>1280</v>
      </c>
      <c r="D977" t="s">
        <v>1649</v>
      </c>
      <c r="E977" t="s">
        <v>1145</v>
      </c>
      <c r="F977">
        <v>4.2000000000000003E-2</v>
      </c>
      <c r="G977">
        <v>3.95</v>
      </c>
      <c r="H977" t="s">
        <v>1781</v>
      </c>
      <c r="I977" t="s">
        <v>1781</v>
      </c>
      <c r="J977">
        <v>0.16589999999999999</v>
      </c>
      <c r="K977">
        <v>8.2949999999999999</v>
      </c>
      <c r="L977" t="s">
        <v>1748</v>
      </c>
      <c r="M977">
        <v>50</v>
      </c>
      <c r="N977" t="s">
        <v>3247</v>
      </c>
      <c r="O977" t="s">
        <v>3246</v>
      </c>
    </row>
    <row r="978" spans="1:15" x14ac:dyDescent="0.2">
      <c r="A978">
        <v>99</v>
      </c>
      <c r="B978" t="s">
        <v>2117</v>
      </c>
      <c r="C978" t="s">
        <v>1280</v>
      </c>
      <c r="D978" t="s">
        <v>498</v>
      </c>
      <c r="E978" t="s">
        <v>773</v>
      </c>
      <c r="F978">
        <v>1.2</v>
      </c>
      <c r="G978">
        <v>0</v>
      </c>
      <c r="H978" t="s">
        <v>84</v>
      </c>
      <c r="I978" t="s">
        <v>1781</v>
      </c>
      <c r="J978">
        <v>0</v>
      </c>
      <c r="K978">
        <v>0</v>
      </c>
      <c r="L978" t="s">
        <v>1748</v>
      </c>
      <c r="M978">
        <v>50</v>
      </c>
      <c r="N978" t="s">
        <v>3250</v>
      </c>
      <c r="O978" t="s">
        <v>3246</v>
      </c>
    </row>
    <row r="979" spans="1:15" x14ac:dyDescent="0.2">
      <c r="A979">
        <v>99</v>
      </c>
      <c r="B979" t="s">
        <v>2117</v>
      </c>
      <c r="C979" t="s">
        <v>1280</v>
      </c>
      <c r="D979" t="s">
        <v>801</v>
      </c>
      <c r="E979" t="s">
        <v>402</v>
      </c>
      <c r="F979">
        <v>0</v>
      </c>
      <c r="G979">
        <v>10.3</v>
      </c>
      <c r="H979" t="s">
        <v>151</v>
      </c>
      <c r="I979" t="s">
        <v>1781</v>
      </c>
      <c r="J979">
        <v>0</v>
      </c>
      <c r="K979">
        <v>0</v>
      </c>
      <c r="L979" t="s">
        <v>1748</v>
      </c>
      <c r="M979">
        <v>50</v>
      </c>
      <c r="N979" t="s">
        <v>3249</v>
      </c>
      <c r="O979" t="s">
        <v>3246</v>
      </c>
    </row>
    <row r="980" spans="1:15" x14ac:dyDescent="0.2">
      <c r="A980">
        <v>99</v>
      </c>
      <c r="B980" t="s">
        <v>2117</v>
      </c>
      <c r="C980" t="s">
        <v>1011</v>
      </c>
      <c r="D980" t="s">
        <v>801</v>
      </c>
      <c r="E980" t="s">
        <v>402</v>
      </c>
      <c r="F980">
        <v>0</v>
      </c>
      <c r="G980">
        <v>10.3</v>
      </c>
      <c r="H980" t="s">
        <v>151</v>
      </c>
      <c r="I980" t="s">
        <v>1781</v>
      </c>
      <c r="J980">
        <v>0</v>
      </c>
      <c r="K980">
        <v>0</v>
      </c>
      <c r="L980" t="s">
        <v>1723</v>
      </c>
      <c r="M980">
        <v>2</v>
      </c>
      <c r="N980" t="s">
        <v>3256</v>
      </c>
      <c r="O980" t="s">
        <v>3253</v>
      </c>
    </row>
    <row r="981" spans="1:15" x14ac:dyDescent="0.2">
      <c r="A981">
        <v>99</v>
      </c>
      <c r="B981" t="s">
        <v>2117</v>
      </c>
      <c r="C981" t="s">
        <v>1011</v>
      </c>
      <c r="D981" t="s">
        <v>1006</v>
      </c>
      <c r="E981" t="s">
        <v>699</v>
      </c>
      <c r="F981">
        <v>0</v>
      </c>
      <c r="G981">
        <v>28.988</v>
      </c>
      <c r="H981" t="s">
        <v>151</v>
      </c>
      <c r="I981" t="s">
        <v>1781</v>
      </c>
      <c r="J981">
        <v>0</v>
      </c>
      <c r="K981">
        <v>0</v>
      </c>
      <c r="L981" t="s">
        <v>1723</v>
      </c>
      <c r="M981">
        <v>2</v>
      </c>
      <c r="N981" t="s">
        <v>3255</v>
      </c>
      <c r="O981" t="s">
        <v>3253</v>
      </c>
    </row>
    <row r="982" spans="1:15" x14ac:dyDescent="0.2">
      <c r="A982">
        <v>99</v>
      </c>
      <c r="B982" t="s">
        <v>2117</v>
      </c>
      <c r="C982" t="s">
        <v>1011</v>
      </c>
      <c r="D982" t="s">
        <v>498</v>
      </c>
      <c r="E982" t="s">
        <v>773</v>
      </c>
      <c r="F982">
        <v>1.2</v>
      </c>
      <c r="G982">
        <v>0</v>
      </c>
      <c r="H982" t="s">
        <v>84</v>
      </c>
      <c r="I982" t="s">
        <v>1781</v>
      </c>
      <c r="J982">
        <v>0</v>
      </c>
      <c r="K982">
        <v>0</v>
      </c>
      <c r="L982" t="s">
        <v>1723</v>
      </c>
      <c r="M982">
        <v>2</v>
      </c>
      <c r="N982" t="s">
        <v>3257</v>
      </c>
      <c r="O982" t="s">
        <v>3253</v>
      </c>
    </row>
    <row r="983" spans="1:15" x14ac:dyDescent="0.2">
      <c r="A983">
        <v>99</v>
      </c>
      <c r="B983" t="s">
        <v>2117</v>
      </c>
      <c r="C983" t="s">
        <v>1011</v>
      </c>
      <c r="D983" t="s">
        <v>1773</v>
      </c>
      <c r="E983" t="s">
        <v>3251</v>
      </c>
      <c r="F983">
        <v>1</v>
      </c>
      <c r="G983">
        <v>405.13</v>
      </c>
      <c r="H983" t="s">
        <v>1781</v>
      </c>
      <c r="I983" t="s">
        <v>1781</v>
      </c>
      <c r="J983">
        <v>405.13</v>
      </c>
      <c r="K983">
        <v>810.26</v>
      </c>
      <c r="L983" t="s">
        <v>1723</v>
      </c>
      <c r="M983">
        <v>2</v>
      </c>
      <c r="N983" t="s">
        <v>3252</v>
      </c>
      <c r="O983" t="s">
        <v>3253</v>
      </c>
    </row>
    <row r="984" spans="1:15" x14ac:dyDescent="0.2">
      <c r="A984">
        <v>99</v>
      </c>
      <c r="B984" t="s">
        <v>2117</v>
      </c>
      <c r="C984" t="s">
        <v>1011</v>
      </c>
      <c r="D984" t="s">
        <v>637</v>
      </c>
      <c r="E984" t="s">
        <v>1256</v>
      </c>
      <c r="F984">
        <v>0.34599999999999997</v>
      </c>
      <c r="G984">
        <v>35</v>
      </c>
      <c r="H984" t="s">
        <v>1052</v>
      </c>
      <c r="I984" t="s">
        <v>1781</v>
      </c>
      <c r="J984">
        <v>12.11</v>
      </c>
      <c r="K984">
        <v>24.22</v>
      </c>
      <c r="L984" t="s">
        <v>1723</v>
      </c>
      <c r="M984">
        <v>2</v>
      </c>
      <c r="N984" t="s">
        <v>3254</v>
      </c>
      <c r="O984" t="s">
        <v>3253</v>
      </c>
    </row>
    <row r="985" spans="1:15" x14ac:dyDescent="0.2">
      <c r="A985">
        <v>99</v>
      </c>
      <c r="B985" t="s">
        <v>2117</v>
      </c>
      <c r="C985" t="s">
        <v>860</v>
      </c>
      <c r="D985" t="s">
        <v>1777</v>
      </c>
      <c r="E985" t="s">
        <v>3258</v>
      </c>
      <c r="F985">
        <v>1</v>
      </c>
      <c r="G985">
        <v>75</v>
      </c>
      <c r="H985" t="s">
        <v>1781</v>
      </c>
      <c r="I985" t="s">
        <v>1781</v>
      </c>
      <c r="J985">
        <v>75</v>
      </c>
      <c r="K985">
        <v>7800</v>
      </c>
      <c r="L985" t="s">
        <v>1727</v>
      </c>
      <c r="M985">
        <v>104</v>
      </c>
      <c r="N985" t="s">
        <v>3259</v>
      </c>
      <c r="O985" t="s">
        <v>3260</v>
      </c>
    </row>
    <row r="986" spans="1:15" x14ac:dyDescent="0.2">
      <c r="A986">
        <v>99</v>
      </c>
      <c r="B986" t="s">
        <v>2117</v>
      </c>
      <c r="C986" t="s">
        <v>860</v>
      </c>
      <c r="D986" t="s">
        <v>950</v>
      </c>
      <c r="E986" t="s">
        <v>1391</v>
      </c>
      <c r="F986">
        <v>0</v>
      </c>
      <c r="G986">
        <v>15.0943</v>
      </c>
      <c r="H986" t="s">
        <v>151</v>
      </c>
      <c r="I986" t="s">
        <v>1781</v>
      </c>
      <c r="J986">
        <v>0</v>
      </c>
      <c r="K986">
        <v>0</v>
      </c>
      <c r="L986" t="s">
        <v>1727</v>
      </c>
      <c r="M986">
        <v>104</v>
      </c>
      <c r="N986" t="s">
        <v>3261</v>
      </c>
      <c r="O986" t="s">
        <v>3260</v>
      </c>
    </row>
    <row r="987" spans="1:15" x14ac:dyDescent="0.2">
      <c r="A987">
        <v>99</v>
      </c>
      <c r="B987" t="s">
        <v>2117</v>
      </c>
      <c r="C987" t="s">
        <v>860</v>
      </c>
      <c r="D987" t="s">
        <v>498</v>
      </c>
      <c r="E987" t="s">
        <v>773</v>
      </c>
      <c r="F987">
        <v>1.2</v>
      </c>
      <c r="G987">
        <v>0</v>
      </c>
      <c r="H987" t="s">
        <v>84</v>
      </c>
      <c r="I987" t="s">
        <v>1781</v>
      </c>
      <c r="J987">
        <v>0</v>
      </c>
      <c r="K987">
        <v>0</v>
      </c>
      <c r="L987" t="s">
        <v>1727</v>
      </c>
      <c r="M987">
        <v>104</v>
      </c>
      <c r="N987" t="s">
        <v>3263</v>
      </c>
      <c r="O987" t="s">
        <v>3260</v>
      </c>
    </row>
    <row r="988" spans="1:15" x14ac:dyDescent="0.2">
      <c r="A988">
        <v>99</v>
      </c>
      <c r="B988" t="s">
        <v>2117</v>
      </c>
      <c r="C988" t="s">
        <v>860</v>
      </c>
      <c r="D988" t="s">
        <v>801</v>
      </c>
      <c r="E988" t="s">
        <v>402</v>
      </c>
      <c r="F988">
        <v>0</v>
      </c>
      <c r="G988">
        <v>10.3</v>
      </c>
      <c r="H988" t="s">
        <v>151</v>
      </c>
      <c r="I988" t="s">
        <v>1781</v>
      </c>
      <c r="J988">
        <v>0</v>
      </c>
      <c r="K988">
        <v>0</v>
      </c>
      <c r="L988" t="s">
        <v>1727</v>
      </c>
      <c r="M988">
        <v>104</v>
      </c>
      <c r="N988" t="s">
        <v>3262</v>
      </c>
      <c r="O988" t="s">
        <v>3260</v>
      </c>
    </row>
    <row r="989" spans="1:15" x14ac:dyDescent="0.2">
      <c r="A989">
        <v>99</v>
      </c>
      <c r="B989" t="s">
        <v>2117</v>
      </c>
      <c r="C989" t="s">
        <v>942</v>
      </c>
      <c r="D989" t="s">
        <v>801</v>
      </c>
      <c r="E989" t="s">
        <v>402</v>
      </c>
      <c r="F989">
        <v>0</v>
      </c>
      <c r="G989">
        <v>10.3</v>
      </c>
      <c r="H989" t="s">
        <v>151</v>
      </c>
      <c r="I989" t="s">
        <v>1781</v>
      </c>
      <c r="J989">
        <v>0</v>
      </c>
      <c r="K989">
        <v>0</v>
      </c>
      <c r="L989" t="s">
        <v>1806</v>
      </c>
      <c r="M989">
        <v>18</v>
      </c>
      <c r="N989" t="s">
        <v>3266</v>
      </c>
      <c r="O989" t="s">
        <v>3265</v>
      </c>
    </row>
    <row r="990" spans="1:15" x14ac:dyDescent="0.2">
      <c r="A990">
        <v>99</v>
      </c>
      <c r="B990" t="s">
        <v>2117</v>
      </c>
      <c r="C990" t="s">
        <v>942</v>
      </c>
      <c r="D990" t="s">
        <v>1615</v>
      </c>
      <c r="E990" t="s">
        <v>3268</v>
      </c>
      <c r="F990">
        <v>1</v>
      </c>
      <c r="G990">
        <v>300</v>
      </c>
      <c r="H990" t="s">
        <v>1781</v>
      </c>
      <c r="I990" t="s">
        <v>1781</v>
      </c>
      <c r="J990">
        <v>300</v>
      </c>
      <c r="K990">
        <v>5400</v>
      </c>
      <c r="L990" t="s">
        <v>1806</v>
      </c>
      <c r="M990">
        <v>18</v>
      </c>
      <c r="N990" t="s">
        <v>3269</v>
      </c>
      <c r="O990" t="s">
        <v>3265</v>
      </c>
    </row>
    <row r="991" spans="1:15" x14ac:dyDescent="0.2">
      <c r="A991">
        <v>99</v>
      </c>
      <c r="B991" t="s">
        <v>2117</v>
      </c>
      <c r="C991" t="s">
        <v>942</v>
      </c>
      <c r="D991" t="s">
        <v>498</v>
      </c>
      <c r="E991" t="s">
        <v>773</v>
      </c>
      <c r="F991">
        <v>1.2</v>
      </c>
      <c r="G991">
        <v>0</v>
      </c>
      <c r="H991" t="s">
        <v>84</v>
      </c>
      <c r="I991" t="s">
        <v>1781</v>
      </c>
      <c r="J991">
        <v>0</v>
      </c>
      <c r="K991">
        <v>0</v>
      </c>
      <c r="L991" t="s">
        <v>1806</v>
      </c>
      <c r="M991">
        <v>18</v>
      </c>
      <c r="N991" t="s">
        <v>3267</v>
      </c>
      <c r="O991" t="s">
        <v>3265</v>
      </c>
    </row>
    <row r="992" spans="1:15" x14ac:dyDescent="0.2">
      <c r="A992">
        <v>99</v>
      </c>
      <c r="B992" t="s">
        <v>2117</v>
      </c>
      <c r="C992" t="s">
        <v>942</v>
      </c>
      <c r="D992" t="s">
        <v>950</v>
      </c>
      <c r="E992" t="s">
        <v>1391</v>
      </c>
      <c r="F992">
        <v>0</v>
      </c>
      <c r="G992">
        <v>15.0943</v>
      </c>
      <c r="H992" t="s">
        <v>151</v>
      </c>
      <c r="I992" t="s">
        <v>1781</v>
      </c>
      <c r="J992">
        <v>0</v>
      </c>
      <c r="K992">
        <v>0</v>
      </c>
      <c r="L992" t="s">
        <v>1806</v>
      </c>
      <c r="M992">
        <v>18</v>
      </c>
      <c r="N992" t="s">
        <v>3264</v>
      </c>
      <c r="O992" t="s">
        <v>3265</v>
      </c>
    </row>
    <row r="993" spans="1:15" x14ac:dyDescent="0.2">
      <c r="A993">
        <v>99</v>
      </c>
      <c r="B993" t="s">
        <v>2117</v>
      </c>
      <c r="C993" t="s">
        <v>942</v>
      </c>
      <c r="D993" t="s">
        <v>1649</v>
      </c>
      <c r="E993" t="s">
        <v>1145</v>
      </c>
      <c r="F993">
        <v>1.9199999999999998E-2</v>
      </c>
      <c r="G993">
        <v>3.95</v>
      </c>
      <c r="H993" t="s">
        <v>1781</v>
      </c>
      <c r="I993" t="s">
        <v>1781</v>
      </c>
      <c r="J993">
        <v>7.5840000000000005E-2</v>
      </c>
      <c r="K993">
        <v>1.3651199999999999</v>
      </c>
      <c r="L993" t="s">
        <v>1806</v>
      </c>
      <c r="M993">
        <v>18</v>
      </c>
      <c r="N993" t="s">
        <v>3270</v>
      </c>
      <c r="O993" t="s">
        <v>3265</v>
      </c>
    </row>
    <row r="994" spans="1:15" x14ac:dyDescent="0.2">
      <c r="A994">
        <v>99</v>
      </c>
      <c r="B994" t="s">
        <v>2117</v>
      </c>
      <c r="C994" t="s">
        <v>953</v>
      </c>
      <c r="D994" t="s">
        <v>950</v>
      </c>
      <c r="E994" t="s">
        <v>1391</v>
      </c>
      <c r="F994">
        <v>0</v>
      </c>
      <c r="G994">
        <v>15.0943</v>
      </c>
      <c r="H994" t="s">
        <v>151</v>
      </c>
      <c r="I994" t="s">
        <v>1781</v>
      </c>
      <c r="J994">
        <v>0</v>
      </c>
      <c r="K994">
        <v>0</v>
      </c>
      <c r="L994" t="s">
        <v>1731</v>
      </c>
      <c r="M994">
        <v>22</v>
      </c>
      <c r="N994" t="s">
        <v>3273</v>
      </c>
      <c r="O994" t="s">
        <v>3272</v>
      </c>
    </row>
    <row r="995" spans="1:15" x14ac:dyDescent="0.2">
      <c r="A995">
        <v>99</v>
      </c>
      <c r="B995" t="s">
        <v>2117</v>
      </c>
      <c r="C995" t="s">
        <v>953</v>
      </c>
      <c r="D995" t="s">
        <v>16</v>
      </c>
      <c r="E995" t="s">
        <v>3064</v>
      </c>
      <c r="F995">
        <v>1</v>
      </c>
      <c r="G995">
        <v>628.09</v>
      </c>
      <c r="H995" t="s">
        <v>1781</v>
      </c>
      <c r="I995" t="s">
        <v>1781</v>
      </c>
      <c r="J995">
        <v>628.09</v>
      </c>
      <c r="K995">
        <v>13817.98</v>
      </c>
      <c r="L995" t="s">
        <v>1731</v>
      </c>
      <c r="M995">
        <v>22</v>
      </c>
      <c r="N995" t="s">
        <v>3271</v>
      </c>
      <c r="O995" t="s">
        <v>3272</v>
      </c>
    </row>
    <row r="996" spans="1:15" x14ac:dyDescent="0.2">
      <c r="A996">
        <v>99</v>
      </c>
      <c r="B996" t="s">
        <v>2117</v>
      </c>
      <c r="C996" t="s">
        <v>953</v>
      </c>
      <c r="D996" t="s">
        <v>498</v>
      </c>
      <c r="E996" t="s">
        <v>773</v>
      </c>
      <c r="F996">
        <v>1.2</v>
      </c>
      <c r="G996">
        <v>0</v>
      </c>
      <c r="H996" t="s">
        <v>84</v>
      </c>
      <c r="I996" t="s">
        <v>1781</v>
      </c>
      <c r="J996">
        <v>0</v>
      </c>
      <c r="K996">
        <v>0</v>
      </c>
      <c r="L996" t="s">
        <v>1731</v>
      </c>
      <c r="M996">
        <v>22</v>
      </c>
      <c r="N996" t="s">
        <v>3275</v>
      </c>
      <c r="O996" t="s">
        <v>3272</v>
      </c>
    </row>
    <row r="997" spans="1:15" x14ac:dyDescent="0.2">
      <c r="A997">
        <v>99</v>
      </c>
      <c r="B997" t="s">
        <v>2117</v>
      </c>
      <c r="C997" t="s">
        <v>953</v>
      </c>
      <c r="D997" t="s">
        <v>801</v>
      </c>
      <c r="E997" t="s">
        <v>402</v>
      </c>
      <c r="F997">
        <v>0</v>
      </c>
      <c r="G997">
        <v>10.3</v>
      </c>
      <c r="H997" t="s">
        <v>151</v>
      </c>
      <c r="I997" t="s">
        <v>1781</v>
      </c>
      <c r="J997">
        <v>0</v>
      </c>
      <c r="K997">
        <v>0</v>
      </c>
      <c r="L997" t="s">
        <v>1731</v>
      </c>
      <c r="M997">
        <v>22</v>
      </c>
      <c r="N997" t="s">
        <v>3274</v>
      </c>
      <c r="O997" t="s">
        <v>3272</v>
      </c>
    </row>
    <row r="998" spans="1:15" x14ac:dyDescent="0.2">
      <c r="A998">
        <v>99</v>
      </c>
      <c r="B998" t="s">
        <v>2117</v>
      </c>
      <c r="C998" t="s">
        <v>717</v>
      </c>
      <c r="D998" t="s">
        <v>801</v>
      </c>
      <c r="E998" t="s">
        <v>402</v>
      </c>
      <c r="F998">
        <v>0</v>
      </c>
      <c r="G998">
        <v>10.3</v>
      </c>
      <c r="H998" t="s">
        <v>151</v>
      </c>
      <c r="I998" t="s">
        <v>1781</v>
      </c>
      <c r="J998">
        <v>0</v>
      </c>
      <c r="K998">
        <v>0</v>
      </c>
      <c r="L998" t="s">
        <v>1808</v>
      </c>
      <c r="M998">
        <v>153</v>
      </c>
      <c r="N998" t="s">
        <v>3280</v>
      </c>
      <c r="O998" t="s">
        <v>3277</v>
      </c>
    </row>
    <row r="999" spans="1:15" x14ac:dyDescent="0.2">
      <c r="A999">
        <v>99</v>
      </c>
      <c r="B999" t="s">
        <v>2117</v>
      </c>
      <c r="C999" t="s">
        <v>717</v>
      </c>
      <c r="D999" t="s">
        <v>498</v>
      </c>
      <c r="E999" t="s">
        <v>773</v>
      </c>
      <c r="F999">
        <v>1.2</v>
      </c>
      <c r="G999">
        <v>0</v>
      </c>
      <c r="H999" t="s">
        <v>84</v>
      </c>
      <c r="I999" t="s">
        <v>1781</v>
      </c>
      <c r="J999">
        <v>0</v>
      </c>
      <c r="K999">
        <v>0</v>
      </c>
      <c r="L999" t="s">
        <v>1808</v>
      </c>
      <c r="M999">
        <v>153</v>
      </c>
      <c r="N999" t="s">
        <v>3281</v>
      </c>
      <c r="O999" t="s">
        <v>3277</v>
      </c>
    </row>
    <row r="1000" spans="1:15" x14ac:dyDescent="0.2">
      <c r="A1000">
        <v>99</v>
      </c>
      <c r="B1000" t="s">
        <v>2117</v>
      </c>
      <c r="C1000" t="s">
        <v>717</v>
      </c>
      <c r="D1000" t="s">
        <v>1827</v>
      </c>
      <c r="E1000" t="s">
        <v>3076</v>
      </c>
      <c r="F1000">
        <v>1</v>
      </c>
      <c r="G1000">
        <v>30</v>
      </c>
      <c r="H1000" t="s">
        <v>1781</v>
      </c>
      <c r="I1000" t="s">
        <v>1781</v>
      </c>
      <c r="J1000">
        <v>30</v>
      </c>
      <c r="K1000">
        <v>4590</v>
      </c>
      <c r="L1000" t="s">
        <v>1808</v>
      </c>
      <c r="M1000">
        <v>153</v>
      </c>
      <c r="N1000" t="s">
        <v>3276</v>
      </c>
      <c r="O1000" t="s">
        <v>3277</v>
      </c>
    </row>
    <row r="1001" spans="1:15" x14ac:dyDescent="0.2">
      <c r="A1001">
        <v>99</v>
      </c>
      <c r="B1001" t="s">
        <v>2117</v>
      </c>
      <c r="C1001" t="s">
        <v>717</v>
      </c>
      <c r="D1001" t="s">
        <v>950</v>
      </c>
      <c r="E1001" t="s">
        <v>1391</v>
      </c>
      <c r="F1001">
        <v>0</v>
      </c>
      <c r="G1001">
        <v>15.0943</v>
      </c>
      <c r="H1001" t="s">
        <v>151</v>
      </c>
      <c r="I1001" t="s">
        <v>1781</v>
      </c>
      <c r="J1001">
        <v>0</v>
      </c>
      <c r="K1001">
        <v>0</v>
      </c>
      <c r="L1001" t="s">
        <v>1808</v>
      </c>
      <c r="M1001">
        <v>153</v>
      </c>
      <c r="N1001" t="s">
        <v>3279</v>
      </c>
      <c r="O1001" t="s">
        <v>3277</v>
      </c>
    </row>
    <row r="1002" spans="1:15" x14ac:dyDescent="0.2">
      <c r="A1002">
        <v>99</v>
      </c>
      <c r="B1002" t="s">
        <v>2117</v>
      </c>
      <c r="C1002" t="s">
        <v>717</v>
      </c>
      <c r="D1002" t="s">
        <v>1649</v>
      </c>
      <c r="E1002" t="s">
        <v>1145</v>
      </c>
      <c r="F1002">
        <v>2.1000000000000001E-2</v>
      </c>
      <c r="G1002">
        <v>3.95</v>
      </c>
      <c r="H1002" t="s">
        <v>1781</v>
      </c>
      <c r="I1002" t="s">
        <v>1781</v>
      </c>
      <c r="J1002">
        <v>8.2949999999999996E-2</v>
      </c>
      <c r="K1002">
        <v>12.69135</v>
      </c>
      <c r="L1002" t="s">
        <v>1808</v>
      </c>
      <c r="M1002">
        <v>153</v>
      </c>
      <c r="N1002" t="s">
        <v>3278</v>
      </c>
      <c r="O1002" t="s">
        <v>3277</v>
      </c>
    </row>
    <row r="1003" spans="1:15" x14ac:dyDescent="0.2">
      <c r="A1003">
        <v>99</v>
      </c>
      <c r="B1003" t="s">
        <v>2117</v>
      </c>
      <c r="C1003" t="s">
        <v>720</v>
      </c>
      <c r="D1003" t="s">
        <v>1649</v>
      </c>
      <c r="E1003" t="s">
        <v>1145</v>
      </c>
      <c r="F1003">
        <v>4.8000000000000001E-2</v>
      </c>
      <c r="G1003">
        <v>3.95</v>
      </c>
      <c r="H1003" t="s">
        <v>1781</v>
      </c>
      <c r="I1003" t="s">
        <v>1781</v>
      </c>
      <c r="J1003">
        <v>0.18959999999999999</v>
      </c>
      <c r="K1003">
        <v>12.892799999999999</v>
      </c>
      <c r="L1003" t="s">
        <v>1803</v>
      </c>
      <c r="M1003">
        <v>68</v>
      </c>
      <c r="N1003" t="s">
        <v>3284</v>
      </c>
      <c r="O1003" t="s">
        <v>3283</v>
      </c>
    </row>
    <row r="1004" spans="1:15" x14ac:dyDescent="0.2">
      <c r="A1004">
        <v>99</v>
      </c>
      <c r="B1004" t="s">
        <v>2117</v>
      </c>
      <c r="C1004" t="s">
        <v>720</v>
      </c>
      <c r="D1004" t="s">
        <v>950</v>
      </c>
      <c r="E1004" t="s">
        <v>1391</v>
      </c>
      <c r="F1004">
        <v>0</v>
      </c>
      <c r="G1004">
        <v>15.0943</v>
      </c>
      <c r="H1004" t="s">
        <v>151</v>
      </c>
      <c r="I1004" t="s">
        <v>1781</v>
      </c>
      <c r="J1004">
        <v>0</v>
      </c>
      <c r="K1004">
        <v>0</v>
      </c>
      <c r="L1004" t="s">
        <v>1803</v>
      </c>
      <c r="M1004">
        <v>68</v>
      </c>
      <c r="N1004" t="s">
        <v>3285</v>
      </c>
      <c r="O1004" t="s">
        <v>3283</v>
      </c>
    </row>
    <row r="1005" spans="1:15" x14ac:dyDescent="0.2">
      <c r="A1005">
        <v>99</v>
      </c>
      <c r="B1005" t="s">
        <v>2117</v>
      </c>
      <c r="C1005" t="s">
        <v>720</v>
      </c>
      <c r="D1005" t="s">
        <v>498</v>
      </c>
      <c r="E1005" t="s">
        <v>773</v>
      </c>
      <c r="F1005">
        <v>1.2</v>
      </c>
      <c r="G1005">
        <v>0</v>
      </c>
      <c r="H1005" t="s">
        <v>84</v>
      </c>
      <c r="I1005" t="s">
        <v>1781</v>
      </c>
      <c r="J1005">
        <v>0</v>
      </c>
      <c r="K1005">
        <v>0</v>
      </c>
      <c r="L1005" t="s">
        <v>1803</v>
      </c>
      <c r="M1005">
        <v>68</v>
      </c>
      <c r="N1005" t="s">
        <v>3287</v>
      </c>
      <c r="O1005" t="s">
        <v>3283</v>
      </c>
    </row>
    <row r="1006" spans="1:15" x14ac:dyDescent="0.2">
      <c r="A1006">
        <v>99</v>
      </c>
      <c r="B1006" t="s">
        <v>2117</v>
      </c>
      <c r="C1006" t="s">
        <v>720</v>
      </c>
      <c r="D1006" t="s">
        <v>1631</v>
      </c>
      <c r="E1006" t="s">
        <v>3125</v>
      </c>
      <c r="F1006">
        <v>1</v>
      </c>
      <c r="G1006">
        <v>405.16</v>
      </c>
      <c r="H1006" t="s">
        <v>1781</v>
      </c>
      <c r="I1006" t="s">
        <v>1781</v>
      </c>
      <c r="J1006">
        <v>405.16</v>
      </c>
      <c r="K1006">
        <v>27550.880000000001</v>
      </c>
      <c r="L1006" t="s">
        <v>1803</v>
      </c>
      <c r="M1006">
        <v>68</v>
      </c>
      <c r="N1006" t="s">
        <v>3282</v>
      </c>
      <c r="O1006" t="s">
        <v>3283</v>
      </c>
    </row>
    <row r="1007" spans="1:15" x14ac:dyDescent="0.2">
      <c r="A1007">
        <v>99</v>
      </c>
      <c r="B1007" t="s">
        <v>2117</v>
      </c>
      <c r="C1007" t="s">
        <v>720</v>
      </c>
      <c r="D1007" t="s">
        <v>801</v>
      </c>
      <c r="E1007" t="s">
        <v>402</v>
      </c>
      <c r="F1007">
        <v>0</v>
      </c>
      <c r="G1007">
        <v>10.3</v>
      </c>
      <c r="H1007" t="s">
        <v>151</v>
      </c>
      <c r="I1007" t="s">
        <v>1781</v>
      </c>
      <c r="J1007">
        <v>0</v>
      </c>
      <c r="K1007">
        <v>0</v>
      </c>
      <c r="L1007" t="s">
        <v>1803</v>
      </c>
      <c r="M1007">
        <v>68</v>
      </c>
      <c r="N1007" t="s">
        <v>3286</v>
      </c>
      <c r="O1007" t="s">
        <v>3283</v>
      </c>
    </row>
    <row r="1008" spans="1:15" x14ac:dyDescent="0.2">
      <c r="A1008">
        <v>99</v>
      </c>
      <c r="B1008" t="s">
        <v>2117</v>
      </c>
      <c r="C1008" t="s">
        <v>4961</v>
      </c>
      <c r="D1008" t="s">
        <v>801</v>
      </c>
      <c r="E1008" t="s">
        <v>402</v>
      </c>
      <c r="F1008">
        <v>0</v>
      </c>
      <c r="G1008">
        <v>10.3</v>
      </c>
      <c r="H1008" t="s">
        <v>151</v>
      </c>
      <c r="I1008" t="s">
        <v>1781</v>
      </c>
      <c r="J1008">
        <v>0</v>
      </c>
      <c r="K1008">
        <v>0</v>
      </c>
      <c r="L1008" t="s">
        <v>4962</v>
      </c>
      <c r="M1008">
        <v>9</v>
      </c>
      <c r="N1008" t="s">
        <v>4963</v>
      </c>
      <c r="O1008" t="s">
        <v>4964</v>
      </c>
    </row>
    <row r="1009" spans="1:15" x14ac:dyDescent="0.2">
      <c r="A1009">
        <v>99</v>
      </c>
      <c r="B1009" t="s">
        <v>2117</v>
      </c>
      <c r="C1009" t="s">
        <v>4961</v>
      </c>
      <c r="D1009" t="s">
        <v>4965</v>
      </c>
      <c r="E1009" t="s">
        <v>4966</v>
      </c>
      <c r="F1009">
        <v>1</v>
      </c>
      <c r="G1009">
        <v>300</v>
      </c>
      <c r="H1009" t="s">
        <v>1781</v>
      </c>
      <c r="I1009" t="s">
        <v>1781</v>
      </c>
      <c r="J1009">
        <v>300</v>
      </c>
      <c r="K1009">
        <v>2700</v>
      </c>
      <c r="L1009" t="s">
        <v>4962</v>
      </c>
      <c r="M1009">
        <v>9</v>
      </c>
      <c r="N1009" t="s">
        <v>4967</v>
      </c>
      <c r="O1009" t="s">
        <v>4964</v>
      </c>
    </row>
    <row r="1010" spans="1:15" x14ac:dyDescent="0.2">
      <c r="A1010">
        <v>99</v>
      </c>
      <c r="B1010" t="s">
        <v>2117</v>
      </c>
      <c r="C1010" t="s">
        <v>4961</v>
      </c>
      <c r="D1010" t="s">
        <v>498</v>
      </c>
      <c r="E1010" t="s">
        <v>773</v>
      </c>
      <c r="F1010">
        <v>1.2</v>
      </c>
      <c r="G1010">
        <v>0</v>
      </c>
      <c r="H1010" t="s">
        <v>84</v>
      </c>
      <c r="I1010" t="s">
        <v>1781</v>
      </c>
      <c r="J1010">
        <v>0</v>
      </c>
      <c r="K1010">
        <v>0</v>
      </c>
      <c r="L1010" t="s">
        <v>4962</v>
      </c>
      <c r="M1010">
        <v>9</v>
      </c>
      <c r="N1010" t="s">
        <v>4968</v>
      </c>
      <c r="O1010" t="s">
        <v>4964</v>
      </c>
    </row>
    <row r="1011" spans="1:15" x14ac:dyDescent="0.2">
      <c r="A1011">
        <v>99</v>
      </c>
      <c r="B1011" t="s">
        <v>2117</v>
      </c>
      <c r="C1011" t="s">
        <v>4961</v>
      </c>
      <c r="D1011" t="s">
        <v>950</v>
      </c>
      <c r="E1011" t="s">
        <v>1391</v>
      </c>
      <c r="F1011">
        <v>0</v>
      </c>
      <c r="G1011">
        <v>15.0943</v>
      </c>
      <c r="H1011" t="s">
        <v>151</v>
      </c>
      <c r="I1011" t="s">
        <v>1781</v>
      </c>
      <c r="J1011">
        <v>0</v>
      </c>
      <c r="K1011">
        <v>0</v>
      </c>
      <c r="L1011" t="s">
        <v>4962</v>
      </c>
      <c r="M1011">
        <v>9</v>
      </c>
      <c r="N1011" t="s">
        <v>4969</v>
      </c>
      <c r="O1011" t="s">
        <v>4964</v>
      </c>
    </row>
    <row r="1012" spans="1:15" x14ac:dyDescent="0.2">
      <c r="A1012">
        <v>99</v>
      </c>
      <c r="B1012" t="s">
        <v>2117</v>
      </c>
      <c r="C1012" t="s">
        <v>4961</v>
      </c>
      <c r="D1012" t="s">
        <v>1649</v>
      </c>
      <c r="E1012" t="s">
        <v>1145</v>
      </c>
      <c r="F1012">
        <v>1.9199999999999998E-2</v>
      </c>
      <c r="G1012">
        <v>3.95</v>
      </c>
      <c r="H1012" t="s">
        <v>1781</v>
      </c>
      <c r="I1012" t="s">
        <v>1781</v>
      </c>
      <c r="J1012">
        <v>7.5840000000000005E-2</v>
      </c>
      <c r="K1012">
        <v>0.68255999999999994</v>
      </c>
      <c r="L1012" t="s">
        <v>4962</v>
      </c>
      <c r="M1012">
        <v>9</v>
      </c>
      <c r="N1012" t="s">
        <v>4970</v>
      </c>
      <c r="O1012" t="s">
        <v>4964</v>
      </c>
    </row>
    <row r="1013" spans="1:15" x14ac:dyDescent="0.2">
      <c r="A1013">
        <v>99</v>
      </c>
      <c r="B1013" t="s">
        <v>2117</v>
      </c>
      <c r="C1013" t="s">
        <v>800</v>
      </c>
      <c r="D1013" t="s">
        <v>885</v>
      </c>
      <c r="E1013" t="s">
        <v>3086</v>
      </c>
      <c r="F1013">
        <v>6</v>
      </c>
      <c r="G1013">
        <v>19.559999999999999</v>
      </c>
      <c r="H1013" t="s">
        <v>1781</v>
      </c>
      <c r="I1013" t="s">
        <v>1781</v>
      </c>
      <c r="J1013">
        <v>117.36</v>
      </c>
      <c r="K1013">
        <v>3168.72</v>
      </c>
      <c r="L1013" t="s">
        <v>1578</v>
      </c>
      <c r="M1013">
        <v>27</v>
      </c>
      <c r="N1013" t="s">
        <v>3290</v>
      </c>
      <c r="O1013" t="s">
        <v>3289</v>
      </c>
    </row>
    <row r="1014" spans="1:15" x14ac:dyDescent="0.2">
      <c r="A1014">
        <v>99</v>
      </c>
      <c r="B1014" t="s">
        <v>2117</v>
      </c>
      <c r="C1014" t="s">
        <v>800</v>
      </c>
      <c r="D1014" t="s">
        <v>950</v>
      </c>
      <c r="E1014" t="s">
        <v>1391</v>
      </c>
      <c r="F1014">
        <v>0</v>
      </c>
      <c r="G1014">
        <v>15.0943</v>
      </c>
      <c r="H1014" t="s">
        <v>151</v>
      </c>
      <c r="I1014" t="s">
        <v>1781</v>
      </c>
      <c r="J1014">
        <v>0</v>
      </c>
      <c r="K1014">
        <v>0</v>
      </c>
      <c r="L1014" t="s">
        <v>1578</v>
      </c>
      <c r="M1014">
        <v>27</v>
      </c>
      <c r="N1014" t="s">
        <v>3291</v>
      </c>
      <c r="O1014" t="s">
        <v>3289</v>
      </c>
    </row>
    <row r="1015" spans="1:15" x14ac:dyDescent="0.2">
      <c r="A1015">
        <v>99</v>
      </c>
      <c r="B1015" t="s">
        <v>2117</v>
      </c>
      <c r="C1015" t="s">
        <v>800</v>
      </c>
      <c r="D1015" t="s">
        <v>498</v>
      </c>
      <c r="E1015" t="s">
        <v>773</v>
      </c>
      <c r="F1015">
        <v>1.2</v>
      </c>
      <c r="G1015">
        <v>0</v>
      </c>
      <c r="H1015" t="s">
        <v>84</v>
      </c>
      <c r="I1015" t="s">
        <v>1781</v>
      </c>
      <c r="J1015">
        <v>0</v>
      </c>
      <c r="K1015">
        <v>0</v>
      </c>
      <c r="L1015" t="s">
        <v>1578</v>
      </c>
      <c r="M1015">
        <v>27</v>
      </c>
      <c r="N1015" t="s">
        <v>3293</v>
      </c>
      <c r="O1015" t="s">
        <v>3289</v>
      </c>
    </row>
    <row r="1016" spans="1:15" x14ac:dyDescent="0.2">
      <c r="A1016">
        <v>99</v>
      </c>
      <c r="B1016" t="s">
        <v>2117</v>
      </c>
      <c r="C1016" t="s">
        <v>800</v>
      </c>
      <c r="D1016" t="s">
        <v>1886</v>
      </c>
      <c r="E1016" t="s">
        <v>3083</v>
      </c>
      <c r="F1016">
        <v>1</v>
      </c>
      <c r="G1016">
        <v>125.3824</v>
      </c>
      <c r="H1016" t="s">
        <v>1781</v>
      </c>
      <c r="I1016" t="s">
        <v>1781</v>
      </c>
      <c r="J1016">
        <v>125.3824</v>
      </c>
      <c r="K1016">
        <v>3385.3247999999999</v>
      </c>
      <c r="L1016" t="s">
        <v>1578</v>
      </c>
      <c r="M1016">
        <v>27</v>
      </c>
      <c r="N1016" t="s">
        <v>3288</v>
      </c>
      <c r="O1016" t="s">
        <v>3289</v>
      </c>
    </row>
    <row r="1017" spans="1:15" x14ac:dyDescent="0.2">
      <c r="A1017">
        <v>99</v>
      </c>
      <c r="B1017" t="s">
        <v>2117</v>
      </c>
      <c r="C1017" t="s">
        <v>800</v>
      </c>
      <c r="D1017" t="s">
        <v>801</v>
      </c>
      <c r="E1017" t="s">
        <v>402</v>
      </c>
      <c r="F1017">
        <v>0</v>
      </c>
      <c r="G1017">
        <v>10.3</v>
      </c>
      <c r="H1017" t="s">
        <v>151</v>
      </c>
      <c r="I1017" t="s">
        <v>1781</v>
      </c>
      <c r="J1017">
        <v>0</v>
      </c>
      <c r="K1017">
        <v>0</v>
      </c>
      <c r="L1017" t="s">
        <v>1578</v>
      </c>
      <c r="M1017">
        <v>27</v>
      </c>
      <c r="N1017" t="s">
        <v>3292</v>
      </c>
      <c r="O1017" t="s">
        <v>3289</v>
      </c>
    </row>
    <row r="1018" spans="1:15" x14ac:dyDescent="0.2">
      <c r="A1018">
        <v>99</v>
      </c>
      <c r="B1018" t="s">
        <v>2117</v>
      </c>
      <c r="C1018" t="s">
        <v>802</v>
      </c>
      <c r="D1018" t="s">
        <v>801</v>
      </c>
      <c r="E1018" t="s">
        <v>402</v>
      </c>
      <c r="F1018">
        <v>0</v>
      </c>
      <c r="G1018">
        <v>10.3</v>
      </c>
      <c r="H1018" t="s">
        <v>151</v>
      </c>
      <c r="I1018" t="s">
        <v>1781</v>
      </c>
      <c r="J1018">
        <v>0</v>
      </c>
      <c r="K1018">
        <v>0</v>
      </c>
      <c r="L1018" t="s">
        <v>1583</v>
      </c>
      <c r="M1018">
        <v>13</v>
      </c>
      <c r="N1018" t="s">
        <v>3298</v>
      </c>
      <c r="O1018" t="s">
        <v>3295</v>
      </c>
    </row>
    <row r="1019" spans="1:15" x14ac:dyDescent="0.2">
      <c r="A1019">
        <v>99</v>
      </c>
      <c r="B1019" t="s">
        <v>2117</v>
      </c>
      <c r="C1019" t="s">
        <v>802</v>
      </c>
      <c r="D1019" t="s">
        <v>498</v>
      </c>
      <c r="E1019" t="s">
        <v>773</v>
      </c>
      <c r="F1019">
        <v>1.2</v>
      </c>
      <c r="G1019">
        <v>0</v>
      </c>
      <c r="H1019" t="s">
        <v>84</v>
      </c>
      <c r="I1019" t="s">
        <v>1781</v>
      </c>
      <c r="J1019">
        <v>0</v>
      </c>
      <c r="K1019">
        <v>0</v>
      </c>
      <c r="L1019" t="s">
        <v>1583</v>
      </c>
      <c r="M1019">
        <v>13</v>
      </c>
      <c r="N1019" t="s">
        <v>3299</v>
      </c>
      <c r="O1019" t="s">
        <v>3295</v>
      </c>
    </row>
    <row r="1020" spans="1:15" x14ac:dyDescent="0.2">
      <c r="A1020">
        <v>99</v>
      </c>
      <c r="B1020" t="s">
        <v>2117</v>
      </c>
      <c r="C1020" t="s">
        <v>802</v>
      </c>
      <c r="D1020" t="s">
        <v>950</v>
      </c>
      <c r="E1020" t="s">
        <v>1391</v>
      </c>
      <c r="F1020">
        <v>0</v>
      </c>
      <c r="G1020">
        <v>15.0943</v>
      </c>
      <c r="H1020" t="s">
        <v>151</v>
      </c>
      <c r="I1020" t="s">
        <v>1781</v>
      </c>
      <c r="J1020">
        <v>0</v>
      </c>
      <c r="K1020">
        <v>0</v>
      </c>
      <c r="L1020" t="s">
        <v>1583</v>
      </c>
      <c r="M1020">
        <v>13</v>
      </c>
      <c r="N1020" t="s">
        <v>3297</v>
      </c>
      <c r="O1020" t="s">
        <v>3295</v>
      </c>
    </row>
    <row r="1021" spans="1:15" x14ac:dyDescent="0.2">
      <c r="A1021">
        <v>99</v>
      </c>
      <c r="B1021" t="s">
        <v>2117</v>
      </c>
      <c r="C1021" t="s">
        <v>802</v>
      </c>
      <c r="D1021" t="s">
        <v>1883</v>
      </c>
      <c r="E1021" t="s">
        <v>3091</v>
      </c>
      <c r="F1021">
        <v>1</v>
      </c>
      <c r="G1021">
        <v>151.83690000000001</v>
      </c>
      <c r="H1021" t="s">
        <v>1781</v>
      </c>
      <c r="I1021" t="s">
        <v>1781</v>
      </c>
      <c r="J1021">
        <v>151.83690000000001</v>
      </c>
      <c r="K1021">
        <v>1973.8797</v>
      </c>
      <c r="L1021" t="s">
        <v>1583</v>
      </c>
      <c r="M1021">
        <v>13</v>
      </c>
      <c r="N1021" t="s">
        <v>3294</v>
      </c>
      <c r="O1021" t="s">
        <v>3295</v>
      </c>
    </row>
    <row r="1022" spans="1:15" x14ac:dyDescent="0.2">
      <c r="A1022">
        <v>99</v>
      </c>
      <c r="B1022" t="s">
        <v>2117</v>
      </c>
      <c r="C1022" t="s">
        <v>802</v>
      </c>
      <c r="D1022" t="s">
        <v>885</v>
      </c>
      <c r="E1022" t="s">
        <v>3086</v>
      </c>
      <c r="F1022">
        <v>6</v>
      </c>
      <c r="G1022">
        <v>19.559999999999999</v>
      </c>
      <c r="H1022" t="s">
        <v>1781</v>
      </c>
      <c r="I1022" t="s">
        <v>1781</v>
      </c>
      <c r="J1022">
        <v>117.36</v>
      </c>
      <c r="K1022">
        <v>1525.68</v>
      </c>
      <c r="L1022" t="s">
        <v>1583</v>
      </c>
      <c r="M1022">
        <v>13</v>
      </c>
      <c r="N1022" t="s">
        <v>3296</v>
      </c>
      <c r="O1022" t="s">
        <v>3295</v>
      </c>
    </row>
    <row r="1023" spans="1:15" x14ac:dyDescent="0.2">
      <c r="A1023">
        <v>99</v>
      </c>
      <c r="B1023" t="s">
        <v>2117</v>
      </c>
      <c r="C1023" t="s">
        <v>803</v>
      </c>
      <c r="D1023" t="s">
        <v>885</v>
      </c>
      <c r="E1023" t="s">
        <v>3086</v>
      </c>
      <c r="F1023">
        <v>6</v>
      </c>
      <c r="G1023">
        <v>19.559999999999999</v>
      </c>
      <c r="H1023" t="s">
        <v>1781</v>
      </c>
      <c r="I1023" t="s">
        <v>1781</v>
      </c>
      <c r="J1023">
        <v>117.36</v>
      </c>
      <c r="K1023">
        <v>2112.48</v>
      </c>
      <c r="L1023" t="s">
        <v>1585</v>
      </c>
      <c r="M1023">
        <v>18</v>
      </c>
      <c r="N1023" t="s">
        <v>3302</v>
      </c>
      <c r="O1023" t="s">
        <v>3301</v>
      </c>
    </row>
    <row r="1024" spans="1:15" x14ac:dyDescent="0.2">
      <c r="A1024">
        <v>99</v>
      </c>
      <c r="B1024" t="s">
        <v>2117</v>
      </c>
      <c r="C1024" t="s">
        <v>803</v>
      </c>
      <c r="D1024" t="s">
        <v>1834</v>
      </c>
      <c r="E1024" t="s">
        <v>3098</v>
      </c>
      <c r="F1024">
        <v>1</v>
      </c>
      <c r="G1024">
        <v>154.97880000000001</v>
      </c>
      <c r="H1024" t="s">
        <v>1781</v>
      </c>
      <c r="I1024" t="s">
        <v>1781</v>
      </c>
      <c r="J1024">
        <v>154.97880000000001</v>
      </c>
      <c r="K1024">
        <v>2789.6183999999998</v>
      </c>
      <c r="L1024" t="s">
        <v>1585</v>
      </c>
      <c r="M1024">
        <v>18</v>
      </c>
      <c r="N1024" t="s">
        <v>3300</v>
      </c>
      <c r="O1024" t="s">
        <v>3301</v>
      </c>
    </row>
    <row r="1025" spans="1:15" x14ac:dyDescent="0.2">
      <c r="A1025">
        <v>99</v>
      </c>
      <c r="B1025" t="s">
        <v>2117</v>
      </c>
      <c r="C1025" t="s">
        <v>803</v>
      </c>
      <c r="D1025" t="s">
        <v>950</v>
      </c>
      <c r="E1025" t="s">
        <v>1391</v>
      </c>
      <c r="F1025">
        <v>0</v>
      </c>
      <c r="G1025">
        <v>15.0943</v>
      </c>
      <c r="H1025" t="s">
        <v>151</v>
      </c>
      <c r="I1025" t="s">
        <v>1781</v>
      </c>
      <c r="J1025">
        <v>0</v>
      </c>
      <c r="K1025">
        <v>0</v>
      </c>
      <c r="L1025" t="s">
        <v>1585</v>
      </c>
      <c r="M1025">
        <v>18</v>
      </c>
      <c r="N1025" t="s">
        <v>3303</v>
      </c>
      <c r="O1025" t="s">
        <v>3301</v>
      </c>
    </row>
    <row r="1026" spans="1:15" x14ac:dyDescent="0.2">
      <c r="A1026">
        <v>99</v>
      </c>
      <c r="B1026" t="s">
        <v>2117</v>
      </c>
      <c r="C1026" t="s">
        <v>803</v>
      </c>
      <c r="D1026" t="s">
        <v>498</v>
      </c>
      <c r="E1026" t="s">
        <v>773</v>
      </c>
      <c r="F1026">
        <v>1.2</v>
      </c>
      <c r="G1026">
        <v>0</v>
      </c>
      <c r="H1026" t="s">
        <v>84</v>
      </c>
      <c r="I1026" t="s">
        <v>1781</v>
      </c>
      <c r="J1026">
        <v>0</v>
      </c>
      <c r="K1026">
        <v>0</v>
      </c>
      <c r="L1026" t="s">
        <v>1585</v>
      </c>
      <c r="M1026">
        <v>18</v>
      </c>
      <c r="N1026" t="s">
        <v>3305</v>
      </c>
      <c r="O1026" t="s">
        <v>3301</v>
      </c>
    </row>
    <row r="1027" spans="1:15" x14ac:dyDescent="0.2">
      <c r="A1027">
        <v>99</v>
      </c>
      <c r="B1027" t="s">
        <v>2117</v>
      </c>
      <c r="C1027" t="s">
        <v>803</v>
      </c>
      <c r="D1027" t="s">
        <v>801</v>
      </c>
      <c r="E1027" t="s">
        <v>402</v>
      </c>
      <c r="F1027">
        <v>0</v>
      </c>
      <c r="G1027">
        <v>10.3</v>
      </c>
      <c r="H1027" t="s">
        <v>151</v>
      </c>
      <c r="I1027" t="s">
        <v>1781</v>
      </c>
      <c r="J1027">
        <v>0</v>
      </c>
      <c r="K1027">
        <v>0</v>
      </c>
      <c r="L1027" t="s">
        <v>1585</v>
      </c>
      <c r="M1027">
        <v>18</v>
      </c>
      <c r="N1027" t="s">
        <v>3304</v>
      </c>
      <c r="O1027" t="s">
        <v>3301</v>
      </c>
    </row>
    <row r="1028" spans="1:15" x14ac:dyDescent="0.2">
      <c r="A1028">
        <v>99</v>
      </c>
      <c r="B1028" t="s">
        <v>2117</v>
      </c>
      <c r="C1028" t="s">
        <v>804</v>
      </c>
      <c r="D1028" t="s">
        <v>801</v>
      </c>
      <c r="E1028" t="s">
        <v>402</v>
      </c>
      <c r="F1028">
        <v>0</v>
      </c>
      <c r="G1028">
        <v>10.3</v>
      </c>
      <c r="H1028" t="s">
        <v>151</v>
      </c>
      <c r="I1028" t="s">
        <v>1781</v>
      </c>
      <c r="J1028">
        <v>0</v>
      </c>
      <c r="K1028">
        <v>0</v>
      </c>
      <c r="L1028" t="s">
        <v>1573</v>
      </c>
      <c r="M1028">
        <v>2</v>
      </c>
      <c r="N1028" t="s">
        <v>3310</v>
      </c>
      <c r="O1028" t="s">
        <v>3307</v>
      </c>
    </row>
    <row r="1029" spans="1:15" x14ac:dyDescent="0.2">
      <c r="A1029">
        <v>99</v>
      </c>
      <c r="B1029" t="s">
        <v>2117</v>
      </c>
      <c r="C1029" t="s">
        <v>804</v>
      </c>
      <c r="D1029" t="s">
        <v>498</v>
      </c>
      <c r="E1029" t="s">
        <v>773</v>
      </c>
      <c r="F1029">
        <v>1.2</v>
      </c>
      <c r="G1029">
        <v>0</v>
      </c>
      <c r="H1029" t="s">
        <v>84</v>
      </c>
      <c r="I1029" t="s">
        <v>1781</v>
      </c>
      <c r="J1029">
        <v>0</v>
      </c>
      <c r="K1029">
        <v>0</v>
      </c>
      <c r="L1029" t="s">
        <v>1573</v>
      </c>
      <c r="M1029">
        <v>2</v>
      </c>
      <c r="N1029" t="s">
        <v>3311</v>
      </c>
      <c r="O1029" t="s">
        <v>3307</v>
      </c>
    </row>
    <row r="1030" spans="1:15" x14ac:dyDescent="0.2">
      <c r="A1030">
        <v>99</v>
      </c>
      <c r="B1030" t="s">
        <v>2117</v>
      </c>
      <c r="C1030" t="s">
        <v>804</v>
      </c>
      <c r="D1030" t="s">
        <v>1888</v>
      </c>
      <c r="E1030" t="s">
        <v>3105</v>
      </c>
      <c r="F1030">
        <v>1</v>
      </c>
      <c r="G1030">
        <v>2109.31</v>
      </c>
      <c r="H1030" t="s">
        <v>1781</v>
      </c>
      <c r="I1030" t="s">
        <v>1781</v>
      </c>
      <c r="J1030">
        <v>2109.31</v>
      </c>
      <c r="K1030">
        <v>4218.62</v>
      </c>
      <c r="L1030" t="s">
        <v>1573</v>
      </c>
      <c r="M1030">
        <v>2</v>
      </c>
      <c r="N1030" t="s">
        <v>3306</v>
      </c>
      <c r="O1030" t="s">
        <v>3307</v>
      </c>
    </row>
    <row r="1031" spans="1:15" x14ac:dyDescent="0.2">
      <c r="A1031">
        <v>99</v>
      </c>
      <c r="B1031" t="s">
        <v>2117</v>
      </c>
      <c r="C1031" t="s">
        <v>804</v>
      </c>
      <c r="D1031" t="s">
        <v>950</v>
      </c>
      <c r="E1031" t="s">
        <v>1391</v>
      </c>
      <c r="F1031">
        <v>0</v>
      </c>
      <c r="G1031">
        <v>15.0943</v>
      </c>
      <c r="H1031" t="s">
        <v>151</v>
      </c>
      <c r="I1031" t="s">
        <v>1781</v>
      </c>
      <c r="J1031">
        <v>0</v>
      </c>
      <c r="K1031">
        <v>0</v>
      </c>
      <c r="L1031" t="s">
        <v>1573</v>
      </c>
      <c r="M1031">
        <v>2</v>
      </c>
      <c r="N1031" t="s">
        <v>3309</v>
      </c>
      <c r="O1031" t="s">
        <v>3307</v>
      </c>
    </row>
    <row r="1032" spans="1:15" x14ac:dyDescent="0.2">
      <c r="A1032">
        <v>99</v>
      </c>
      <c r="B1032" t="s">
        <v>2117</v>
      </c>
      <c r="C1032" t="s">
        <v>804</v>
      </c>
      <c r="D1032" t="s">
        <v>885</v>
      </c>
      <c r="E1032" t="s">
        <v>3086</v>
      </c>
      <c r="F1032">
        <v>8</v>
      </c>
      <c r="G1032">
        <v>19.559999999999999</v>
      </c>
      <c r="H1032" t="s">
        <v>1781</v>
      </c>
      <c r="I1032" t="s">
        <v>1781</v>
      </c>
      <c r="J1032">
        <v>156.47999999999999</v>
      </c>
      <c r="K1032">
        <v>312.95999999999998</v>
      </c>
      <c r="L1032" t="s">
        <v>1573</v>
      </c>
      <c r="M1032">
        <v>2</v>
      </c>
      <c r="N1032" t="s">
        <v>3308</v>
      </c>
      <c r="O1032" t="s">
        <v>3307</v>
      </c>
    </row>
    <row r="1033" spans="1:15" x14ac:dyDescent="0.2">
      <c r="A1033">
        <v>99</v>
      </c>
      <c r="B1033" t="s">
        <v>2117</v>
      </c>
      <c r="C1033" t="s">
        <v>809</v>
      </c>
      <c r="D1033" t="s">
        <v>1649</v>
      </c>
      <c r="E1033" t="s">
        <v>1145</v>
      </c>
      <c r="F1033">
        <v>3.32E-2</v>
      </c>
      <c r="G1033">
        <v>3.95</v>
      </c>
      <c r="H1033" t="s">
        <v>1781</v>
      </c>
      <c r="I1033" t="s">
        <v>1781</v>
      </c>
      <c r="J1033">
        <v>0.13114000000000001</v>
      </c>
      <c r="K1033">
        <v>11.01576</v>
      </c>
      <c r="L1033" t="s">
        <v>1734</v>
      </c>
      <c r="M1033">
        <v>84</v>
      </c>
      <c r="N1033" t="s">
        <v>3314</v>
      </c>
      <c r="O1033" t="s">
        <v>3313</v>
      </c>
    </row>
    <row r="1034" spans="1:15" x14ac:dyDescent="0.2">
      <c r="A1034">
        <v>99</v>
      </c>
      <c r="B1034" t="s">
        <v>2117</v>
      </c>
      <c r="C1034" t="s">
        <v>809</v>
      </c>
      <c r="D1034" t="s">
        <v>950</v>
      </c>
      <c r="E1034" t="s">
        <v>1391</v>
      </c>
      <c r="F1034">
        <v>0</v>
      </c>
      <c r="G1034">
        <v>15.0943</v>
      </c>
      <c r="H1034" t="s">
        <v>151</v>
      </c>
      <c r="I1034" t="s">
        <v>1781</v>
      </c>
      <c r="J1034">
        <v>0</v>
      </c>
      <c r="K1034">
        <v>0</v>
      </c>
      <c r="L1034" t="s">
        <v>1734</v>
      </c>
      <c r="M1034">
        <v>84</v>
      </c>
      <c r="N1034" t="s">
        <v>3315</v>
      </c>
      <c r="O1034" t="s">
        <v>3313</v>
      </c>
    </row>
    <row r="1035" spans="1:15" x14ac:dyDescent="0.2">
      <c r="A1035">
        <v>99</v>
      </c>
      <c r="B1035" t="s">
        <v>2117</v>
      </c>
      <c r="C1035" t="s">
        <v>809</v>
      </c>
      <c r="D1035" t="s">
        <v>1898</v>
      </c>
      <c r="E1035" t="s">
        <v>3112</v>
      </c>
      <c r="F1035">
        <v>1</v>
      </c>
      <c r="G1035">
        <v>18</v>
      </c>
      <c r="H1035" t="s">
        <v>1781</v>
      </c>
      <c r="I1035" t="s">
        <v>1781</v>
      </c>
      <c r="J1035">
        <v>18</v>
      </c>
      <c r="K1035">
        <v>1512</v>
      </c>
      <c r="L1035" t="s">
        <v>1734</v>
      </c>
      <c r="M1035">
        <v>84</v>
      </c>
      <c r="N1035" t="s">
        <v>3312</v>
      </c>
      <c r="O1035" t="s">
        <v>3313</v>
      </c>
    </row>
    <row r="1036" spans="1:15" x14ac:dyDescent="0.2">
      <c r="A1036">
        <v>99</v>
      </c>
      <c r="B1036" t="s">
        <v>2117</v>
      </c>
      <c r="C1036" t="s">
        <v>809</v>
      </c>
      <c r="D1036" t="s">
        <v>498</v>
      </c>
      <c r="E1036" t="s">
        <v>773</v>
      </c>
      <c r="F1036">
        <v>1.2</v>
      </c>
      <c r="G1036">
        <v>0</v>
      </c>
      <c r="H1036" t="s">
        <v>84</v>
      </c>
      <c r="I1036" t="s">
        <v>1781</v>
      </c>
      <c r="J1036">
        <v>0</v>
      </c>
      <c r="K1036">
        <v>0</v>
      </c>
      <c r="L1036" t="s">
        <v>1734</v>
      </c>
      <c r="M1036">
        <v>84</v>
      </c>
      <c r="N1036" t="s">
        <v>3317</v>
      </c>
      <c r="O1036" t="s">
        <v>3313</v>
      </c>
    </row>
    <row r="1037" spans="1:15" x14ac:dyDescent="0.2">
      <c r="A1037">
        <v>99</v>
      </c>
      <c r="B1037" t="s">
        <v>2117</v>
      </c>
      <c r="C1037" t="s">
        <v>809</v>
      </c>
      <c r="D1037" t="s">
        <v>801</v>
      </c>
      <c r="E1037" t="s">
        <v>402</v>
      </c>
      <c r="F1037">
        <v>0</v>
      </c>
      <c r="G1037">
        <v>10.3</v>
      </c>
      <c r="H1037" t="s">
        <v>151</v>
      </c>
      <c r="I1037" t="s">
        <v>1781</v>
      </c>
      <c r="J1037">
        <v>0</v>
      </c>
      <c r="K1037">
        <v>0</v>
      </c>
      <c r="L1037" t="s">
        <v>1734</v>
      </c>
      <c r="M1037">
        <v>84</v>
      </c>
      <c r="N1037" t="s">
        <v>3316</v>
      </c>
      <c r="O1037" t="s">
        <v>3313</v>
      </c>
    </row>
    <row r="1038" spans="1:15" x14ac:dyDescent="0.2">
      <c r="A1038">
        <v>99</v>
      </c>
      <c r="B1038" t="s">
        <v>2117</v>
      </c>
      <c r="C1038" t="s">
        <v>813</v>
      </c>
      <c r="D1038" t="s">
        <v>801</v>
      </c>
      <c r="E1038" t="s">
        <v>402</v>
      </c>
      <c r="F1038">
        <v>0</v>
      </c>
      <c r="G1038">
        <v>10.3</v>
      </c>
      <c r="H1038" t="s">
        <v>151</v>
      </c>
      <c r="I1038" t="s">
        <v>1781</v>
      </c>
      <c r="J1038">
        <v>0</v>
      </c>
      <c r="K1038">
        <v>0</v>
      </c>
      <c r="L1038" t="s">
        <v>1799</v>
      </c>
      <c r="M1038">
        <v>4</v>
      </c>
      <c r="N1038" t="s">
        <v>3322</v>
      </c>
      <c r="O1038" t="s">
        <v>3319</v>
      </c>
    </row>
    <row r="1039" spans="1:15" x14ac:dyDescent="0.2">
      <c r="A1039">
        <v>99</v>
      </c>
      <c r="B1039" t="s">
        <v>2117</v>
      </c>
      <c r="C1039" t="s">
        <v>813</v>
      </c>
      <c r="D1039" t="s">
        <v>498</v>
      </c>
      <c r="E1039" t="s">
        <v>773</v>
      </c>
      <c r="F1039">
        <v>1.2</v>
      </c>
      <c r="G1039">
        <v>0</v>
      </c>
      <c r="H1039" t="s">
        <v>84</v>
      </c>
      <c r="I1039" t="s">
        <v>1781</v>
      </c>
      <c r="J1039">
        <v>0</v>
      </c>
      <c r="K1039">
        <v>0</v>
      </c>
      <c r="L1039" t="s">
        <v>1799</v>
      </c>
      <c r="M1039">
        <v>4</v>
      </c>
      <c r="N1039" t="s">
        <v>3323</v>
      </c>
      <c r="O1039" t="s">
        <v>3319</v>
      </c>
    </row>
    <row r="1040" spans="1:15" x14ac:dyDescent="0.2">
      <c r="A1040">
        <v>99</v>
      </c>
      <c r="B1040" t="s">
        <v>2117</v>
      </c>
      <c r="C1040" t="s">
        <v>813</v>
      </c>
      <c r="D1040" t="s">
        <v>1900</v>
      </c>
      <c r="E1040" t="s">
        <v>1930</v>
      </c>
      <c r="F1040">
        <v>1</v>
      </c>
      <c r="G1040">
        <v>134.61000000000001</v>
      </c>
      <c r="H1040" t="s">
        <v>1781</v>
      </c>
      <c r="I1040" t="s">
        <v>1781</v>
      </c>
      <c r="J1040">
        <v>134.61000000000001</v>
      </c>
      <c r="K1040">
        <v>538.44000000000005</v>
      </c>
      <c r="L1040" t="s">
        <v>1799</v>
      </c>
      <c r="M1040">
        <v>4</v>
      </c>
      <c r="N1040" t="s">
        <v>3318</v>
      </c>
      <c r="O1040" t="s">
        <v>3319</v>
      </c>
    </row>
    <row r="1041" spans="1:15" x14ac:dyDescent="0.2">
      <c r="A1041">
        <v>99</v>
      </c>
      <c r="B1041" t="s">
        <v>2117</v>
      </c>
      <c r="C1041" t="s">
        <v>813</v>
      </c>
      <c r="D1041" t="s">
        <v>950</v>
      </c>
      <c r="E1041" t="s">
        <v>1391</v>
      </c>
      <c r="F1041">
        <v>0</v>
      </c>
      <c r="G1041">
        <v>15.0943</v>
      </c>
      <c r="H1041" t="s">
        <v>151</v>
      </c>
      <c r="I1041" t="s">
        <v>1781</v>
      </c>
      <c r="J1041">
        <v>0</v>
      </c>
      <c r="K1041">
        <v>0</v>
      </c>
      <c r="L1041" t="s">
        <v>1799</v>
      </c>
      <c r="M1041">
        <v>4</v>
      </c>
      <c r="N1041" t="s">
        <v>3321</v>
      </c>
      <c r="O1041" t="s">
        <v>3319</v>
      </c>
    </row>
    <row r="1042" spans="1:15" x14ac:dyDescent="0.2">
      <c r="A1042">
        <v>99</v>
      </c>
      <c r="B1042" t="s">
        <v>2117</v>
      </c>
      <c r="C1042" t="s">
        <v>813</v>
      </c>
      <c r="D1042" t="s">
        <v>1649</v>
      </c>
      <c r="E1042" t="s">
        <v>1145</v>
      </c>
      <c r="F1042">
        <v>4.8000000000000001E-2</v>
      </c>
      <c r="G1042">
        <v>3.95</v>
      </c>
      <c r="H1042" t="s">
        <v>1781</v>
      </c>
      <c r="I1042" t="s">
        <v>1781</v>
      </c>
      <c r="J1042">
        <v>0.18959999999999999</v>
      </c>
      <c r="K1042">
        <v>0.75839999999999996</v>
      </c>
      <c r="L1042" t="s">
        <v>1799</v>
      </c>
      <c r="M1042">
        <v>4</v>
      </c>
      <c r="N1042" t="s">
        <v>3320</v>
      </c>
      <c r="O1042" t="s">
        <v>3319</v>
      </c>
    </row>
    <row r="1043" spans="1:15" x14ac:dyDescent="0.2">
      <c r="A1043">
        <v>99</v>
      </c>
      <c r="B1043" t="s">
        <v>2117</v>
      </c>
      <c r="C1043" t="s">
        <v>594</v>
      </c>
      <c r="D1043" t="s">
        <v>950</v>
      </c>
      <c r="E1043" t="s">
        <v>1391</v>
      </c>
      <c r="F1043">
        <v>0</v>
      </c>
      <c r="G1043">
        <v>15.0943</v>
      </c>
      <c r="H1043" t="s">
        <v>151</v>
      </c>
      <c r="I1043" t="s">
        <v>153</v>
      </c>
      <c r="J1043">
        <v>0</v>
      </c>
      <c r="K1043">
        <v>0</v>
      </c>
      <c r="L1043" t="s">
        <v>1737</v>
      </c>
      <c r="M1043">
        <v>217.83</v>
      </c>
      <c r="N1043" t="s">
        <v>3329</v>
      </c>
      <c r="O1043" t="s">
        <v>3325</v>
      </c>
    </row>
    <row r="1044" spans="1:15" x14ac:dyDescent="0.2">
      <c r="A1044">
        <v>99</v>
      </c>
      <c r="B1044" t="s">
        <v>2117</v>
      </c>
      <c r="C1044" t="s">
        <v>594</v>
      </c>
      <c r="D1044" t="s">
        <v>1474</v>
      </c>
      <c r="E1044" t="s">
        <v>876</v>
      </c>
      <c r="F1044">
        <v>1</v>
      </c>
      <c r="G1044">
        <v>198</v>
      </c>
      <c r="H1044" t="s">
        <v>153</v>
      </c>
      <c r="I1044" t="s">
        <v>153</v>
      </c>
      <c r="J1044">
        <v>198</v>
      </c>
      <c r="K1044">
        <v>43130.34</v>
      </c>
      <c r="L1044" t="s">
        <v>1737</v>
      </c>
      <c r="M1044">
        <v>217.83</v>
      </c>
      <c r="N1044" t="s">
        <v>3324</v>
      </c>
      <c r="O1044" t="s">
        <v>3325</v>
      </c>
    </row>
    <row r="1045" spans="1:15" x14ac:dyDescent="0.2">
      <c r="A1045">
        <v>99</v>
      </c>
      <c r="B1045" t="s">
        <v>2117</v>
      </c>
      <c r="C1045" t="s">
        <v>594</v>
      </c>
      <c r="D1045" t="s">
        <v>160</v>
      </c>
      <c r="E1045" t="s">
        <v>726</v>
      </c>
      <c r="F1045">
        <v>3.5999999999999997E-2</v>
      </c>
      <c r="G1045">
        <v>1.96</v>
      </c>
      <c r="H1045" t="s">
        <v>1781</v>
      </c>
      <c r="I1045" t="s">
        <v>153</v>
      </c>
      <c r="J1045">
        <v>7.0559999999999998E-2</v>
      </c>
      <c r="K1045">
        <v>15.370085</v>
      </c>
      <c r="L1045" t="s">
        <v>1737</v>
      </c>
      <c r="M1045">
        <v>217.83</v>
      </c>
      <c r="N1045" t="s">
        <v>3326</v>
      </c>
      <c r="O1045" t="s">
        <v>3325</v>
      </c>
    </row>
    <row r="1046" spans="1:15" x14ac:dyDescent="0.2">
      <c r="A1046">
        <v>99</v>
      </c>
      <c r="B1046" t="s">
        <v>2117</v>
      </c>
      <c r="C1046" t="s">
        <v>594</v>
      </c>
      <c r="D1046" t="s">
        <v>498</v>
      </c>
      <c r="E1046" t="s">
        <v>773</v>
      </c>
      <c r="F1046">
        <v>1.2</v>
      </c>
      <c r="G1046">
        <v>0</v>
      </c>
      <c r="H1046" t="s">
        <v>84</v>
      </c>
      <c r="I1046" t="s">
        <v>153</v>
      </c>
      <c r="J1046">
        <v>0</v>
      </c>
      <c r="K1046">
        <v>0</v>
      </c>
      <c r="L1046" t="s">
        <v>1737</v>
      </c>
      <c r="M1046">
        <v>217.83</v>
      </c>
      <c r="N1046" t="s">
        <v>3331</v>
      </c>
      <c r="O1046" t="s">
        <v>3325</v>
      </c>
    </row>
    <row r="1047" spans="1:15" x14ac:dyDescent="0.2">
      <c r="A1047">
        <v>99</v>
      </c>
      <c r="B1047" t="s">
        <v>2117</v>
      </c>
      <c r="C1047" t="s">
        <v>594</v>
      </c>
      <c r="D1047" t="s">
        <v>801</v>
      </c>
      <c r="E1047" t="s">
        <v>402</v>
      </c>
      <c r="F1047">
        <v>0</v>
      </c>
      <c r="G1047">
        <v>10.3</v>
      </c>
      <c r="H1047" t="s">
        <v>151</v>
      </c>
      <c r="I1047" t="s">
        <v>153</v>
      </c>
      <c r="J1047">
        <v>0</v>
      </c>
      <c r="K1047">
        <v>0</v>
      </c>
      <c r="L1047" t="s">
        <v>1737</v>
      </c>
      <c r="M1047">
        <v>217.83</v>
      </c>
      <c r="N1047" t="s">
        <v>3330</v>
      </c>
      <c r="O1047" t="s">
        <v>3325</v>
      </c>
    </row>
    <row r="1048" spans="1:15" x14ac:dyDescent="0.2">
      <c r="A1048">
        <v>99</v>
      </c>
      <c r="B1048" t="s">
        <v>2117</v>
      </c>
      <c r="C1048" t="s">
        <v>594</v>
      </c>
      <c r="D1048" t="s">
        <v>1909</v>
      </c>
      <c r="E1048" t="s">
        <v>3136</v>
      </c>
      <c r="F1048">
        <v>7.4999999999999997E-3</v>
      </c>
      <c r="G1048">
        <v>66.42</v>
      </c>
      <c r="H1048" t="s">
        <v>1781</v>
      </c>
      <c r="I1048" t="s">
        <v>153</v>
      </c>
      <c r="J1048">
        <v>0.49814999999999998</v>
      </c>
      <c r="K1048">
        <v>108.51201500000001</v>
      </c>
      <c r="L1048" t="s">
        <v>1737</v>
      </c>
      <c r="M1048">
        <v>217.83</v>
      </c>
      <c r="N1048" t="s">
        <v>3327</v>
      </c>
      <c r="O1048" t="s">
        <v>3325</v>
      </c>
    </row>
    <row r="1049" spans="1:15" x14ac:dyDescent="0.2">
      <c r="A1049">
        <v>99</v>
      </c>
      <c r="B1049" t="s">
        <v>2117</v>
      </c>
      <c r="C1049" t="s">
        <v>594</v>
      </c>
      <c r="D1049" t="s">
        <v>626</v>
      </c>
      <c r="E1049" t="s">
        <v>1750</v>
      </c>
      <c r="F1049">
        <v>4.9000000000000002E-2</v>
      </c>
      <c r="G1049">
        <v>58.63</v>
      </c>
      <c r="H1049" t="s">
        <v>1781</v>
      </c>
      <c r="I1049" t="s">
        <v>153</v>
      </c>
      <c r="J1049">
        <v>2.8728699999999998</v>
      </c>
      <c r="K1049">
        <v>625.79727200000002</v>
      </c>
      <c r="L1049" t="s">
        <v>1737</v>
      </c>
      <c r="M1049">
        <v>217.83</v>
      </c>
      <c r="N1049" t="s">
        <v>3328</v>
      </c>
      <c r="O1049" t="s">
        <v>3325</v>
      </c>
    </row>
    <row r="1050" spans="1:15" x14ac:dyDescent="0.2">
      <c r="A1050">
        <v>99</v>
      </c>
      <c r="B1050" t="s">
        <v>2117</v>
      </c>
      <c r="C1050" t="s">
        <v>596</v>
      </c>
      <c r="D1050" t="s">
        <v>626</v>
      </c>
      <c r="E1050" t="s">
        <v>1750</v>
      </c>
      <c r="F1050">
        <v>4.8999999999999998E-3</v>
      </c>
      <c r="G1050">
        <v>58.63</v>
      </c>
      <c r="H1050" t="s">
        <v>1781</v>
      </c>
      <c r="I1050" t="s">
        <v>1781</v>
      </c>
      <c r="J1050">
        <v>0.28728700000000001</v>
      </c>
      <c r="K1050">
        <v>41.369328000000003</v>
      </c>
      <c r="L1050" t="s">
        <v>1741</v>
      </c>
      <c r="M1050">
        <v>144</v>
      </c>
      <c r="N1050" t="s">
        <v>3336</v>
      </c>
      <c r="O1050" t="s">
        <v>3333</v>
      </c>
    </row>
    <row r="1051" spans="1:15" x14ac:dyDescent="0.2">
      <c r="A1051">
        <v>99</v>
      </c>
      <c r="B1051" t="s">
        <v>2117</v>
      </c>
      <c r="C1051" t="s">
        <v>596</v>
      </c>
      <c r="D1051" t="s">
        <v>1909</v>
      </c>
      <c r="E1051" t="s">
        <v>3136</v>
      </c>
      <c r="F1051">
        <v>7.4999999999999997E-3</v>
      </c>
      <c r="G1051">
        <v>66.42</v>
      </c>
      <c r="H1051" t="s">
        <v>1781</v>
      </c>
      <c r="I1051" t="s">
        <v>1781</v>
      </c>
      <c r="J1051">
        <v>0.49814999999999998</v>
      </c>
      <c r="K1051">
        <v>71.733599999999996</v>
      </c>
      <c r="L1051" t="s">
        <v>1741</v>
      </c>
      <c r="M1051">
        <v>144</v>
      </c>
      <c r="N1051" t="s">
        <v>3335</v>
      </c>
      <c r="O1051" t="s">
        <v>3333</v>
      </c>
    </row>
    <row r="1052" spans="1:15" x14ac:dyDescent="0.2">
      <c r="A1052">
        <v>99</v>
      </c>
      <c r="B1052" t="s">
        <v>2117</v>
      </c>
      <c r="C1052" t="s">
        <v>596</v>
      </c>
      <c r="D1052" t="s">
        <v>801</v>
      </c>
      <c r="E1052" t="s">
        <v>402</v>
      </c>
      <c r="F1052">
        <v>0</v>
      </c>
      <c r="G1052">
        <v>10.3</v>
      </c>
      <c r="H1052" t="s">
        <v>151</v>
      </c>
      <c r="I1052" t="s">
        <v>1781</v>
      </c>
      <c r="J1052">
        <v>0</v>
      </c>
      <c r="K1052">
        <v>0</v>
      </c>
      <c r="L1052" t="s">
        <v>1741</v>
      </c>
      <c r="M1052">
        <v>144</v>
      </c>
      <c r="N1052" t="s">
        <v>3338</v>
      </c>
      <c r="O1052" t="s">
        <v>3333</v>
      </c>
    </row>
    <row r="1053" spans="1:15" x14ac:dyDescent="0.2">
      <c r="A1053">
        <v>99</v>
      </c>
      <c r="B1053" t="s">
        <v>2117</v>
      </c>
      <c r="C1053" t="s">
        <v>596</v>
      </c>
      <c r="D1053" t="s">
        <v>498</v>
      </c>
      <c r="E1053" t="s">
        <v>773</v>
      </c>
      <c r="F1053">
        <v>1.2</v>
      </c>
      <c r="G1053">
        <v>0</v>
      </c>
      <c r="H1053" t="s">
        <v>84</v>
      </c>
      <c r="I1053" t="s">
        <v>1781</v>
      </c>
      <c r="J1053">
        <v>0</v>
      </c>
      <c r="K1053">
        <v>0</v>
      </c>
      <c r="L1053" t="s">
        <v>1741</v>
      </c>
      <c r="M1053">
        <v>144</v>
      </c>
      <c r="N1053" t="s">
        <v>3339</v>
      </c>
      <c r="O1053" t="s">
        <v>3333</v>
      </c>
    </row>
    <row r="1054" spans="1:15" x14ac:dyDescent="0.2">
      <c r="A1054">
        <v>99</v>
      </c>
      <c r="B1054" t="s">
        <v>2117</v>
      </c>
      <c r="C1054" t="s">
        <v>596</v>
      </c>
      <c r="D1054" t="s">
        <v>160</v>
      </c>
      <c r="E1054" t="s">
        <v>726</v>
      </c>
      <c r="F1054">
        <v>3.5999999999999997E-2</v>
      </c>
      <c r="G1054">
        <v>1.96</v>
      </c>
      <c r="H1054" t="s">
        <v>1781</v>
      </c>
      <c r="I1054" t="s">
        <v>1781</v>
      </c>
      <c r="J1054">
        <v>7.0559999999999998E-2</v>
      </c>
      <c r="K1054">
        <v>10.160640000000001</v>
      </c>
      <c r="L1054" t="s">
        <v>1741</v>
      </c>
      <c r="M1054">
        <v>144</v>
      </c>
      <c r="N1054" t="s">
        <v>3334</v>
      </c>
      <c r="O1054" t="s">
        <v>3333</v>
      </c>
    </row>
    <row r="1055" spans="1:15" x14ac:dyDescent="0.2">
      <c r="A1055">
        <v>99</v>
      </c>
      <c r="B1055" t="s">
        <v>2117</v>
      </c>
      <c r="C1055" t="s">
        <v>596</v>
      </c>
      <c r="D1055" t="s">
        <v>1467</v>
      </c>
      <c r="E1055" t="s">
        <v>1034</v>
      </c>
      <c r="F1055">
        <v>1</v>
      </c>
      <c r="G1055">
        <v>69.534300000000002</v>
      </c>
      <c r="H1055" t="s">
        <v>1781</v>
      </c>
      <c r="I1055" t="s">
        <v>1781</v>
      </c>
      <c r="J1055">
        <v>69.534300000000002</v>
      </c>
      <c r="K1055">
        <v>10012.939200000001</v>
      </c>
      <c r="L1055" t="s">
        <v>1741</v>
      </c>
      <c r="M1055">
        <v>144</v>
      </c>
      <c r="N1055" t="s">
        <v>3332</v>
      </c>
      <c r="O1055" t="s">
        <v>3333</v>
      </c>
    </row>
    <row r="1056" spans="1:15" x14ac:dyDescent="0.2">
      <c r="A1056">
        <v>99</v>
      </c>
      <c r="B1056" t="s">
        <v>2117</v>
      </c>
      <c r="C1056" t="s">
        <v>596</v>
      </c>
      <c r="D1056" t="s">
        <v>950</v>
      </c>
      <c r="E1056" t="s">
        <v>1391</v>
      </c>
      <c r="F1056">
        <v>0</v>
      </c>
      <c r="G1056">
        <v>15.0943</v>
      </c>
      <c r="H1056" t="s">
        <v>151</v>
      </c>
      <c r="I1056" t="s">
        <v>1781</v>
      </c>
      <c r="J1056">
        <v>0</v>
      </c>
      <c r="K1056">
        <v>0</v>
      </c>
      <c r="L1056" t="s">
        <v>1741</v>
      </c>
      <c r="M1056">
        <v>144</v>
      </c>
      <c r="N1056" t="s">
        <v>3337</v>
      </c>
      <c r="O1056" t="s">
        <v>3333</v>
      </c>
    </row>
    <row r="1057" spans="1:15" x14ac:dyDescent="0.2">
      <c r="A1057">
        <v>99</v>
      </c>
      <c r="B1057" t="s">
        <v>2117</v>
      </c>
      <c r="C1057" t="s">
        <v>599</v>
      </c>
      <c r="D1057" t="s">
        <v>950</v>
      </c>
      <c r="E1057" t="s">
        <v>1391</v>
      </c>
      <c r="F1057">
        <v>0</v>
      </c>
      <c r="G1057">
        <v>15.0943</v>
      </c>
      <c r="H1057" t="s">
        <v>151</v>
      </c>
      <c r="I1057" t="s">
        <v>1781</v>
      </c>
      <c r="J1057">
        <v>0</v>
      </c>
      <c r="K1057">
        <v>0</v>
      </c>
      <c r="L1057" t="s">
        <v>1746</v>
      </c>
      <c r="M1057">
        <v>13</v>
      </c>
      <c r="N1057" t="s">
        <v>3345</v>
      </c>
      <c r="O1057" t="s">
        <v>3341</v>
      </c>
    </row>
    <row r="1058" spans="1:15" x14ac:dyDescent="0.2">
      <c r="A1058">
        <v>99</v>
      </c>
      <c r="B1058" t="s">
        <v>2117</v>
      </c>
      <c r="C1058" t="s">
        <v>599</v>
      </c>
      <c r="D1058" t="s">
        <v>160</v>
      </c>
      <c r="E1058" t="s">
        <v>726</v>
      </c>
      <c r="F1058">
        <v>3.5999999999999997E-2</v>
      </c>
      <c r="G1058">
        <v>1.96</v>
      </c>
      <c r="H1058" t="s">
        <v>1781</v>
      </c>
      <c r="I1058" t="s">
        <v>1781</v>
      </c>
      <c r="J1058">
        <v>7.0559999999999998E-2</v>
      </c>
      <c r="K1058">
        <v>0.91727999999999998</v>
      </c>
      <c r="L1058" t="s">
        <v>1746</v>
      </c>
      <c r="M1058">
        <v>13</v>
      </c>
      <c r="N1058" t="s">
        <v>3342</v>
      </c>
      <c r="O1058" t="s">
        <v>3341</v>
      </c>
    </row>
    <row r="1059" spans="1:15" x14ac:dyDescent="0.2">
      <c r="A1059">
        <v>99</v>
      </c>
      <c r="B1059" t="s">
        <v>2117</v>
      </c>
      <c r="C1059" t="s">
        <v>599</v>
      </c>
      <c r="D1059" t="s">
        <v>498</v>
      </c>
      <c r="E1059" t="s">
        <v>773</v>
      </c>
      <c r="F1059">
        <v>1.2</v>
      </c>
      <c r="G1059">
        <v>0</v>
      </c>
      <c r="H1059" t="s">
        <v>84</v>
      </c>
      <c r="I1059" t="s">
        <v>1781</v>
      </c>
      <c r="J1059">
        <v>0</v>
      </c>
      <c r="K1059">
        <v>0</v>
      </c>
      <c r="L1059" t="s">
        <v>1746</v>
      </c>
      <c r="M1059">
        <v>13</v>
      </c>
      <c r="N1059" t="s">
        <v>3347</v>
      </c>
      <c r="O1059" t="s">
        <v>3341</v>
      </c>
    </row>
    <row r="1060" spans="1:15" x14ac:dyDescent="0.2">
      <c r="A1060">
        <v>99</v>
      </c>
      <c r="B1060" t="s">
        <v>2117</v>
      </c>
      <c r="C1060" t="s">
        <v>599</v>
      </c>
      <c r="D1060" t="s">
        <v>801</v>
      </c>
      <c r="E1060" t="s">
        <v>402</v>
      </c>
      <c r="F1060">
        <v>0</v>
      </c>
      <c r="G1060">
        <v>10.3</v>
      </c>
      <c r="H1060" t="s">
        <v>151</v>
      </c>
      <c r="I1060" t="s">
        <v>1781</v>
      </c>
      <c r="J1060">
        <v>0</v>
      </c>
      <c r="K1060">
        <v>0</v>
      </c>
      <c r="L1060" t="s">
        <v>1746</v>
      </c>
      <c r="M1060">
        <v>13</v>
      </c>
      <c r="N1060" t="s">
        <v>3346</v>
      </c>
      <c r="O1060" t="s">
        <v>3341</v>
      </c>
    </row>
    <row r="1061" spans="1:15" x14ac:dyDescent="0.2">
      <c r="A1061">
        <v>99</v>
      </c>
      <c r="B1061" t="s">
        <v>2117</v>
      </c>
      <c r="C1061" t="s">
        <v>599</v>
      </c>
      <c r="D1061" t="s">
        <v>1909</v>
      </c>
      <c r="E1061" t="s">
        <v>3136</v>
      </c>
      <c r="F1061">
        <v>7.4999999999999997E-3</v>
      </c>
      <c r="G1061">
        <v>66.42</v>
      </c>
      <c r="H1061" t="s">
        <v>1781</v>
      </c>
      <c r="I1061" t="s">
        <v>1781</v>
      </c>
      <c r="J1061">
        <v>0.49814999999999998</v>
      </c>
      <c r="K1061">
        <v>6.4759500000000001</v>
      </c>
      <c r="L1061" t="s">
        <v>1746</v>
      </c>
      <c r="M1061">
        <v>13</v>
      </c>
      <c r="N1061" t="s">
        <v>3343</v>
      </c>
      <c r="O1061" t="s">
        <v>3341</v>
      </c>
    </row>
    <row r="1062" spans="1:15" x14ac:dyDescent="0.2">
      <c r="A1062">
        <v>99</v>
      </c>
      <c r="B1062" t="s">
        <v>2117</v>
      </c>
      <c r="C1062" t="s">
        <v>599</v>
      </c>
      <c r="D1062" t="s">
        <v>1482</v>
      </c>
      <c r="E1062" t="s">
        <v>396</v>
      </c>
      <c r="F1062">
        <v>1</v>
      </c>
      <c r="G1062">
        <v>98.65</v>
      </c>
      <c r="H1062" t="s">
        <v>1781</v>
      </c>
      <c r="I1062" t="s">
        <v>1781</v>
      </c>
      <c r="J1062">
        <v>98.65</v>
      </c>
      <c r="K1062">
        <v>1282.45</v>
      </c>
      <c r="L1062" t="s">
        <v>1746</v>
      </c>
      <c r="M1062">
        <v>13</v>
      </c>
      <c r="N1062" t="s">
        <v>3340</v>
      </c>
      <c r="O1062" t="s">
        <v>3341</v>
      </c>
    </row>
    <row r="1063" spans="1:15" x14ac:dyDescent="0.2">
      <c r="A1063">
        <v>99</v>
      </c>
      <c r="B1063" t="s">
        <v>2117</v>
      </c>
      <c r="C1063" t="s">
        <v>599</v>
      </c>
      <c r="D1063" t="s">
        <v>626</v>
      </c>
      <c r="E1063" t="s">
        <v>1750</v>
      </c>
      <c r="F1063">
        <v>4.8999999999999998E-3</v>
      </c>
      <c r="G1063">
        <v>58.63</v>
      </c>
      <c r="H1063" t="s">
        <v>1781</v>
      </c>
      <c r="I1063" t="s">
        <v>1781</v>
      </c>
      <c r="J1063">
        <v>0.28728700000000001</v>
      </c>
      <c r="K1063">
        <v>3.734731</v>
      </c>
      <c r="L1063" t="s">
        <v>1746</v>
      </c>
      <c r="M1063">
        <v>13</v>
      </c>
      <c r="N1063" t="s">
        <v>3344</v>
      </c>
      <c r="O1063" t="s">
        <v>3341</v>
      </c>
    </row>
    <row r="1064" spans="1:15" x14ac:dyDescent="0.2">
      <c r="A1064">
        <v>99</v>
      </c>
      <c r="B1064" t="s">
        <v>2117</v>
      </c>
      <c r="C1064" t="s">
        <v>602</v>
      </c>
      <c r="D1064" t="s">
        <v>626</v>
      </c>
      <c r="E1064" t="s">
        <v>1750</v>
      </c>
      <c r="F1064">
        <v>4.8999999999999998E-3</v>
      </c>
      <c r="G1064">
        <v>58.63</v>
      </c>
      <c r="H1064" t="s">
        <v>1781</v>
      </c>
      <c r="I1064" t="s">
        <v>1781</v>
      </c>
      <c r="J1064">
        <v>0.28728700000000001</v>
      </c>
      <c r="K1064">
        <v>6.6076009999999998</v>
      </c>
      <c r="L1064" t="s">
        <v>1744</v>
      </c>
      <c r="M1064">
        <v>23</v>
      </c>
      <c r="N1064" t="s">
        <v>3352</v>
      </c>
      <c r="O1064" t="s">
        <v>3349</v>
      </c>
    </row>
    <row r="1065" spans="1:15" x14ac:dyDescent="0.2">
      <c r="A1065">
        <v>99</v>
      </c>
      <c r="B1065" t="s">
        <v>2117</v>
      </c>
      <c r="C1065" t="s">
        <v>602</v>
      </c>
      <c r="D1065" t="s">
        <v>1909</v>
      </c>
      <c r="E1065" t="s">
        <v>3136</v>
      </c>
      <c r="F1065">
        <v>7.4999999999999997E-3</v>
      </c>
      <c r="G1065">
        <v>66.42</v>
      </c>
      <c r="H1065" t="s">
        <v>1781</v>
      </c>
      <c r="I1065" t="s">
        <v>1781</v>
      </c>
      <c r="J1065">
        <v>0.49814999999999998</v>
      </c>
      <c r="K1065">
        <v>11.45745</v>
      </c>
      <c r="L1065" t="s">
        <v>1744</v>
      </c>
      <c r="M1065">
        <v>23</v>
      </c>
      <c r="N1065" t="s">
        <v>3351</v>
      </c>
      <c r="O1065" t="s">
        <v>3349</v>
      </c>
    </row>
    <row r="1066" spans="1:15" x14ac:dyDescent="0.2">
      <c r="A1066">
        <v>99</v>
      </c>
      <c r="B1066" t="s">
        <v>2117</v>
      </c>
      <c r="C1066" t="s">
        <v>602</v>
      </c>
      <c r="D1066" t="s">
        <v>1486</v>
      </c>
      <c r="E1066" t="s">
        <v>904</v>
      </c>
      <c r="F1066">
        <v>1</v>
      </c>
      <c r="G1066">
        <v>43.16</v>
      </c>
      <c r="H1066" t="s">
        <v>1781</v>
      </c>
      <c r="I1066" t="s">
        <v>1781</v>
      </c>
      <c r="J1066">
        <v>43.16</v>
      </c>
      <c r="K1066">
        <v>992.68</v>
      </c>
      <c r="L1066" t="s">
        <v>1744</v>
      </c>
      <c r="M1066">
        <v>23</v>
      </c>
      <c r="N1066" t="s">
        <v>3348</v>
      </c>
      <c r="O1066" t="s">
        <v>3349</v>
      </c>
    </row>
    <row r="1067" spans="1:15" x14ac:dyDescent="0.2">
      <c r="A1067">
        <v>99</v>
      </c>
      <c r="B1067" t="s">
        <v>2117</v>
      </c>
      <c r="C1067" t="s">
        <v>602</v>
      </c>
      <c r="D1067" t="s">
        <v>801</v>
      </c>
      <c r="E1067" t="s">
        <v>402</v>
      </c>
      <c r="F1067">
        <v>0</v>
      </c>
      <c r="G1067">
        <v>10.3</v>
      </c>
      <c r="H1067" t="s">
        <v>151</v>
      </c>
      <c r="I1067" t="s">
        <v>1781</v>
      </c>
      <c r="J1067">
        <v>0</v>
      </c>
      <c r="K1067">
        <v>0</v>
      </c>
      <c r="L1067" t="s">
        <v>1744</v>
      </c>
      <c r="M1067">
        <v>23</v>
      </c>
      <c r="N1067" t="s">
        <v>3354</v>
      </c>
      <c r="O1067" t="s">
        <v>3349</v>
      </c>
    </row>
    <row r="1068" spans="1:15" x14ac:dyDescent="0.2">
      <c r="A1068">
        <v>99</v>
      </c>
      <c r="B1068" t="s">
        <v>2117</v>
      </c>
      <c r="C1068" t="s">
        <v>602</v>
      </c>
      <c r="D1068" t="s">
        <v>498</v>
      </c>
      <c r="E1068" t="s">
        <v>773</v>
      </c>
      <c r="F1068">
        <v>1.2</v>
      </c>
      <c r="G1068">
        <v>0</v>
      </c>
      <c r="H1068" t="s">
        <v>84</v>
      </c>
      <c r="I1068" t="s">
        <v>1781</v>
      </c>
      <c r="J1068">
        <v>0</v>
      </c>
      <c r="K1068">
        <v>0</v>
      </c>
      <c r="L1068" t="s">
        <v>1744</v>
      </c>
      <c r="M1068">
        <v>23</v>
      </c>
      <c r="N1068" t="s">
        <v>3355</v>
      </c>
      <c r="O1068" t="s">
        <v>3349</v>
      </c>
    </row>
    <row r="1069" spans="1:15" x14ac:dyDescent="0.2">
      <c r="A1069">
        <v>99</v>
      </c>
      <c r="B1069" t="s">
        <v>2117</v>
      </c>
      <c r="C1069" t="s">
        <v>602</v>
      </c>
      <c r="D1069" t="s">
        <v>160</v>
      </c>
      <c r="E1069" t="s">
        <v>726</v>
      </c>
      <c r="F1069">
        <v>3.5999999999999997E-2</v>
      </c>
      <c r="G1069">
        <v>1.96</v>
      </c>
      <c r="H1069" t="s">
        <v>1781</v>
      </c>
      <c r="I1069" t="s">
        <v>1781</v>
      </c>
      <c r="J1069">
        <v>7.0559999999999998E-2</v>
      </c>
      <c r="K1069">
        <v>1.6228800000000001</v>
      </c>
      <c r="L1069" t="s">
        <v>1744</v>
      </c>
      <c r="M1069">
        <v>23</v>
      </c>
      <c r="N1069" t="s">
        <v>3350</v>
      </c>
      <c r="O1069" t="s">
        <v>3349</v>
      </c>
    </row>
    <row r="1070" spans="1:15" x14ac:dyDescent="0.2">
      <c r="A1070">
        <v>99</v>
      </c>
      <c r="B1070" t="s">
        <v>2117</v>
      </c>
      <c r="C1070" t="s">
        <v>602</v>
      </c>
      <c r="D1070" t="s">
        <v>950</v>
      </c>
      <c r="E1070" t="s">
        <v>1391</v>
      </c>
      <c r="F1070">
        <v>0</v>
      </c>
      <c r="G1070">
        <v>15.0943</v>
      </c>
      <c r="H1070" t="s">
        <v>151</v>
      </c>
      <c r="I1070" t="s">
        <v>1781</v>
      </c>
      <c r="J1070">
        <v>0</v>
      </c>
      <c r="K1070">
        <v>0</v>
      </c>
      <c r="L1070" t="s">
        <v>1744</v>
      </c>
      <c r="M1070">
        <v>23</v>
      </c>
      <c r="N1070" t="s">
        <v>3353</v>
      </c>
      <c r="O1070" t="s">
        <v>3349</v>
      </c>
    </row>
    <row r="1071" spans="1:15" x14ac:dyDescent="0.2">
      <c r="A1071">
        <v>99</v>
      </c>
      <c r="B1071" t="s">
        <v>2117</v>
      </c>
      <c r="C1071" t="s">
        <v>4971</v>
      </c>
      <c r="D1071" t="s">
        <v>950</v>
      </c>
      <c r="E1071" t="s">
        <v>1391</v>
      </c>
      <c r="F1071">
        <v>0</v>
      </c>
      <c r="G1071">
        <v>15.0943</v>
      </c>
      <c r="H1071" t="s">
        <v>151</v>
      </c>
      <c r="I1071" t="s">
        <v>1781</v>
      </c>
      <c r="J1071">
        <v>0</v>
      </c>
      <c r="K1071">
        <v>0</v>
      </c>
      <c r="L1071" t="s">
        <v>1596</v>
      </c>
      <c r="M1071">
        <v>8</v>
      </c>
      <c r="N1071" t="s">
        <v>4972</v>
      </c>
      <c r="O1071" t="s">
        <v>4973</v>
      </c>
    </row>
    <row r="1072" spans="1:15" x14ac:dyDescent="0.2">
      <c r="A1072">
        <v>99</v>
      </c>
      <c r="B1072" t="s">
        <v>2117</v>
      </c>
      <c r="C1072" t="s">
        <v>4971</v>
      </c>
      <c r="D1072" t="s">
        <v>1649</v>
      </c>
      <c r="E1072" t="s">
        <v>1145</v>
      </c>
      <c r="F1072">
        <v>2.1000000000000001E-2</v>
      </c>
      <c r="G1072">
        <v>3.95</v>
      </c>
      <c r="H1072" t="s">
        <v>1781</v>
      </c>
      <c r="I1072" t="s">
        <v>1781</v>
      </c>
      <c r="J1072">
        <v>8.2949999999999996E-2</v>
      </c>
      <c r="K1072">
        <v>0.66359999999999997</v>
      </c>
      <c r="L1072" t="s">
        <v>1596</v>
      </c>
      <c r="M1072">
        <v>8</v>
      </c>
      <c r="N1072" t="s">
        <v>4974</v>
      </c>
      <c r="O1072" t="s">
        <v>4973</v>
      </c>
    </row>
    <row r="1073" spans="1:15" x14ac:dyDescent="0.2">
      <c r="A1073">
        <v>99</v>
      </c>
      <c r="B1073" t="s">
        <v>2117</v>
      </c>
      <c r="C1073" t="s">
        <v>4971</v>
      </c>
      <c r="D1073" t="s">
        <v>4975</v>
      </c>
      <c r="E1073" t="s">
        <v>4976</v>
      </c>
      <c r="F1073">
        <v>1</v>
      </c>
      <c r="G1073">
        <v>260</v>
      </c>
      <c r="H1073" t="s">
        <v>1781</v>
      </c>
      <c r="I1073" t="s">
        <v>1781</v>
      </c>
      <c r="J1073">
        <v>260</v>
      </c>
      <c r="K1073">
        <v>2080</v>
      </c>
      <c r="L1073" t="s">
        <v>1596</v>
      </c>
      <c r="M1073">
        <v>8</v>
      </c>
      <c r="N1073" t="s">
        <v>4977</v>
      </c>
      <c r="O1073" t="s">
        <v>4973</v>
      </c>
    </row>
    <row r="1074" spans="1:15" x14ac:dyDescent="0.2">
      <c r="A1074">
        <v>99</v>
      </c>
      <c r="B1074" t="s">
        <v>2117</v>
      </c>
      <c r="C1074" t="s">
        <v>4971</v>
      </c>
      <c r="D1074" t="s">
        <v>498</v>
      </c>
      <c r="E1074" t="s">
        <v>773</v>
      </c>
      <c r="F1074">
        <v>1.2</v>
      </c>
      <c r="G1074">
        <v>0</v>
      </c>
      <c r="H1074" t="s">
        <v>84</v>
      </c>
      <c r="I1074" t="s">
        <v>1781</v>
      </c>
      <c r="J1074">
        <v>0</v>
      </c>
      <c r="K1074">
        <v>0</v>
      </c>
      <c r="L1074" t="s">
        <v>1596</v>
      </c>
      <c r="M1074">
        <v>8</v>
      </c>
      <c r="N1074" t="s">
        <v>4978</v>
      </c>
      <c r="O1074" t="s">
        <v>4973</v>
      </c>
    </row>
    <row r="1075" spans="1:15" x14ac:dyDescent="0.2">
      <c r="A1075">
        <v>99</v>
      </c>
      <c r="B1075" t="s">
        <v>2117</v>
      </c>
      <c r="C1075" t="s">
        <v>4971</v>
      </c>
      <c r="D1075" t="s">
        <v>801</v>
      </c>
      <c r="E1075" t="s">
        <v>402</v>
      </c>
      <c r="F1075">
        <v>0</v>
      </c>
      <c r="G1075">
        <v>10.3</v>
      </c>
      <c r="H1075" t="s">
        <v>151</v>
      </c>
      <c r="I1075" t="s">
        <v>1781</v>
      </c>
      <c r="J1075">
        <v>0</v>
      </c>
      <c r="K1075">
        <v>0</v>
      </c>
      <c r="L1075" t="s">
        <v>1596</v>
      </c>
      <c r="M1075">
        <v>8</v>
      </c>
      <c r="N1075" t="s">
        <v>4979</v>
      </c>
      <c r="O1075" t="s">
        <v>4973</v>
      </c>
    </row>
    <row r="1076" spans="1:15" x14ac:dyDescent="0.2">
      <c r="A1076">
        <v>99</v>
      </c>
      <c r="B1076" t="s">
        <v>2117</v>
      </c>
      <c r="C1076" t="s">
        <v>404</v>
      </c>
      <c r="D1076" t="s">
        <v>801</v>
      </c>
      <c r="E1076" t="s">
        <v>402</v>
      </c>
      <c r="F1076">
        <v>0</v>
      </c>
      <c r="G1076">
        <v>10.3</v>
      </c>
      <c r="H1076" t="s">
        <v>151</v>
      </c>
      <c r="I1076" t="s">
        <v>1781</v>
      </c>
      <c r="J1076">
        <v>0</v>
      </c>
      <c r="K1076">
        <v>0</v>
      </c>
      <c r="L1076" t="s">
        <v>1587</v>
      </c>
      <c r="M1076">
        <v>2</v>
      </c>
      <c r="N1076" t="s">
        <v>3361</v>
      </c>
      <c r="O1076" t="s">
        <v>3358</v>
      </c>
    </row>
    <row r="1077" spans="1:15" x14ac:dyDescent="0.2">
      <c r="A1077">
        <v>99</v>
      </c>
      <c r="B1077" t="s">
        <v>2117</v>
      </c>
      <c r="C1077" t="s">
        <v>404</v>
      </c>
      <c r="D1077" t="s">
        <v>498</v>
      </c>
      <c r="E1077" t="s">
        <v>773</v>
      </c>
      <c r="F1077">
        <v>1.2</v>
      </c>
      <c r="G1077">
        <v>0</v>
      </c>
      <c r="H1077" t="s">
        <v>84</v>
      </c>
      <c r="I1077" t="s">
        <v>1781</v>
      </c>
      <c r="J1077">
        <v>0</v>
      </c>
      <c r="K1077">
        <v>0</v>
      </c>
      <c r="L1077" t="s">
        <v>1587</v>
      </c>
      <c r="M1077">
        <v>2</v>
      </c>
      <c r="N1077" t="s">
        <v>3362</v>
      </c>
      <c r="O1077" t="s">
        <v>3358</v>
      </c>
    </row>
    <row r="1078" spans="1:15" x14ac:dyDescent="0.2">
      <c r="A1078">
        <v>99</v>
      </c>
      <c r="B1078" t="s">
        <v>2117</v>
      </c>
      <c r="C1078" t="s">
        <v>404</v>
      </c>
      <c r="D1078" t="s">
        <v>1649</v>
      </c>
      <c r="E1078" t="s">
        <v>1145</v>
      </c>
      <c r="F1078">
        <v>2.1000000000000001E-2</v>
      </c>
      <c r="G1078">
        <v>3.95</v>
      </c>
      <c r="H1078" t="s">
        <v>1781</v>
      </c>
      <c r="I1078" t="s">
        <v>1781</v>
      </c>
      <c r="J1078">
        <v>8.2949999999999996E-2</v>
      </c>
      <c r="K1078">
        <v>0.16589999999999999</v>
      </c>
      <c r="L1078" t="s">
        <v>1587</v>
      </c>
      <c r="M1078">
        <v>2</v>
      </c>
      <c r="N1078" t="s">
        <v>3359</v>
      </c>
      <c r="O1078" t="s">
        <v>3358</v>
      </c>
    </row>
    <row r="1079" spans="1:15" x14ac:dyDescent="0.2">
      <c r="A1079">
        <v>99</v>
      </c>
      <c r="B1079" t="s">
        <v>2117</v>
      </c>
      <c r="C1079" t="s">
        <v>404</v>
      </c>
      <c r="D1079" t="s">
        <v>1346</v>
      </c>
      <c r="E1079" t="s">
        <v>3356</v>
      </c>
      <c r="F1079">
        <v>1</v>
      </c>
      <c r="G1079">
        <v>689.85</v>
      </c>
      <c r="H1079" t="s">
        <v>1781</v>
      </c>
      <c r="I1079" t="s">
        <v>1781</v>
      </c>
      <c r="J1079">
        <v>689.85</v>
      </c>
      <c r="K1079">
        <v>1379.7</v>
      </c>
      <c r="L1079" t="s">
        <v>1587</v>
      </c>
      <c r="M1079">
        <v>2</v>
      </c>
      <c r="N1079" t="s">
        <v>3357</v>
      </c>
      <c r="O1079" t="s">
        <v>3358</v>
      </c>
    </row>
    <row r="1080" spans="1:15" x14ac:dyDescent="0.2">
      <c r="A1080">
        <v>99</v>
      </c>
      <c r="B1080" t="s">
        <v>2117</v>
      </c>
      <c r="C1080" t="s">
        <v>404</v>
      </c>
      <c r="D1080" t="s">
        <v>950</v>
      </c>
      <c r="E1080" t="s">
        <v>1391</v>
      </c>
      <c r="F1080">
        <v>0</v>
      </c>
      <c r="G1080">
        <v>15.0943</v>
      </c>
      <c r="H1080" t="s">
        <v>151</v>
      </c>
      <c r="I1080" t="s">
        <v>1781</v>
      </c>
      <c r="J1080">
        <v>0</v>
      </c>
      <c r="K1080">
        <v>0</v>
      </c>
      <c r="L1080" t="s">
        <v>1587</v>
      </c>
      <c r="M1080">
        <v>2</v>
      </c>
      <c r="N1080" t="s">
        <v>3360</v>
      </c>
      <c r="O1080" t="s">
        <v>3358</v>
      </c>
    </row>
    <row r="1081" spans="1:15" x14ac:dyDescent="0.2">
      <c r="A1081">
        <v>99</v>
      </c>
      <c r="B1081" t="s">
        <v>2117</v>
      </c>
      <c r="C1081" t="s">
        <v>408</v>
      </c>
      <c r="D1081" t="s">
        <v>950</v>
      </c>
      <c r="E1081" t="s">
        <v>1391</v>
      </c>
      <c r="F1081">
        <v>0</v>
      </c>
      <c r="G1081">
        <v>15.0943</v>
      </c>
      <c r="H1081" t="s">
        <v>151</v>
      </c>
      <c r="I1081" t="s">
        <v>1781</v>
      </c>
      <c r="J1081">
        <v>0</v>
      </c>
      <c r="K1081">
        <v>0</v>
      </c>
      <c r="L1081" t="s">
        <v>1592</v>
      </c>
      <c r="M1081">
        <v>10</v>
      </c>
      <c r="N1081" t="s">
        <v>3367</v>
      </c>
      <c r="O1081" t="s">
        <v>3365</v>
      </c>
    </row>
    <row r="1082" spans="1:15" x14ac:dyDescent="0.2">
      <c r="A1082">
        <v>99</v>
      </c>
      <c r="B1082" t="s">
        <v>2117</v>
      </c>
      <c r="C1082" t="s">
        <v>408</v>
      </c>
      <c r="D1082" t="s">
        <v>1649</v>
      </c>
      <c r="E1082" t="s">
        <v>1145</v>
      </c>
      <c r="F1082">
        <v>2.1000000000000001E-2</v>
      </c>
      <c r="G1082">
        <v>3.95</v>
      </c>
      <c r="H1082" t="s">
        <v>1781</v>
      </c>
      <c r="I1082" t="s">
        <v>1781</v>
      </c>
      <c r="J1082">
        <v>8.2949999999999996E-2</v>
      </c>
      <c r="K1082">
        <v>0.82950000000000002</v>
      </c>
      <c r="L1082" t="s">
        <v>1592</v>
      </c>
      <c r="M1082">
        <v>10</v>
      </c>
      <c r="N1082" t="s">
        <v>3366</v>
      </c>
      <c r="O1082" t="s">
        <v>3365</v>
      </c>
    </row>
    <row r="1083" spans="1:15" x14ac:dyDescent="0.2">
      <c r="A1083">
        <v>99</v>
      </c>
      <c r="B1083" t="s">
        <v>2117</v>
      </c>
      <c r="C1083" t="s">
        <v>408</v>
      </c>
      <c r="D1083" t="s">
        <v>498</v>
      </c>
      <c r="E1083" t="s">
        <v>773</v>
      </c>
      <c r="F1083">
        <v>1.2</v>
      </c>
      <c r="G1083">
        <v>0</v>
      </c>
      <c r="H1083" t="s">
        <v>84</v>
      </c>
      <c r="I1083" t="s">
        <v>1781</v>
      </c>
      <c r="J1083">
        <v>0</v>
      </c>
      <c r="K1083">
        <v>0</v>
      </c>
      <c r="L1083" t="s">
        <v>1592</v>
      </c>
      <c r="M1083">
        <v>10</v>
      </c>
      <c r="N1083" t="s">
        <v>3369</v>
      </c>
      <c r="O1083" t="s">
        <v>3365</v>
      </c>
    </row>
    <row r="1084" spans="1:15" x14ac:dyDescent="0.2">
      <c r="A1084">
        <v>99</v>
      </c>
      <c r="B1084" t="s">
        <v>2117</v>
      </c>
      <c r="C1084" t="s">
        <v>408</v>
      </c>
      <c r="D1084" t="s">
        <v>1340</v>
      </c>
      <c r="E1084" t="s">
        <v>3363</v>
      </c>
      <c r="F1084">
        <v>1</v>
      </c>
      <c r="G1084">
        <v>2254.701</v>
      </c>
      <c r="H1084" t="s">
        <v>1781</v>
      </c>
      <c r="I1084" t="s">
        <v>1781</v>
      </c>
      <c r="J1084">
        <v>2254.701</v>
      </c>
      <c r="K1084">
        <v>22547.01</v>
      </c>
      <c r="L1084" t="s">
        <v>1592</v>
      </c>
      <c r="M1084">
        <v>10</v>
      </c>
      <c r="N1084" t="s">
        <v>3364</v>
      </c>
      <c r="O1084" t="s">
        <v>3365</v>
      </c>
    </row>
    <row r="1085" spans="1:15" x14ac:dyDescent="0.2">
      <c r="A1085">
        <v>99</v>
      </c>
      <c r="B1085" t="s">
        <v>2117</v>
      </c>
      <c r="C1085" t="s">
        <v>408</v>
      </c>
      <c r="D1085" t="s">
        <v>801</v>
      </c>
      <c r="E1085" t="s">
        <v>402</v>
      </c>
      <c r="F1085">
        <v>0</v>
      </c>
      <c r="G1085">
        <v>10.3</v>
      </c>
      <c r="H1085" t="s">
        <v>151</v>
      </c>
      <c r="I1085" t="s">
        <v>1781</v>
      </c>
      <c r="J1085">
        <v>0</v>
      </c>
      <c r="K1085">
        <v>0</v>
      </c>
      <c r="L1085" t="s">
        <v>1592</v>
      </c>
      <c r="M1085">
        <v>10</v>
      </c>
      <c r="N1085" t="s">
        <v>3368</v>
      </c>
      <c r="O1085" t="s">
        <v>3365</v>
      </c>
    </row>
    <row r="1086" spans="1:15" x14ac:dyDescent="0.2">
      <c r="A1086">
        <v>99</v>
      </c>
      <c r="B1086" t="s">
        <v>2117</v>
      </c>
      <c r="C1086" t="s">
        <v>458</v>
      </c>
      <c r="D1086" t="s">
        <v>801</v>
      </c>
      <c r="E1086" t="s">
        <v>402</v>
      </c>
      <c r="F1086">
        <v>0</v>
      </c>
      <c r="G1086">
        <v>10.3</v>
      </c>
      <c r="H1086" t="s">
        <v>151</v>
      </c>
      <c r="I1086" t="s">
        <v>1781</v>
      </c>
      <c r="J1086">
        <v>0</v>
      </c>
      <c r="K1086">
        <v>0</v>
      </c>
      <c r="L1086" t="s">
        <v>1594</v>
      </c>
      <c r="M1086">
        <v>11</v>
      </c>
      <c r="N1086" t="s">
        <v>3374</v>
      </c>
      <c r="O1086" t="s">
        <v>3371</v>
      </c>
    </row>
    <row r="1087" spans="1:15" x14ac:dyDescent="0.2">
      <c r="A1087">
        <v>99</v>
      </c>
      <c r="B1087" t="s">
        <v>2117</v>
      </c>
      <c r="C1087" t="s">
        <v>458</v>
      </c>
      <c r="D1087" t="s">
        <v>1416</v>
      </c>
      <c r="E1087" t="s">
        <v>3164</v>
      </c>
      <c r="F1087">
        <v>1</v>
      </c>
      <c r="G1087">
        <v>379</v>
      </c>
      <c r="H1087" t="s">
        <v>1781</v>
      </c>
      <c r="I1087" t="s">
        <v>1781</v>
      </c>
      <c r="J1087">
        <v>379</v>
      </c>
      <c r="K1087">
        <v>4169</v>
      </c>
      <c r="L1087" t="s">
        <v>1594</v>
      </c>
      <c r="M1087">
        <v>11</v>
      </c>
      <c r="N1087" t="s">
        <v>3370</v>
      </c>
      <c r="O1087" t="s">
        <v>3371</v>
      </c>
    </row>
    <row r="1088" spans="1:15" x14ac:dyDescent="0.2">
      <c r="A1088">
        <v>99</v>
      </c>
      <c r="B1088" t="s">
        <v>2117</v>
      </c>
      <c r="C1088" t="s">
        <v>458</v>
      </c>
      <c r="D1088" t="s">
        <v>498</v>
      </c>
      <c r="E1088" t="s">
        <v>773</v>
      </c>
      <c r="F1088">
        <v>1.2</v>
      </c>
      <c r="G1088">
        <v>0</v>
      </c>
      <c r="H1088" t="s">
        <v>84</v>
      </c>
      <c r="I1088" t="s">
        <v>1781</v>
      </c>
      <c r="J1088">
        <v>0</v>
      </c>
      <c r="K1088">
        <v>0</v>
      </c>
      <c r="L1088" t="s">
        <v>1594</v>
      </c>
      <c r="M1088">
        <v>11</v>
      </c>
      <c r="N1088" t="s">
        <v>3375</v>
      </c>
      <c r="O1088" t="s">
        <v>3371</v>
      </c>
    </row>
    <row r="1089" spans="1:15" x14ac:dyDescent="0.2">
      <c r="A1089">
        <v>99</v>
      </c>
      <c r="B1089" t="s">
        <v>2117</v>
      </c>
      <c r="C1089" t="s">
        <v>458</v>
      </c>
      <c r="D1089" t="s">
        <v>1649</v>
      </c>
      <c r="E1089" t="s">
        <v>1145</v>
      </c>
      <c r="F1089">
        <v>2.1000000000000001E-2</v>
      </c>
      <c r="G1089">
        <v>3.95</v>
      </c>
      <c r="H1089" t="s">
        <v>1781</v>
      </c>
      <c r="I1089" t="s">
        <v>1781</v>
      </c>
      <c r="J1089">
        <v>8.2949999999999996E-2</v>
      </c>
      <c r="K1089">
        <v>0.91244999999999998</v>
      </c>
      <c r="L1089" t="s">
        <v>1594</v>
      </c>
      <c r="M1089">
        <v>11</v>
      </c>
      <c r="N1089" t="s">
        <v>3372</v>
      </c>
      <c r="O1089" t="s">
        <v>3371</v>
      </c>
    </row>
    <row r="1090" spans="1:15" x14ac:dyDescent="0.2">
      <c r="A1090">
        <v>99</v>
      </c>
      <c r="B1090" t="s">
        <v>2117</v>
      </c>
      <c r="C1090" t="s">
        <v>458</v>
      </c>
      <c r="D1090" t="s">
        <v>950</v>
      </c>
      <c r="E1090" t="s">
        <v>1391</v>
      </c>
      <c r="F1090">
        <v>0</v>
      </c>
      <c r="G1090">
        <v>15.0943</v>
      </c>
      <c r="H1090" t="s">
        <v>151</v>
      </c>
      <c r="I1090" t="s">
        <v>1781</v>
      </c>
      <c r="J1090">
        <v>0</v>
      </c>
      <c r="K1090">
        <v>0</v>
      </c>
      <c r="L1090" t="s">
        <v>1594</v>
      </c>
      <c r="M1090">
        <v>11</v>
      </c>
      <c r="N1090" t="s">
        <v>3373</v>
      </c>
      <c r="O1090" t="s">
        <v>3371</v>
      </c>
    </row>
    <row r="1091" spans="1:15" x14ac:dyDescent="0.2">
      <c r="A1091">
        <v>99</v>
      </c>
      <c r="B1091" t="s">
        <v>2117</v>
      </c>
      <c r="C1091" t="s">
        <v>1245</v>
      </c>
      <c r="D1091" t="s">
        <v>1503</v>
      </c>
      <c r="E1091" t="s">
        <v>464</v>
      </c>
      <c r="F1091">
        <v>8</v>
      </c>
      <c r="G1091">
        <v>0.05</v>
      </c>
      <c r="H1091" t="s">
        <v>1667</v>
      </c>
      <c r="I1091" t="s">
        <v>1152</v>
      </c>
      <c r="J1091">
        <v>0.4</v>
      </c>
      <c r="K1091">
        <v>595.87199999999996</v>
      </c>
      <c r="L1091" t="s">
        <v>546</v>
      </c>
      <c r="M1091">
        <v>1489.68</v>
      </c>
      <c r="N1091" t="s">
        <v>3380</v>
      </c>
      <c r="O1091" t="s">
        <v>3377</v>
      </c>
    </row>
    <row r="1092" spans="1:15" x14ac:dyDescent="0.2">
      <c r="A1092">
        <v>99</v>
      </c>
      <c r="B1092" t="s">
        <v>2117</v>
      </c>
      <c r="C1092" t="s">
        <v>1245</v>
      </c>
      <c r="D1092" t="s">
        <v>903</v>
      </c>
      <c r="E1092" t="s">
        <v>864</v>
      </c>
      <c r="F1092">
        <v>1</v>
      </c>
      <c r="G1092">
        <v>3.5</v>
      </c>
      <c r="H1092" t="s">
        <v>1152</v>
      </c>
      <c r="I1092" t="s">
        <v>1152</v>
      </c>
      <c r="J1092">
        <v>3.5</v>
      </c>
      <c r="K1092">
        <v>5213.88</v>
      </c>
      <c r="L1092" t="s">
        <v>546</v>
      </c>
      <c r="M1092">
        <v>1489.68</v>
      </c>
      <c r="N1092" t="s">
        <v>3386</v>
      </c>
      <c r="O1092" t="s">
        <v>3377</v>
      </c>
    </row>
    <row r="1093" spans="1:15" x14ac:dyDescent="0.2">
      <c r="A1093">
        <v>99</v>
      </c>
      <c r="B1093" t="s">
        <v>2117</v>
      </c>
      <c r="C1093" t="s">
        <v>1245</v>
      </c>
      <c r="D1093" t="s">
        <v>498</v>
      </c>
      <c r="E1093" t="s">
        <v>773</v>
      </c>
      <c r="F1093">
        <v>1.2</v>
      </c>
      <c r="G1093">
        <v>0</v>
      </c>
      <c r="H1093" t="s">
        <v>84</v>
      </c>
      <c r="I1093" t="s">
        <v>1152</v>
      </c>
      <c r="J1093">
        <v>0</v>
      </c>
      <c r="K1093">
        <v>0</v>
      </c>
      <c r="L1093" t="s">
        <v>546</v>
      </c>
      <c r="M1093">
        <v>1489.68</v>
      </c>
      <c r="N1093" t="s">
        <v>3387</v>
      </c>
      <c r="O1093" t="s">
        <v>3377</v>
      </c>
    </row>
    <row r="1094" spans="1:15" x14ac:dyDescent="0.2">
      <c r="A1094">
        <v>99</v>
      </c>
      <c r="B1094" t="s">
        <v>2117</v>
      </c>
      <c r="C1094" t="s">
        <v>1245</v>
      </c>
      <c r="D1094" t="s">
        <v>939</v>
      </c>
      <c r="E1094" t="s">
        <v>640</v>
      </c>
      <c r="F1094">
        <v>0</v>
      </c>
      <c r="G1094">
        <v>21.15</v>
      </c>
      <c r="H1094" t="s">
        <v>151</v>
      </c>
      <c r="I1094" t="s">
        <v>1152</v>
      </c>
      <c r="J1094">
        <v>0</v>
      </c>
      <c r="K1094">
        <v>0</v>
      </c>
      <c r="L1094" t="s">
        <v>546</v>
      </c>
      <c r="M1094">
        <v>1489.68</v>
      </c>
      <c r="N1094" t="s">
        <v>3382</v>
      </c>
      <c r="O1094" t="s">
        <v>3377</v>
      </c>
    </row>
    <row r="1095" spans="1:15" x14ac:dyDescent="0.2">
      <c r="A1095">
        <v>99</v>
      </c>
      <c r="B1095" t="s">
        <v>2117</v>
      </c>
      <c r="C1095" t="s">
        <v>1245</v>
      </c>
      <c r="D1095" t="s">
        <v>1507</v>
      </c>
      <c r="E1095" t="s">
        <v>1272</v>
      </c>
      <c r="F1095">
        <v>4</v>
      </c>
      <c r="G1095">
        <v>1.6400000000000001E-2</v>
      </c>
      <c r="H1095" t="s">
        <v>1667</v>
      </c>
      <c r="I1095" t="s">
        <v>1152</v>
      </c>
      <c r="J1095">
        <v>6.5600000000000006E-2</v>
      </c>
      <c r="K1095">
        <v>97.723007999999993</v>
      </c>
      <c r="L1095" t="s">
        <v>546</v>
      </c>
      <c r="M1095">
        <v>1489.68</v>
      </c>
      <c r="N1095" t="s">
        <v>3381</v>
      </c>
      <c r="O1095" t="s">
        <v>3377</v>
      </c>
    </row>
    <row r="1096" spans="1:15" x14ac:dyDescent="0.2">
      <c r="A1096">
        <v>99</v>
      </c>
      <c r="B1096" t="s">
        <v>2117</v>
      </c>
      <c r="C1096" t="s">
        <v>1245</v>
      </c>
      <c r="D1096" t="s">
        <v>706</v>
      </c>
      <c r="E1096" t="s">
        <v>130</v>
      </c>
      <c r="F1096">
        <v>0.106</v>
      </c>
      <c r="G1096">
        <v>8</v>
      </c>
      <c r="H1096" t="s">
        <v>1052</v>
      </c>
      <c r="I1096" t="s">
        <v>1152</v>
      </c>
      <c r="J1096">
        <v>0.84799999999999998</v>
      </c>
      <c r="K1096">
        <v>1263.24864</v>
      </c>
      <c r="L1096" t="s">
        <v>546</v>
      </c>
      <c r="M1096">
        <v>1489.68</v>
      </c>
      <c r="N1096" t="s">
        <v>3378</v>
      </c>
      <c r="O1096" t="s">
        <v>3377</v>
      </c>
    </row>
    <row r="1097" spans="1:15" x14ac:dyDescent="0.2">
      <c r="A1097">
        <v>99</v>
      </c>
      <c r="B1097" t="s">
        <v>2117</v>
      </c>
      <c r="C1097" t="s">
        <v>1245</v>
      </c>
      <c r="D1097" t="s">
        <v>941</v>
      </c>
      <c r="E1097" t="s">
        <v>1485</v>
      </c>
      <c r="F1097">
        <v>1.1599999999999999</v>
      </c>
      <c r="G1097">
        <v>8.4017999999999997</v>
      </c>
      <c r="H1097" t="s">
        <v>1819</v>
      </c>
      <c r="I1097" t="s">
        <v>1152</v>
      </c>
      <c r="J1097">
        <v>9.7460880000000003</v>
      </c>
      <c r="K1097">
        <v>14518.552372</v>
      </c>
      <c r="L1097" t="s">
        <v>546</v>
      </c>
      <c r="M1097">
        <v>1489.68</v>
      </c>
      <c r="N1097" t="s">
        <v>3388</v>
      </c>
      <c r="O1097" t="s">
        <v>3377</v>
      </c>
    </row>
    <row r="1098" spans="1:15" x14ac:dyDescent="0.2">
      <c r="A1098">
        <v>99</v>
      </c>
      <c r="B1098" t="s">
        <v>2117</v>
      </c>
      <c r="C1098" t="s">
        <v>1245</v>
      </c>
      <c r="D1098" t="s">
        <v>801</v>
      </c>
      <c r="E1098" t="s">
        <v>402</v>
      </c>
      <c r="F1098">
        <v>0</v>
      </c>
      <c r="G1098">
        <v>10.3</v>
      </c>
      <c r="H1098" t="s">
        <v>151</v>
      </c>
      <c r="I1098" t="s">
        <v>1152</v>
      </c>
      <c r="J1098">
        <v>0</v>
      </c>
      <c r="K1098">
        <v>0</v>
      </c>
      <c r="L1098" t="s">
        <v>546</v>
      </c>
      <c r="M1098">
        <v>1489.68</v>
      </c>
      <c r="N1098" t="s">
        <v>3383</v>
      </c>
      <c r="O1098" t="s">
        <v>3377</v>
      </c>
    </row>
    <row r="1099" spans="1:15" x14ac:dyDescent="0.2">
      <c r="A1099">
        <v>99</v>
      </c>
      <c r="B1099" t="s">
        <v>2117</v>
      </c>
      <c r="C1099" t="s">
        <v>1245</v>
      </c>
      <c r="D1099" t="s">
        <v>833</v>
      </c>
      <c r="E1099" t="s">
        <v>3384</v>
      </c>
      <c r="F1099">
        <v>1</v>
      </c>
      <c r="G1099">
        <v>90</v>
      </c>
      <c r="H1099" t="s">
        <v>1152</v>
      </c>
      <c r="I1099" t="s">
        <v>1152</v>
      </c>
      <c r="J1099">
        <v>90</v>
      </c>
      <c r="K1099">
        <v>134071.20000000001</v>
      </c>
      <c r="L1099" t="s">
        <v>546</v>
      </c>
      <c r="M1099">
        <v>1489.68</v>
      </c>
      <c r="N1099" t="s">
        <v>3385</v>
      </c>
      <c r="O1099" t="s">
        <v>3377</v>
      </c>
    </row>
    <row r="1100" spans="1:15" x14ac:dyDescent="0.2">
      <c r="A1100">
        <v>99</v>
      </c>
      <c r="B1100" t="s">
        <v>2117</v>
      </c>
      <c r="C1100" t="s">
        <v>1245</v>
      </c>
      <c r="D1100" t="s">
        <v>853</v>
      </c>
      <c r="E1100" t="s">
        <v>980</v>
      </c>
      <c r="F1100">
        <v>9.1300000000000008</v>
      </c>
      <c r="G1100">
        <v>0.9</v>
      </c>
      <c r="H1100" t="s">
        <v>1052</v>
      </c>
      <c r="I1100" t="s">
        <v>1152</v>
      </c>
      <c r="J1100">
        <v>8.2170000000000005</v>
      </c>
      <c r="K1100">
        <v>12240.700559999999</v>
      </c>
      <c r="L1100" t="s">
        <v>546</v>
      </c>
      <c r="M1100">
        <v>1489.68</v>
      </c>
      <c r="N1100" t="s">
        <v>3376</v>
      </c>
      <c r="O1100" t="s">
        <v>3377</v>
      </c>
    </row>
    <row r="1101" spans="1:15" x14ac:dyDescent="0.2">
      <c r="A1101">
        <v>99</v>
      </c>
      <c r="B1101" t="s">
        <v>2117</v>
      </c>
      <c r="C1101" t="s">
        <v>1245</v>
      </c>
      <c r="D1101" t="s">
        <v>1549</v>
      </c>
      <c r="E1101" t="s">
        <v>486</v>
      </c>
      <c r="F1101">
        <v>1.1599999999999999</v>
      </c>
      <c r="G1101">
        <v>51.5</v>
      </c>
      <c r="H1101" t="s">
        <v>1152</v>
      </c>
      <c r="I1101" t="s">
        <v>1152</v>
      </c>
      <c r="J1101">
        <v>59.74</v>
      </c>
      <c r="K1101">
        <v>88993.483200000002</v>
      </c>
      <c r="L1101" t="s">
        <v>546</v>
      </c>
      <c r="M1101">
        <v>1489.68</v>
      </c>
      <c r="N1101" t="s">
        <v>3379</v>
      </c>
      <c r="O1101" t="s">
        <v>3377</v>
      </c>
    </row>
    <row r="1102" spans="1:15" x14ac:dyDescent="0.2">
      <c r="A1102">
        <v>99</v>
      </c>
      <c r="B1102" t="s">
        <v>2117</v>
      </c>
      <c r="C1102" t="s">
        <v>1251</v>
      </c>
      <c r="D1102" t="s">
        <v>1549</v>
      </c>
      <c r="E1102" t="s">
        <v>486</v>
      </c>
      <c r="F1102">
        <v>1.25</v>
      </c>
      <c r="G1102">
        <v>51.5</v>
      </c>
      <c r="H1102" t="s">
        <v>1152</v>
      </c>
      <c r="I1102" t="s">
        <v>1152</v>
      </c>
      <c r="J1102">
        <v>64.375</v>
      </c>
      <c r="K1102">
        <v>411224.92499999999</v>
      </c>
      <c r="L1102" t="s">
        <v>958</v>
      </c>
      <c r="M1102">
        <v>6387.96</v>
      </c>
      <c r="N1102" t="s">
        <v>3400</v>
      </c>
      <c r="O1102" t="s">
        <v>3390</v>
      </c>
    </row>
    <row r="1103" spans="1:15" x14ac:dyDescent="0.2">
      <c r="A1103">
        <v>99</v>
      </c>
      <c r="B1103" t="s">
        <v>2117</v>
      </c>
      <c r="C1103" t="s">
        <v>1251</v>
      </c>
      <c r="D1103" t="s">
        <v>853</v>
      </c>
      <c r="E1103" t="s">
        <v>980</v>
      </c>
      <c r="F1103">
        <v>9.1300000000000008</v>
      </c>
      <c r="G1103">
        <v>0.9</v>
      </c>
      <c r="H1103" t="s">
        <v>1052</v>
      </c>
      <c r="I1103" t="s">
        <v>1152</v>
      </c>
      <c r="J1103">
        <v>8.2170000000000005</v>
      </c>
      <c r="K1103">
        <v>52489.867319999998</v>
      </c>
      <c r="L1103" t="s">
        <v>958</v>
      </c>
      <c r="M1103">
        <v>6387.96</v>
      </c>
      <c r="N1103" t="s">
        <v>3398</v>
      </c>
      <c r="O1103" t="s">
        <v>3390</v>
      </c>
    </row>
    <row r="1104" spans="1:15" x14ac:dyDescent="0.2">
      <c r="A1104">
        <v>99</v>
      </c>
      <c r="B1104" t="s">
        <v>2117</v>
      </c>
      <c r="C1104" t="s">
        <v>1251</v>
      </c>
      <c r="D1104" t="s">
        <v>833</v>
      </c>
      <c r="E1104" t="s">
        <v>3384</v>
      </c>
      <c r="F1104">
        <v>1</v>
      </c>
      <c r="G1104">
        <v>90</v>
      </c>
      <c r="H1104" t="s">
        <v>1152</v>
      </c>
      <c r="I1104" t="s">
        <v>1152</v>
      </c>
      <c r="J1104">
        <v>90</v>
      </c>
      <c r="K1104">
        <v>574916.4</v>
      </c>
      <c r="L1104" t="s">
        <v>958</v>
      </c>
      <c r="M1104">
        <v>6387.96</v>
      </c>
      <c r="N1104" t="s">
        <v>3396</v>
      </c>
      <c r="O1104" t="s">
        <v>3390</v>
      </c>
    </row>
    <row r="1105" spans="1:15" x14ac:dyDescent="0.2">
      <c r="A1105">
        <v>99</v>
      </c>
      <c r="B1105" t="s">
        <v>2117</v>
      </c>
      <c r="C1105" t="s">
        <v>1251</v>
      </c>
      <c r="D1105" t="s">
        <v>801</v>
      </c>
      <c r="E1105" t="s">
        <v>402</v>
      </c>
      <c r="F1105">
        <v>0</v>
      </c>
      <c r="G1105">
        <v>10.3</v>
      </c>
      <c r="H1105" t="s">
        <v>151</v>
      </c>
      <c r="I1105" t="s">
        <v>1152</v>
      </c>
      <c r="J1105">
        <v>0</v>
      </c>
      <c r="K1105">
        <v>0</v>
      </c>
      <c r="L1105" t="s">
        <v>958</v>
      </c>
      <c r="M1105">
        <v>6387.96</v>
      </c>
      <c r="N1105" t="s">
        <v>3395</v>
      </c>
      <c r="O1105" t="s">
        <v>3390</v>
      </c>
    </row>
    <row r="1106" spans="1:15" x14ac:dyDescent="0.2">
      <c r="A1106">
        <v>99</v>
      </c>
      <c r="B1106" t="s">
        <v>2117</v>
      </c>
      <c r="C1106" t="s">
        <v>1251</v>
      </c>
      <c r="D1106" t="s">
        <v>941</v>
      </c>
      <c r="E1106" t="s">
        <v>1485</v>
      </c>
      <c r="F1106">
        <v>1.25</v>
      </c>
      <c r="G1106">
        <v>8.4017999999999997</v>
      </c>
      <c r="H1106" t="s">
        <v>1819</v>
      </c>
      <c r="I1106" t="s">
        <v>1152</v>
      </c>
      <c r="J1106">
        <v>10.50225</v>
      </c>
      <c r="K1106">
        <v>67087.952910000007</v>
      </c>
      <c r="L1106" t="s">
        <v>958</v>
      </c>
      <c r="M1106">
        <v>6387.96</v>
      </c>
      <c r="N1106" t="s">
        <v>3391</v>
      </c>
      <c r="O1106" t="s">
        <v>3390</v>
      </c>
    </row>
    <row r="1107" spans="1:15" x14ac:dyDescent="0.2">
      <c r="A1107">
        <v>99</v>
      </c>
      <c r="B1107" t="s">
        <v>2117</v>
      </c>
      <c r="C1107" t="s">
        <v>1251</v>
      </c>
      <c r="D1107" t="s">
        <v>706</v>
      </c>
      <c r="E1107" t="s">
        <v>130</v>
      </c>
      <c r="F1107">
        <v>0.106</v>
      </c>
      <c r="G1107">
        <v>8</v>
      </c>
      <c r="H1107" t="s">
        <v>1052</v>
      </c>
      <c r="I1107" t="s">
        <v>1152</v>
      </c>
      <c r="J1107">
        <v>0.84799999999999998</v>
      </c>
      <c r="K1107">
        <v>5416.9900799999996</v>
      </c>
      <c r="L1107" t="s">
        <v>958</v>
      </c>
      <c r="M1107">
        <v>6387.96</v>
      </c>
      <c r="N1107" t="s">
        <v>3399</v>
      </c>
      <c r="O1107" t="s">
        <v>3390</v>
      </c>
    </row>
    <row r="1108" spans="1:15" x14ac:dyDescent="0.2">
      <c r="A1108">
        <v>99</v>
      </c>
      <c r="B1108" t="s">
        <v>2117</v>
      </c>
      <c r="C1108" t="s">
        <v>1251</v>
      </c>
      <c r="D1108" t="s">
        <v>1507</v>
      </c>
      <c r="E1108" t="s">
        <v>1272</v>
      </c>
      <c r="F1108">
        <v>4</v>
      </c>
      <c r="G1108">
        <v>1.6400000000000001E-2</v>
      </c>
      <c r="H1108" t="s">
        <v>1667</v>
      </c>
      <c r="I1108" t="s">
        <v>1152</v>
      </c>
      <c r="J1108">
        <v>6.5600000000000006E-2</v>
      </c>
      <c r="K1108">
        <v>419.05017600000002</v>
      </c>
      <c r="L1108" t="s">
        <v>958</v>
      </c>
      <c r="M1108">
        <v>6387.96</v>
      </c>
      <c r="N1108" t="s">
        <v>3393</v>
      </c>
      <c r="O1108" t="s">
        <v>3390</v>
      </c>
    </row>
    <row r="1109" spans="1:15" x14ac:dyDescent="0.2">
      <c r="A1109">
        <v>99</v>
      </c>
      <c r="B1109" t="s">
        <v>2117</v>
      </c>
      <c r="C1109" t="s">
        <v>1251</v>
      </c>
      <c r="D1109" t="s">
        <v>939</v>
      </c>
      <c r="E1109" t="s">
        <v>640</v>
      </c>
      <c r="F1109">
        <v>0</v>
      </c>
      <c r="G1109">
        <v>21.15</v>
      </c>
      <c r="H1109" t="s">
        <v>151</v>
      </c>
      <c r="I1109" t="s">
        <v>1152</v>
      </c>
      <c r="J1109">
        <v>0</v>
      </c>
      <c r="K1109">
        <v>0</v>
      </c>
      <c r="L1109" t="s">
        <v>958</v>
      </c>
      <c r="M1109">
        <v>6387.96</v>
      </c>
      <c r="N1109" t="s">
        <v>3394</v>
      </c>
      <c r="O1109" t="s">
        <v>3390</v>
      </c>
    </row>
    <row r="1110" spans="1:15" x14ac:dyDescent="0.2">
      <c r="A1110">
        <v>99</v>
      </c>
      <c r="B1110" t="s">
        <v>2117</v>
      </c>
      <c r="C1110" t="s">
        <v>1251</v>
      </c>
      <c r="D1110" t="s">
        <v>498</v>
      </c>
      <c r="E1110" t="s">
        <v>773</v>
      </c>
      <c r="F1110">
        <v>1.2</v>
      </c>
      <c r="G1110">
        <v>0</v>
      </c>
      <c r="H1110" t="s">
        <v>84</v>
      </c>
      <c r="I1110" t="s">
        <v>1152</v>
      </c>
      <c r="J1110">
        <v>0</v>
      </c>
      <c r="K1110">
        <v>0</v>
      </c>
      <c r="L1110" t="s">
        <v>958</v>
      </c>
      <c r="M1110">
        <v>6387.96</v>
      </c>
      <c r="N1110" t="s">
        <v>3389</v>
      </c>
      <c r="O1110" t="s">
        <v>3390</v>
      </c>
    </row>
    <row r="1111" spans="1:15" x14ac:dyDescent="0.2">
      <c r="A1111">
        <v>99</v>
      </c>
      <c r="B1111" t="s">
        <v>2117</v>
      </c>
      <c r="C1111" t="s">
        <v>1251</v>
      </c>
      <c r="D1111" t="s">
        <v>903</v>
      </c>
      <c r="E1111" t="s">
        <v>864</v>
      </c>
      <c r="F1111">
        <v>1</v>
      </c>
      <c r="G1111">
        <v>3.5</v>
      </c>
      <c r="H1111" t="s">
        <v>1152</v>
      </c>
      <c r="I1111" t="s">
        <v>1152</v>
      </c>
      <c r="J1111">
        <v>3.5</v>
      </c>
      <c r="K1111">
        <v>22357.86</v>
      </c>
      <c r="L1111" t="s">
        <v>958</v>
      </c>
      <c r="M1111">
        <v>6387.96</v>
      </c>
      <c r="N1111" t="s">
        <v>3397</v>
      </c>
      <c r="O1111" t="s">
        <v>3390</v>
      </c>
    </row>
    <row r="1112" spans="1:15" x14ac:dyDescent="0.2">
      <c r="A1112">
        <v>99</v>
      </c>
      <c r="B1112" t="s">
        <v>2117</v>
      </c>
      <c r="C1112" t="s">
        <v>1251</v>
      </c>
      <c r="D1112" t="s">
        <v>1503</v>
      </c>
      <c r="E1112" t="s">
        <v>464</v>
      </c>
      <c r="F1112">
        <v>8</v>
      </c>
      <c r="G1112">
        <v>0.05</v>
      </c>
      <c r="H1112" t="s">
        <v>1667</v>
      </c>
      <c r="I1112" t="s">
        <v>1152</v>
      </c>
      <c r="J1112">
        <v>0.4</v>
      </c>
      <c r="K1112">
        <v>2555.1840000000002</v>
      </c>
      <c r="L1112" t="s">
        <v>958</v>
      </c>
      <c r="M1112">
        <v>6387.96</v>
      </c>
      <c r="N1112" t="s">
        <v>3392</v>
      </c>
      <c r="O1112" t="s">
        <v>3390</v>
      </c>
    </row>
    <row r="1113" spans="1:15" x14ac:dyDescent="0.2">
      <c r="A1113">
        <v>99</v>
      </c>
      <c r="B1113" t="s">
        <v>2117</v>
      </c>
      <c r="C1113" t="s">
        <v>1302</v>
      </c>
      <c r="D1113" t="s">
        <v>1795</v>
      </c>
      <c r="E1113" t="s">
        <v>1816</v>
      </c>
      <c r="F1113">
        <v>1.05</v>
      </c>
      <c r="G1113">
        <v>5.8662999999999998</v>
      </c>
      <c r="H1113" t="s">
        <v>1152</v>
      </c>
      <c r="I1113" t="s">
        <v>1152</v>
      </c>
      <c r="J1113">
        <v>6.1596149999999996</v>
      </c>
      <c r="K1113">
        <v>70305.352841</v>
      </c>
      <c r="L1113" t="s">
        <v>101</v>
      </c>
      <c r="M1113">
        <v>11413.92</v>
      </c>
      <c r="N1113" t="s">
        <v>3401</v>
      </c>
      <c r="O1113" t="s">
        <v>1319</v>
      </c>
    </row>
    <row r="1114" spans="1:15" x14ac:dyDescent="0.2">
      <c r="A1114">
        <v>99</v>
      </c>
      <c r="B1114" t="s">
        <v>2117</v>
      </c>
      <c r="C1114" t="s">
        <v>1302</v>
      </c>
      <c r="D1114" t="s">
        <v>1650</v>
      </c>
      <c r="E1114" t="s">
        <v>386</v>
      </c>
      <c r="F1114">
        <v>0.04</v>
      </c>
      <c r="G1114">
        <v>8.0399999999999991</v>
      </c>
      <c r="H1114" t="s">
        <v>1781</v>
      </c>
      <c r="I1114" t="s">
        <v>1152</v>
      </c>
      <c r="J1114">
        <v>0.3216</v>
      </c>
      <c r="K1114">
        <v>3670.716672</v>
      </c>
      <c r="L1114" t="s">
        <v>101</v>
      </c>
      <c r="M1114">
        <v>11413.92</v>
      </c>
      <c r="N1114" t="s">
        <v>3402</v>
      </c>
      <c r="O1114" t="s">
        <v>1319</v>
      </c>
    </row>
    <row r="1115" spans="1:15" x14ac:dyDescent="0.2">
      <c r="A1115">
        <v>99</v>
      </c>
      <c r="B1115" t="s">
        <v>2117</v>
      </c>
      <c r="C1115" t="s">
        <v>1302</v>
      </c>
      <c r="D1115" t="s">
        <v>498</v>
      </c>
      <c r="E1115" t="s">
        <v>773</v>
      </c>
      <c r="F1115">
        <v>1.2</v>
      </c>
      <c r="G1115">
        <v>0</v>
      </c>
      <c r="H1115" t="s">
        <v>84</v>
      </c>
      <c r="I1115" t="s">
        <v>1152</v>
      </c>
      <c r="J1115">
        <v>0</v>
      </c>
      <c r="K1115">
        <v>0</v>
      </c>
      <c r="L1115" t="s">
        <v>101</v>
      </c>
      <c r="M1115">
        <v>11413.92</v>
      </c>
      <c r="N1115" t="s">
        <v>3404</v>
      </c>
      <c r="O1115" t="s">
        <v>1319</v>
      </c>
    </row>
    <row r="1116" spans="1:15" x14ac:dyDescent="0.2">
      <c r="A1116">
        <v>99</v>
      </c>
      <c r="B1116" t="s">
        <v>2117</v>
      </c>
      <c r="C1116" t="s">
        <v>1302</v>
      </c>
      <c r="D1116" t="s">
        <v>801</v>
      </c>
      <c r="E1116" t="s">
        <v>402</v>
      </c>
      <c r="F1116">
        <v>0</v>
      </c>
      <c r="G1116">
        <v>10.3</v>
      </c>
      <c r="H1116" t="s">
        <v>151</v>
      </c>
      <c r="I1116" t="s">
        <v>1152</v>
      </c>
      <c r="J1116">
        <v>0</v>
      </c>
      <c r="K1116">
        <v>0</v>
      </c>
      <c r="L1116" t="s">
        <v>101</v>
      </c>
      <c r="M1116">
        <v>11413.92</v>
      </c>
      <c r="N1116" t="s">
        <v>3403</v>
      </c>
      <c r="O1116" t="s">
        <v>1319</v>
      </c>
    </row>
    <row r="1117" spans="1:15" x14ac:dyDescent="0.2">
      <c r="A1117">
        <v>99</v>
      </c>
      <c r="B1117" t="s">
        <v>2117</v>
      </c>
      <c r="C1117" t="s">
        <v>1117</v>
      </c>
      <c r="D1117" t="s">
        <v>1385</v>
      </c>
      <c r="E1117" t="s">
        <v>3408</v>
      </c>
      <c r="F1117">
        <v>1</v>
      </c>
      <c r="G1117">
        <v>261.8</v>
      </c>
      <c r="H1117" t="s">
        <v>1819</v>
      </c>
      <c r="I1117" t="s">
        <v>1152</v>
      </c>
      <c r="J1117">
        <v>261.8</v>
      </c>
      <c r="K1117">
        <v>635859.84</v>
      </c>
      <c r="L1117" t="s">
        <v>345</v>
      </c>
      <c r="M1117">
        <v>2428.8000000000002</v>
      </c>
      <c r="N1117" t="s">
        <v>3409</v>
      </c>
      <c r="O1117" t="s">
        <v>3407</v>
      </c>
    </row>
    <row r="1118" spans="1:15" x14ac:dyDescent="0.2">
      <c r="A1118">
        <v>99</v>
      </c>
      <c r="B1118" t="s">
        <v>2117</v>
      </c>
      <c r="C1118" t="s">
        <v>1117</v>
      </c>
      <c r="D1118" t="s">
        <v>1422</v>
      </c>
      <c r="E1118" t="s">
        <v>3405</v>
      </c>
      <c r="F1118">
        <v>1</v>
      </c>
      <c r="G1118">
        <v>673.2</v>
      </c>
      <c r="H1118" t="s">
        <v>1152</v>
      </c>
      <c r="I1118" t="s">
        <v>1152</v>
      </c>
      <c r="J1118">
        <v>673.2</v>
      </c>
      <c r="K1118">
        <v>1635068.16</v>
      </c>
      <c r="L1118" t="s">
        <v>345</v>
      </c>
      <c r="M1118">
        <v>2428.8000000000002</v>
      </c>
      <c r="N1118" t="s">
        <v>3406</v>
      </c>
      <c r="O1118" t="s">
        <v>3407</v>
      </c>
    </row>
    <row r="1119" spans="1:15" x14ac:dyDescent="0.2">
      <c r="A1119">
        <v>99</v>
      </c>
      <c r="B1119" t="s">
        <v>2117</v>
      </c>
      <c r="C1119" t="s">
        <v>1119</v>
      </c>
      <c r="D1119" t="s">
        <v>498</v>
      </c>
      <c r="E1119" t="s">
        <v>773</v>
      </c>
      <c r="F1119">
        <v>1.2</v>
      </c>
      <c r="G1119">
        <v>0</v>
      </c>
      <c r="H1119" t="s">
        <v>84</v>
      </c>
      <c r="I1119" t="s">
        <v>1152</v>
      </c>
      <c r="J1119">
        <v>0</v>
      </c>
      <c r="K1119">
        <v>0</v>
      </c>
      <c r="L1119" t="s">
        <v>343</v>
      </c>
      <c r="M1119">
        <v>7495.44</v>
      </c>
      <c r="N1119" t="s">
        <v>3417</v>
      </c>
      <c r="O1119" t="s">
        <v>3411</v>
      </c>
    </row>
    <row r="1120" spans="1:15" x14ac:dyDescent="0.2">
      <c r="A1120">
        <v>99</v>
      </c>
      <c r="B1120" t="s">
        <v>2117</v>
      </c>
      <c r="C1120" t="s">
        <v>1119</v>
      </c>
      <c r="D1120" t="s">
        <v>801</v>
      </c>
      <c r="E1120" t="s">
        <v>402</v>
      </c>
      <c r="F1120">
        <v>0</v>
      </c>
      <c r="G1120">
        <v>10.3</v>
      </c>
      <c r="H1120" t="s">
        <v>151</v>
      </c>
      <c r="I1120" t="s">
        <v>1152</v>
      </c>
      <c r="J1120">
        <v>0</v>
      </c>
      <c r="K1120">
        <v>0</v>
      </c>
      <c r="L1120" t="s">
        <v>343</v>
      </c>
      <c r="M1120">
        <v>7495.44</v>
      </c>
      <c r="N1120" t="s">
        <v>3414</v>
      </c>
      <c r="O1120" t="s">
        <v>3411</v>
      </c>
    </row>
    <row r="1121" spans="1:15" x14ac:dyDescent="0.2">
      <c r="A1121">
        <v>99</v>
      </c>
      <c r="B1121" t="s">
        <v>2117</v>
      </c>
      <c r="C1121" t="s">
        <v>1119</v>
      </c>
      <c r="D1121" t="s">
        <v>639</v>
      </c>
      <c r="E1121" t="s">
        <v>1300</v>
      </c>
      <c r="F1121">
        <v>0.57499999999999996</v>
      </c>
      <c r="G1121">
        <v>26.4</v>
      </c>
      <c r="H1121" t="s">
        <v>1052</v>
      </c>
      <c r="I1121" t="s">
        <v>1152</v>
      </c>
      <c r="J1121">
        <v>15.18</v>
      </c>
      <c r="K1121">
        <v>113780.7792</v>
      </c>
      <c r="L1121" t="s">
        <v>343</v>
      </c>
      <c r="M1121">
        <v>7495.44</v>
      </c>
      <c r="N1121" t="s">
        <v>3412</v>
      </c>
      <c r="O1121" t="s">
        <v>3411</v>
      </c>
    </row>
    <row r="1122" spans="1:15" x14ac:dyDescent="0.2">
      <c r="A1122">
        <v>99</v>
      </c>
      <c r="B1122" t="s">
        <v>2117</v>
      </c>
      <c r="C1122" t="s">
        <v>1119</v>
      </c>
      <c r="D1122" t="s">
        <v>1484</v>
      </c>
      <c r="E1122" t="s">
        <v>469</v>
      </c>
      <c r="F1122">
        <v>1.05</v>
      </c>
      <c r="G1122">
        <v>233.62</v>
      </c>
      <c r="H1122" t="s">
        <v>1152</v>
      </c>
      <c r="I1122" t="s">
        <v>1152</v>
      </c>
      <c r="J1122">
        <v>245.30099999999999</v>
      </c>
      <c r="K1122">
        <v>1838638.92744</v>
      </c>
      <c r="L1122" t="s">
        <v>343</v>
      </c>
      <c r="M1122">
        <v>7495.44</v>
      </c>
      <c r="N1122" t="s">
        <v>3410</v>
      </c>
      <c r="O1122" t="s">
        <v>3411</v>
      </c>
    </row>
    <row r="1123" spans="1:15" x14ac:dyDescent="0.2">
      <c r="A1123">
        <v>99</v>
      </c>
      <c r="B1123" t="s">
        <v>2117</v>
      </c>
      <c r="C1123" t="s">
        <v>1119</v>
      </c>
      <c r="D1123" t="s">
        <v>1016</v>
      </c>
      <c r="E1123" t="s">
        <v>746</v>
      </c>
      <c r="F1123">
        <v>0</v>
      </c>
      <c r="G1123">
        <v>18</v>
      </c>
      <c r="H1123" t="s">
        <v>151</v>
      </c>
      <c r="I1123" t="s">
        <v>1152</v>
      </c>
      <c r="J1123">
        <v>0</v>
      </c>
      <c r="K1123">
        <v>0</v>
      </c>
      <c r="L1123" t="s">
        <v>343</v>
      </c>
      <c r="M1123">
        <v>7495.44</v>
      </c>
      <c r="N1123" t="s">
        <v>3413</v>
      </c>
      <c r="O1123" t="s">
        <v>3411</v>
      </c>
    </row>
    <row r="1124" spans="1:15" x14ac:dyDescent="0.2">
      <c r="A1124">
        <v>99</v>
      </c>
      <c r="B1124" t="s">
        <v>2117</v>
      </c>
      <c r="C1124" t="s">
        <v>1119</v>
      </c>
      <c r="D1124" t="s">
        <v>966</v>
      </c>
      <c r="E1124" t="s">
        <v>3415</v>
      </c>
      <c r="F1124">
        <v>1</v>
      </c>
      <c r="G1124">
        <v>80</v>
      </c>
      <c r="H1124" t="s">
        <v>1152</v>
      </c>
      <c r="I1124" t="s">
        <v>1152</v>
      </c>
      <c r="J1124">
        <v>80</v>
      </c>
      <c r="K1124">
        <v>599635.19999999995</v>
      </c>
      <c r="L1124" t="s">
        <v>343</v>
      </c>
      <c r="M1124">
        <v>7495.44</v>
      </c>
      <c r="N1124" t="s">
        <v>3416</v>
      </c>
      <c r="O1124" t="s">
        <v>3411</v>
      </c>
    </row>
    <row r="1125" spans="1:15" x14ac:dyDescent="0.2">
      <c r="A1125">
        <v>99</v>
      </c>
      <c r="B1125" t="s">
        <v>2117</v>
      </c>
      <c r="C1125" t="s">
        <v>1120</v>
      </c>
      <c r="D1125" t="s">
        <v>946</v>
      </c>
      <c r="E1125" t="s">
        <v>1695</v>
      </c>
      <c r="F1125">
        <v>0.19800000000000001</v>
      </c>
      <c r="G1125">
        <v>40</v>
      </c>
      <c r="H1125" t="s">
        <v>1819</v>
      </c>
      <c r="I1125" t="s">
        <v>153</v>
      </c>
      <c r="J1125">
        <v>7.92</v>
      </c>
      <c r="K1125">
        <v>3079.2959999999998</v>
      </c>
      <c r="L1125" t="s">
        <v>444</v>
      </c>
      <c r="M1125">
        <v>388.8</v>
      </c>
      <c r="N1125" t="s">
        <v>3428</v>
      </c>
      <c r="O1125" t="s">
        <v>3421</v>
      </c>
    </row>
    <row r="1126" spans="1:15" x14ac:dyDescent="0.2">
      <c r="A1126">
        <v>99</v>
      </c>
      <c r="B1126" t="s">
        <v>2117</v>
      </c>
      <c r="C1126" t="s">
        <v>1120</v>
      </c>
      <c r="D1126" t="s">
        <v>750</v>
      </c>
      <c r="E1126" t="s">
        <v>1785</v>
      </c>
      <c r="F1126">
        <v>0.19800000000000001</v>
      </c>
      <c r="G1126">
        <v>836.11109999999996</v>
      </c>
      <c r="H1126" t="s">
        <v>1152</v>
      </c>
      <c r="I1126" t="s">
        <v>153</v>
      </c>
      <c r="J1126">
        <v>165.5499978</v>
      </c>
      <c r="K1126">
        <v>64365.839144999998</v>
      </c>
      <c r="L1126" t="s">
        <v>444</v>
      </c>
      <c r="M1126">
        <v>388.8</v>
      </c>
      <c r="N1126" t="s">
        <v>3423</v>
      </c>
      <c r="O1126" t="s">
        <v>3421</v>
      </c>
    </row>
    <row r="1127" spans="1:15" x14ac:dyDescent="0.2">
      <c r="A1127">
        <v>99</v>
      </c>
      <c r="B1127" t="s">
        <v>2117</v>
      </c>
      <c r="C1127" t="s">
        <v>1120</v>
      </c>
      <c r="D1127" t="s">
        <v>853</v>
      </c>
      <c r="E1127" t="s">
        <v>980</v>
      </c>
      <c r="F1127">
        <v>1.5505</v>
      </c>
      <c r="G1127">
        <v>0.9</v>
      </c>
      <c r="H1127" t="s">
        <v>1052</v>
      </c>
      <c r="I1127" t="s">
        <v>153</v>
      </c>
      <c r="J1127">
        <v>1.3954500000000001</v>
      </c>
      <c r="K1127">
        <v>542.55096000000003</v>
      </c>
      <c r="L1127" t="s">
        <v>444</v>
      </c>
      <c r="M1127">
        <v>388.8</v>
      </c>
      <c r="N1127" t="s">
        <v>3420</v>
      </c>
      <c r="O1127" t="s">
        <v>3421</v>
      </c>
    </row>
    <row r="1128" spans="1:15" x14ac:dyDescent="0.2">
      <c r="A1128">
        <v>99</v>
      </c>
      <c r="B1128" t="s">
        <v>2117</v>
      </c>
      <c r="C1128" t="s">
        <v>1120</v>
      </c>
      <c r="D1128" t="s">
        <v>1006</v>
      </c>
      <c r="E1128" t="s">
        <v>699</v>
      </c>
      <c r="F1128">
        <v>0</v>
      </c>
      <c r="G1128">
        <v>28.988</v>
      </c>
      <c r="H1128" t="s">
        <v>151</v>
      </c>
      <c r="I1128" t="s">
        <v>153</v>
      </c>
      <c r="J1128">
        <v>0</v>
      </c>
      <c r="K1128">
        <v>0</v>
      </c>
      <c r="L1128" t="s">
        <v>444</v>
      </c>
      <c r="M1128">
        <v>388.8</v>
      </c>
      <c r="N1128" t="s">
        <v>3424</v>
      </c>
      <c r="O1128" t="s">
        <v>3421</v>
      </c>
    </row>
    <row r="1129" spans="1:15" x14ac:dyDescent="0.2">
      <c r="A1129">
        <v>99</v>
      </c>
      <c r="B1129" t="s">
        <v>2117</v>
      </c>
      <c r="C1129" t="s">
        <v>1120</v>
      </c>
      <c r="D1129" t="s">
        <v>801</v>
      </c>
      <c r="E1129" t="s">
        <v>402</v>
      </c>
      <c r="F1129">
        <v>0</v>
      </c>
      <c r="G1129">
        <v>10.3</v>
      </c>
      <c r="H1129" t="s">
        <v>151</v>
      </c>
      <c r="I1129" t="s">
        <v>153</v>
      </c>
      <c r="J1129">
        <v>0</v>
      </c>
      <c r="K1129">
        <v>0</v>
      </c>
      <c r="L1129" t="s">
        <v>444</v>
      </c>
      <c r="M1129">
        <v>388.8</v>
      </c>
      <c r="N1129" t="s">
        <v>3425</v>
      </c>
      <c r="O1129" t="s">
        <v>3421</v>
      </c>
    </row>
    <row r="1130" spans="1:15" x14ac:dyDescent="0.2">
      <c r="A1130">
        <v>99</v>
      </c>
      <c r="B1130" t="s">
        <v>2117</v>
      </c>
      <c r="C1130" t="s">
        <v>1120</v>
      </c>
      <c r="D1130" t="s">
        <v>498</v>
      </c>
      <c r="E1130" t="s">
        <v>773</v>
      </c>
      <c r="F1130">
        <v>1.2</v>
      </c>
      <c r="G1130">
        <v>0</v>
      </c>
      <c r="H1130" t="s">
        <v>84</v>
      </c>
      <c r="I1130" t="s">
        <v>153</v>
      </c>
      <c r="J1130">
        <v>0</v>
      </c>
      <c r="K1130">
        <v>0</v>
      </c>
      <c r="L1130" t="s">
        <v>444</v>
      </c>
      <c r="M1130">
        <v>388.8</v>
      </c>
      <c r="N1130" t="s">
        <v>3427</v>
      </c>
      <c r="O1130" t="s">
        <v>3421</v>
      </c>
    </row>
    <row r="1131" spans="1:15" x14ac:dyDescent="0.2">
      <c r="A1131">
        <v>99</v>
      </c>
      <c r="B1131" t="s">
        <v>2117</v>
      </c>
      <c r="C1131" t="s">
        <v>1120</v>
      </c>
      <c r="D1131" t="s">
        <v>824</v>
      </c>
      <c r="E1131" t="s">
        <v>3418</v>
      </c>
      <c r="F1131">
        <v>0.19500000000000001</v>
      </c>
      <c r="G1131">
        <v>25</v>
      </c>
      <c r="H1131" t="s">
        <v>1152</v>
      </c>
      <c r="I1131" t="s">
        <v>153</v>
      </c>
      <c r="J1131">
        <v>4.875</v>
      </c>
      <c r="K1131">
        <v>1895.4</v>
      </c>
      <c r="L1131" t="s">
        <v>444</v>
      </c>
      <c r="M1131">
        <v>388.8</v>
      </c>
      <c r="N1131" t="s">
        <v>3426</v>
      </c>
      <c r="O1131" t="s">
        <v>3421</v>
      </c>
    </row>
    <row r="1132" spans="1:15" x14ac:dyDescent="0.2">
      <c r="A1132">
        <v>99</v>
      </c>
      <c r="B1132" t="s">
        <v>2117</v>
      </c>
      <c r="C1132" t="s">
        <v>1120</v>
      </c>
      <c r="D1132" t="s">
        <v>706</v>
      </c>
      <c r="E1132" t="s">
        <v>130</v>
      </c>
      <c r="F1132">
        <v>0.216</v>
      </c>
      <c r="G1132">
        <v>8</v>
      </c>
      <c r="H1132" t="s">
        <v>1052</v>
      </c>
      <c r="I1132" t="s">
        <v>153</v>
      </c>
      <c r="J1132">
        <v>1.728</v>
      </c>
      <c r="K1132">
        <v>671.84640000000002</v>
      </c>
      <c r="L1132" t="s">
        <v>444</v>
      </c>
      <c r="M1132">
        <v>388.8</v>
      </c>
      <c r="N1132" t="s">
        <v>3422</v>
      </c>
      <c r="O1132" t="s">
        <v>3421</v>
      </c>
    </row>
    <row r="1133" spans="1:15" x14ac:dyDescent="0.2">
      <c r="A1133">
        <v>99</v>
      </c>
      <c r="B1133" t="s">
        <v>2117</v>
      </c>
      <c r="C1133" t="s">
        <v>1124</v>
      </c>
      <c r="D1133" t="s">
        <v>706</v>
      </c>
      <c r="E1133" t="s">
        <v>130</v>
      </c>
      <c r="F1133">
        <v>0.14000000000000001</v>
      </c>
      <c r="G1133">
        <v>8</v>
      </c>
      <c r="H1133" t="s">
        <v>1052</v>
      </c>
      <c r="I1133" t="s">
        <v>1152</v>
      </c>
      <c r="J1133">
        <v>1.1200000000000001</v>
      </c>
      <c r="K1133">
        <v>439.81056000000001</v>
      </c>
      <c r="L1133" t="s">
        <v>961</v>
      </c>
      <c r="M1133">
        <v>392.68799999999999</v>
      </c>
      <c r="N1133" t="s">
        <v>3437</v>
      </c>
      <c r="O1133" t="s">
        <v>3430</v>
      </c>
    </row>
    <row r="1134" spans="1:15" x14ac:dyDescent="0.2">
      <c r="A1134">
        <v>99</v>
      </c>
      <c r="B1134" t="s">
        <v>2117</v>
      </c>
      <c r="C1134" t="s">
        <v>1124</v>
      </c>
      <c r="D1134" t="s">
        <v>824</v>
      </c>
      <c r="E1134" t="s">
        <v>3418</v>
      </c>
      <c r="F1134">
        <v>1.1000000000000001</v>
      </c>
      <c r="G1134">
        <v>25</v>
      </c>
      <c r="H1134" t="s">
        <v>1152</v>
      </c>
      <c r="I1134" t="s">
        <v>1152</v>
      </c>
      <c r="J1134">
        <v>27.5</v>
      </c>
      <c r="K1134">
        <v>10798.92</v>
      </c>
      <c r="L1134" t="s">
        <v>961</v>
      </c>
      <c r="M1134">
        <v>392.68799999999999</v>
      </c>
      <c r="N1134" t="s">
        <v>3431</v>
      </c>
      <c r="O1134" t="s">
        <v>3430</v>
      </c>
    </row>
    <row r="1135" spans="1:15" x14ac:dyDescent="0.2">
      <c r="A1135">
        <v>99</v>
      </c>
      <c r="B1135" t="s">
        <v>2117</v>
      </c>
      <c r="C1135" t="s">
        <v>1124</v>
      </c>
      <c r="D1135" t="s">
        <v>498</v>
      </c>
      <c r="E1135" t="s">
        <v>773</v>
      </c>
      <c r="F1135">
        <v>1.2</v>
      </c>
      <c r="G1135">
        <v>0</v>
      </c>
      <c r="H1135" t="s">
        <v>84</v>
      </c>
      <c r="I1135" t="s">
        <v>1152</v>
      </c>
      <c r="J1135">
        <v>0</v>
      </c>
      <c r="K1135">
        <v>0</v>
      </c>
      <c r="L1135" t="s">
        <v>961</v>
      </c>
      <c r="M1135">
        <v>392.68799999999999</v>
      </c>
      <c r="N1135" t="s">
        <v>3434</v>
      </c>
      <c r="O1135" t="s">
        <v>3430</v>
      </c>
    </row>
    <row r="1136" spans="1:15" x14ac:dyDescent="0.2">
      <c r="A1136">
        <v>99</v>
      </c>
      <c r="B1136" t="s">
        <v>2117</v>
      </c>
      <c r="C1136" t="s">
        <v>1124</v>
      </c>
      <c r="D1136" t="s">
        <v>801</v>
      </c>
      <c r="E1136" t="s">
        <v>402</v>
      </c>
      <c r="F1136">
        <v>0</v>
      </c>
      <c r="G1136">
        <v>10.3</v>
      </c>
      <c r="H1136" t="s">
        <v>151</v>
      </c>
      <c r="I1136" t="s">
        <v>1152</v>
      </c>
      <c r="J1136">
        <v>0</v>
      </c>
      <c r="K1136">
        <v>0</v>
      </c>
      <c r="L1136" t="s">
        <v>961</v>
      </c>
      <c r="M1136">
        <v>392.68799999999999</v>
      </c>
      <c r="N1136" t="s">
        <v>3429</v>
      </c>
      <c r="O1136" t="s">
        <v>3430</v>
      </c>
    </row>
    <row r="1137" spans="1:15" x14ac:dyDescent="0.2">
      <c r="A1137">
        <v>99</v>
      </c>
      <c r="B1137" t="s">
        <v>2117</v>
      </c>
      <c r="C1137" t="s">
        <v>1124</v>
      </c>
      <c r="D1137" t="s">
        <v>1006</v>
      </c>
      <c r="E1137" t="s">
        <v>699</v>
      </c>
      <c r="F1137">
        <v>0</v>
      </c>
      <c r="G1137">
        <v>28.988</v>
      </c>
      <c r="H1137" t="s">
        <v>151</v>
      </c>
      <c r="I1137" t="s">
        <v>1152</v>
      </c>
      <c r="J1137">
        <v>0</v>
      </c>
      <c r="K1137">
        <v>0</v>
      </c>
      <c r="L1137" t="s">
        <v>961</v>
      </c>
      <c r="M1137">
        <v>392.68799999999999</v>
      </c>
      <c r="N1137" t="s">
        <v>3439</v>
      </c>
      <c r="O1137" t="s">
        <v>3430</v>
      </c>
    </row>
    <row r="1138" spans="1:15" x14ac:dyDescent="0.2">
      <c r="A1138">
        <v>99</v>
      </c>
      <c r="B1138" t="s">
        <v>2117</v>
      </c>
      <c r="C1138" t="s">
        <v>1124</v>
      </c>
      <c r="D1138" t="s">
        <v>838</v>
      </c>
      <c r="E1138" t="s">
        <v>3419</v>
      </c>
      <c r="F1138">
        <v>1</v>
      </c>
      <c r="G1138">
        <v>90</v>
      </c>
      <c r="H1138" t="s">
        <v>1152</v>
      </c>
      <c r="I1138" t="s">
        <v>1152</v>
      </c>
      <c r="J1138">
        <v>90</v>
      </c>
      <c r="K1138">
        <v>35341.919999999998</v>
      </c>
      <c r="L1138" t="s">
        <v>961</v>
      </c>
      <c r="M1138">
        <v>392.68799999999999</v>
      </c>
      <c r="N1138" t="s">
        <v>3432</v>
      </c>
      <c r="O1138" t="s">
        <v>3430</v>
      </c>
    </row>
    <row r="1139" spans="1:15" x14ac:dyDescent="0.2">
      <c r="A1139">
        <v>99</v>
      </c>
      <c r="B1139" t="s">
        <v>2117</v>
      </c>
      <c r="C1139" t="s">
        <v>1124</v>
      </c>
      <c r="D1139" t="s">
        <v>853</v>
      </c>
      <c r="E1139" t="s">
        <v>980</v>
      </c>
      <c r="F1139">
        <v>8.6199999999999992</v>
      </c>
      <c r="G1139">
        <v>0.9</v>
      </c>
      <c r="H1139" t="s">
        <v>1052</v>
      </c>
      <c r="I1139" t="s">
        <v>1152</v>
      </c>
      <c r="J1139">
        <v>7.758</v>
      </c>
      <c r="K1139">
        <v>3046.473504</v>
      </c>
      <c r="L1139" t="s">
        <v>961</v>
      </c>
      <c r="M1139">
        <v>392.68799999999999</v>
      </c>
      <c r="N1139" t="s">
        <v>3436</v>
      </c>
      <c r="O1139" t="s">
        <v>3430</v>
      </c>
    </row>
    <row r="1140" spans="1:15" x14ac:dyDescent="0.2">
      <c r="A1140">
        <v>99</v>
      </c>
      <c r="B1140" t="s">
        <v>2117</v>
      </c>
      <c r="C1140" t="s">
        <v>1124</v>
      </c>
      <c r="D1140" t="s">
        <v>946</v>
      </c>
      <c r="E1140" t="s">
        <v>1695</v>
      </c>
      <c r="F1140">
        <v>1.1000000000000001</v>
      </c>
      <c r="G1140">
        <v>40</v>
      </c>
      <c r="H1140" t="s">
        <v>1819</v>
      </c>
      <c r="I1140" t="s">
        <v>1152</v>
      </c>
      <c r="J1140">
        <v>44</v>
      </c>
      <c r="K1140">
        <v>17278.272000000001</v>
      </c>
      <c r="L1140" t="s">
        <v>961</v>
      </c>
      <c r="M1140">
        <v>392.68799999999999</v>
      </c>
      <c r="N1140" t="s">
        <v>3435</v>
      </c>
      <c r="O1140" t="s">
        <v>3430</v>
      </c>
    </row>
    <row r="1141" spans="1:15" x14ac:dyDescent="0.2">
      <c r="A1141">
        <v>99</v>
      </c>
      <c r="B1141" t="s">
        <v>2117</v>
      </c>
      <c r="C1141" t="s">
        <v>1124</v>
      </c>
      <c r="D1141" t="s">
        <v>1908</v>
      </c>
      <c r="E1141" t="s">
        <v>1923</v>
      </c>
      <c r="F1141">
        <v>1.1000000000000001</v>
      </c>
      <c r="G1141">
        <v>957.99199999999996</v>
      </c>
      <c r="H1141" t="s">
        <v>1152</v>
      </c>
      <c r="I1141" t="s">
        <v>1152</v>
      </c>
      <c r="J1141">
        <v>1053.7911999999999</v>
      </c>
      <c r="K1141">
        <v>413811.15874599997</v>
      </c>
      <c r="L1141" t="s">
        <v>961</v>
      </c>
      <c r="M1141">
        <v>392.68799999999999</v>
      </c>
      <c r="N1141" t="s">
        <v>3438</v>
      </c>
      <c r="O1141" t="s">
        <v>3430</v>
      </c>
    </row>
    <row r="1142" spans="1:15" x14ac:dyDescent="0.2">
      <c r="A1142">
        <v>99</v>
      </c>
      <c r="B1142" t="s">
        <v>2117</v>
      </c>
      <c r="C1142" t="s">
        <v>1124</v>
      </c>
      <c r="D1142" t="s">
        <v>903</v>
      </c>
      <c r="E1142" t="s">
        <v>864</v>
      </c>
      <c r="F1142">
        <v>1</v>
      </c>
      <c r="G1142">
        <v>3.5</v>
      </c>
      <c r="H1142" t="s">
        <v>1152</v>
      </c>
      <c r="I1142" t="s">
        <v>1152</v>
      </c>
      <c r="J1142">
        <v>3.5</v>
      </c>
      <c r="K1142">
        <v>1374.4079999999999</v>
      </c>
      <c r="L1142" t="s">
        <v>961</v>
      </c>
      <c r="M1142">
        <v>392.68799999999999</v>
      </c>
      <c r="N1142" t="s">
        <v>3433</v>
      </c>
      <c r="O1142" t="s">
        <v>3430</v>
      </c>
    </row>
    <row r="1143" spans="1:15" x14ac:dyDescent="0.2">
      <c r="A1143">
        <v>99</v>
      </c>
      <c r="B1143" t="s">
        <v>2117</v>
      </c>
      <c r="C1143" t="s">
        <v>832</v>
      </c>
      <c r="D1143" t="s">
        <v>1516</v>
      </c>
      <c r="E1143" t="s">
        <v>3442</v>
      </c>
      <c r="F1143">
        <v>1.05</v>
      </c>
      <c r="G1143">
        <v>50</v>
      </c>
      <c r="H1143" t="s">
        <v>153</v>
      </c>
      <c r="I1143" t="s">
        <v>153</v>
      </c>
      <c r="J1143">
        <v>52.5</v>
      </c>
      <c r="K1143">
        <v>316323</v>
      </c>
      <c r="L1143" t="s">
        <v>225</v>
      </c>
      <c r="M1143">
        <v>6025.2</v>
      </c>
      <c r="N1143" t="s">
        <v>3443</v>
      </c>
      <c r="O1143" t="s">
        <v>3441</v>
      </c>
    </row>
    <row r="1144" spans="1:15" x14ac:dyDescent="0.2">
      <c r="A1144">
        <v>99</v>
      </c>
      <c r="B1144" t="s">
        <v>2117</v>
      </c>
      <c r="C1144" t="s">
        <v>832</v>
      </c>
      <c r="D1144" t="s">
        <v>621</v>
      </c>
      <c r="E1144" t="s">
        <v>3444</v>
      </c>
      <c r="F1144">
        <v>0.99</v>
      </c>
      <c r="G1144">
        <v>49.59</v>
      </c>
      <c r="H1144" t="s">
        <v>1052</v>
      </c>
      <c r="I1144" t="s">
        <v>153</v>
      </c>
      <c r="J1144">
        <v>49.094099999999997</v>
      </c>
      <c r="K1144">
        <v>295801.77132</v>
      </c>
      <c r="L1144" t="s">
        <v>225</v>
      </c>
      <c r="M1144">
        <v>6025.2</v>
      </c>
      <c r="N1144" t="s">
        <v>3445</v>
      </c>
      <c r="O1144" t="s">
        <v>3441</v>
      </c>
    </row>
    <row r="1145" spans="1:15" x14ac:dyDescent="0.2">
      <c r="A1145">
        <v>99</v>
      </c>
      <c r="B1145" t="s">
        <v>2117</v>
      </c>
      <c r="C1145" t="s">
        <v>832</v>
      </c>
      <c r="D1145" t="s">
        <v>801</v>
      </c>
      <c r="E1145" t="s">
        <v>402</v>
      </c>
      <c r="F1145">
        <v>0</v>
      </c>
      <c r="G1145">
        <v>10.3</v>
      </c>
      <c r="H1145" t="s">
        <v>151</v>
      </c>
      <c r="I1145" t="s">
        <v>153</v>
      </c>
      <c r="J1145">
        <v>0</v>
      </c>
      <c r="K1145">
        <v>0</v>
      </c>
      <c r="L1145" t="s">
        <v>225</v>
      </c>
      <c r="M1145">
        <v>6025.2</v>
      </c>
      <c r="N1145" t="s">
        <v>3447</v>
      </c>
      <c r="O1145" t="s">
        <v>3441</v>
      </c>
    </row>
    <row r="1146" spans="1:15" x14ac:dyDescent="0.2">
      <c r="A1146">
        <v>99</v>
      </c>
      <c r="B1146" t="s">
        <v>2117</v>
      </c>
      <c r="C1146" t="s">
        <v>832</v>
      </c>
      <c r="D1146" t="s">
        <v>968</v>
      </c>
      <c r="E1146" t="s">
        <v>3448</v>
      </c>
      <c r="F1146">
        <v>1</v>
      </c>
      <c r="G1146">
        <v>35</v>
      </c>
      <c r="H1146" t="s">
        <v>153</v>
      </c>
      <c r="I1146" t="s">
        <v>153</v>
      </c>
      <c r="J1146">
        <v>35</v>
      </c>
      <c r="K1146">
        <v>210882</v>
      </c>
      <c r="L1146" t="s">
        <v>225</v>
      </c>
      <c r="M1146">
        <v>6025.2</v>
      </c>
      <c r="N1146" t="s">
        <v>3449</v>
      </c>
      <c r="O1146" t="s">
        <v>3441</v>
      </c>
    </row>
    <row r="1147" spans="1:15" x14ac:dyDescent="0.2">
      <c r="A1147">
        <v>99</v>
      </c>
      <c r="B1147" t="s">
        <v>2117</v>
      </c>
      <c r="C1147" t="s">
        <v>832</v>
      </c>
      <c r="D1147" t="s">
        <v>498</v>
      </c>
      <c r="E1147" t="s">
        <v>773</v>
      </c>
      <c r="F1147">
        <v>1.2</v>
      </c>
      <c r="G1147">
        <v>0</v>
      </c>
      <c r="H1147" t="s">
        <v>84</v>
      </c>
      <c r="I1147" t="s">
        <v>153</v>
      </c>
      <c r="J1147">
        <v>0</v>
      </c>
      <c r="K1147">
        <v>0</v>
      </c>
      <c r="L1147" t="s">
        <v>225</v>
      </c>
      <c r="M1147">
        <v>6025.2</v>
      </c>
      <c r="N1147" t="s">
        <v>3440</v>
      </c>
      <c r="O1147" t="s">
        <v>3441</v>
      </c>
    </row>
    <row r="1148" spans="1:15" x14ac:dyDescent="0.2">
      <c r="A1148">
        <v>99</v>
      </c>
      <c r="B1148" t="s">
        <v>2117</v>
      </c>
      <c r="C1148" t="s">
        <v>832</v>
      </c>
      <c r="D1148" t="s">
        <v>1009</v>
      </c>
      <c r="E1148" t="s">
        <v>672</v>
      </c>
      <c r="F1148">
        <v>0</v>
      </c>
      <c r="G1148">
        <v>16.489999999999998</v>
      </c>
      <c r="H1148" t="s">
        <v>151</v>
      </c>
      <c r="I1148" t="s">
        <v>153</v>
      </c>
      <c r="J1148">
        <v>0</v>
      </c>
      <c r="K1148">
        <v>0</v>
      </c>
      <c r="L1148" t="s">
        <v>225</v>
      </c>
      <c r="M1148">
        <v>6025.2</v>
      </c>
      <c r="N1148" t="s">
        <v>3446</v>
      </c>
      <c r="O1148" t="s">
        <v>3441</v>
      </c>
    </row>
    <row r="1149" spans="1:15" x14ac:dyDescent="0.2">
      <c r="A1149">
        <v>99</v>
      </c>
      <c r="B1149" t="s">
        <v>2117</v>
      </c>
      <c r="C1149" t="s">
        <v>761</v>
      </c>
      <c r="D1149" t="s">
        <v>877</v>
      </c>
      <c r="E1149" t="s">
        <v>2332</v>
      </c>
      <c r="F1149">
        <v>20</v>
      </c>
      <c r="G1149">
        <v>0.55000000000000004</v>
      </c>
      <c r="H1149" t="s">
        <v>1781</v>
      </c>
      <c r="I1149" t="s">
        <v>1152</v>
      </c>
      <c r="J1149">
        <v>11</v>
      </c>
      <c r="K1149">
        <v>3132.3072000000002</v>
      </c>
      <c r="L1149" t="s">
        <v>823</v>
      </c>
      <c r="M1149">
        <v>284.7552</v>
      </c>
      <c r="N1149" t="s">
        <v>3455</v>
      </c>
      <c r="O1149" t="s">
        <v>3452</v>
      </c>
    </row>
    <row r="1150" spans="1:15" x14ac:dyDescent="0.2">
      <c r="A1150">
        <v>99</v>
      </c>
      <c r="B1150" t="s">
        <v>2117</v>
      </c>
      <c r="C1150" t="s">
        <v>761</v>
      </c>
      <c r="D1150" t="s">
        <v>824</v>
      </c>
      <c r="E1150" t="s">
        <v>3418</v>
      </c>
      <c r="F1150">
        <v>1.05</v>
      </c>
      <c r="G1150">
        <v>25</v>
      </c>
      <c r="H1150" t="s">
        <v>1152</v>
      </c>
      <c r="I1150" t="s">
        <v>1152</v>
      </c>
      <c r="J1150">
        <v>26.25</v>
      </c>
      <c r="K1150">
        <v>7474.8239999999996</v>
      </c>
      <c r="L1150" t="s">
        <v>823</v>
      </c>
      <c r="M1150">
        <v>284.7552</v>
      </c>
      <c r="N1150" t="s">
        <v>3461</v>
      </c>
      <c r="O1150" t="s">
        <v>3452</v>
      </c>
    </row>
    <row r="1151" spans="1:15" x14ac:dyDescent="0.2">
      <c r="A1151">
        <v>99</v>
      </c>
      <c r="B1151" t="s">
        <v>2117</v>
      </c>
      <c r="C1151" t="s">
        <v>761</v>
      </c>
      <c r="D1151" t="s">
        <v>565</v>
      </c>
      <c r="E1151" t="s">
        <v>3453</v>
      </c>
      <c r="F1151">
        <v>1.05</v>
      </c>
      <c r="G1151">
        <v>1253.0549000000001</v>
      </c>
      <c r="H1151" t="s">
        <v>1152</v>
      </c>
      <c r="I1151" t="s">
        <v>1152</v>
      </c>
      <c r="J1151">
        <v>1315.707645</v>
      </c>
      <c r="K1151">
        <v>374654.59359399998</v>
      </c>
      <c r="L1151" t="s">
        <v>823</v>
      </c>
      <c r="M1151">
        <v>284.7552</v>
      </c>
      <c r="N1151" t="s">
        <v>3454</v>
      </c>
      <c r="O1151" t="s">
        <v>3452</v>
      </c>
    </row>
    <row r="1152" spans="1:15" x14ac:dyDescent="0.2">
      <c r="A1152">
        <v>99</v>
      </c>
      <c r="B1152" t="s">
        <v>2117</v>
      </c>
      <c r="C1152" t="s">
        <v>761</v>
      </c>
      <c r="D1152" t="s">
        <v>498</v>
      </c>
      <c r="E1152" t="s">
        <v>773</v>
      </c>
      <c r="F1152">
        <v>1.2</v>
      </c>
      <c r="G1152">
        <v>0</v>
      </c>
      <c r="H1152" t="s">
        <v>84</v>
      </c>
      <c r="I1152" t="s">
        <v>1152</v>
      </c>
      <c r="J1152">
        <v>0</v>
      </c>
      <c r="K1152">
        <v>0</v>
      </c>
      <c r="L1152" t="s">
        <v>823</v>
      </c>
      <c r="M1152">
        <v>284.7552</v>
      </c>
      <c r="N1152" t="s">
        <v>3464</v>
      </c>
      <c r="O1152" t="s">
        <v>3452</v>
      </c>
    </row>
    <row r="1153" spans="1:15" x14ac:dyDescent="0.2">
      <c r="A1153">
        <v>99</v>
      </c>
      <c r="B1153" t="s">
        <v>2117</v>
      </c>
      <c r="C1153" t="s">
        <v>761</v>
      </c>
      <c r="D1153" t="s">
        <v>801</v>
      </c>
      <c r="E1153" t="s">
        <v>402</v>
      </c>
      <c r="F1153">
        <v>0</v>
      </c>
      <c r="G1153">
        <v>10.3</v>
      </c>
      <c r="H1153" t="s">
        <v>151</v>
      </c>
      <c r="I1153" t="s">
        <v>1152</v>
      </c>
      <c r="J1153">
        <v>0</v>
      </c>
      <c r="K1153">
        <v>0</v>
      </c>
      <c r="L1153" t="s">
        <v>823</v>
      </c>
      <c r="M1153">
        <v>284.7552</v>
      </c>
      <c r="N1153" t="s">
        <v>3460</v>
      </c>
      <c r="O1153" t="s">
        <v>3452</v>
      </c>
    </row>
    <row r="1154" spans="1:15" x14ac:dyDescent="0.2">
      <c r="A1154">
        <v>99</v>
      </c>
      <c r="B1154" t="s">
        <v>2117</v>
      </c>
      <c r="C1154" t="s">
        <v>761</v>
      </c>
      <c r="D1154" t="s">
        <v>1039</v>
      </c>
      <c r="E1154" t="s">
        <v>3462</v>
      </c>
      <c r="F1154">
        <v>1</v>
      </c>
      <c r="G1154">
        <v>400</v>
      </c>
      <c r="H1154" t="s">
        <v>1152</v>
      </c>
      <c r="I1154" t="s">
        <v>1152</v>
      </c>
      <c r="J1154">
        <v>400</v>
      </c>
      <c r="K1154">
        <v>113902.08</v>
      </c>
      <c r="L1154" t="s">
        <v>823</v>
      </c>
      <c r="M1154">
        <v>284.7552</v>
      </c>
      <c r="N1154" t="s">
        <v>3463</v>
      </c>
      <c r="O1154" t="s">
        <v>3452</v>
      </c>
    </row>
    <row r="1155" spans="1:15" x14ac:dyDescent="0.2">
      <c r="A1155">
        <v>99</v>
      </c>
      <c r="B1155" t="s">
        <v>2117</v>
      </c>
      <c r="C1155" t="s">
        <v>761</v>
      </c>
      <c r="D1155" t="s">
        <v>1006</v>
      </c>
      <c r="E1155" t="s">
        <v>699</v>
      </c>
      <c r="F1155">
        <v>0</v>
      </c>
      <c r="G1155">
        <v>28.988</v>
      </c>
      <c r="H1155" t="s">
        <v>151</v>
      </c>
      <c r="I1155" t="s">
        <v>1152</v>
      </c>
      <c r="J1155">
        <v>0</v>
      </c>
      <c r="K1155">
        <v>0</v>
      </c>
      <c r="L1155" t="s">
        <v>823</v>
      </c>
      <c r="M1155">
        <v>284.7552</v>
      </c>
      <c r="N1155" t="s">
        <v>3459</v>
      </c>
      <c r="O1155" t="s">
        <v>3452</v>
      </c>
    </row>
    <row r="1156" spans="1:15" x14ac:dyDescent="0.2">
      <c r="A1156">
        <v>99</v>
      </c>
      <c r="B1156" t="s">
        <v>2117</v>
      </c>
      <c r="C1156" t="s">
        <v>761</v>
      </c>
      <c r="D1156" t="s">
        <v>708</v>
      </c>
      <c r="E1156" t="s">
        <v>865</v>
      </c>
      <c r="F1156">
        <v>5.1299999999999998E-2</v>
      </c>
      <c r="G1156">
        <v>13.32</v>
      </c>
      <c r="H1156" t="s">
        <v>1052</v>
      </c>
      <c r="I1156" t="s">
        <v>1152</v>
      </c>
      <c r="J1156">
        <v>0.68331600000000003</v>
      </c>
      <c r="K1156">
        <v>194.57778400000001</v>
      </c>
      <c r="L1156" t="s">
        <v>823</v>
      </c>
      <c r="M1156">
        <v>284.7552</v>
      </c>
      <c r="N1156" t="s">
        <v>3451</v>
      </c>
      <c r="O1156" t="s">
        <v>3452</v>
      </c>
    </row>
    <row r="1157" spans="1:15" x14ac:dyDescent="0.2">
      <c r="A1157">
        <v>99</v>
      </c>
      <c r="B1157" t="s">
        <v>2117</v>
      </c>
      <c r="C1157" t="s">
        <v>761</v>
      </c>
      <c r="D1157" t="s">
        <v>637</v>
      </c>
      <c r="E1157" t="s">
        <v>1256</v>
      </c>
      <c r="F1157">
        <v>1.2813000000000001</v>
      </c>
      <c r="G1157">
        <v>35</v>
      </c>
      <c r="H1157" t="s">
        <v>1052</v>
      </c>
      <c r="I1157" t="s">
        <v>1152</v>
      </c>
      <c r="J1157">
        <v>44.845500000000001</v>
      </c>
      <c r="K1157">
        <v>12769.989321999999</v>
      </c>
      <c r="L1157" t="s">
        <v>823</v>
      </c>
      <c r="M1157">
        <v>284.7552</v>
      </c>
      <c r="N1157" t="s">
        <v>3456</v>
      </c>
      <c r="O1157" t="s">
        <v>3452</v>
      </c>
    </row>
    <row r="1158" spans="1:15" x14ac:dyDescent="0.2">
      <c r="A1158">
        <v>99</v>
      </c>
      <c r="B1158" t="s">
        <v>2117</v>
      </c>
      <c r="C1158" t="s">
        <v>761</v>
      </c>
      <c r="D1158" t="s">
        <v>946</v>
      </c>
      <c r="E1158" t="s">
        <v>1695</v>
      </c>
      <c r="F1158">
        <v>1.05</v>
      </c>
      <c r="G1158">
        <v>40</v>
      </c>
      <c r="H1158" t="s">
        <v>1819</v>
      </c>
      <c r="I1158" t="s">
        <v>1152</v>
      </c>
      <c r="J1158">
        <v>42</v>
      </c>
      <c r="K1158">
        <v>11959.7184</v>
      </c>
      <c r="L1158" t="s">
        <v>823</v>
      </c>
      <c r="M1158">
        <v>284.7552</v>
      </c>
      <c r="N1158" t="s">
        <v>3465</v>
      </c>
      <c r="O1158" t="s">
        <v>3452</v>
      </c>
    </row>
    <row r="1159" spans="1:15" x14ac:dyDescent="0.2">
      <c r="A1159">
        <v>99</v>
      </c>
      <c r="B1159" t="s">
        <v>2117</v>
      </c>
      <c r="C1159" t="s">
        <v>761</v>
      </c>
      <c r="D1159" t="s">
        <v>518</v>
      </c>
      <c r="E1159" t="s">
        <v>3457</v>
      </c>
      <c r="F1159">
        <v>13</v>
      </c>
      <c r="G1159">
        <v>16.86</v>
      </c>
      <c r="H1159" t="s">
        <v>1781</v>
      </c>
      <c r="I1159" t="s">
        <v>1152</v>
      </c>
      <c r="J1159">
        <v>219.18</v>
      </c>
      <c r="K1159">
        <v>62412.644736000002</v>
      </c>
      <c r="L1159" t="s">
        <v>823</v>
      </c>
      <c r="M1159">
        <v>284.7552</v>
      </c>
      <c r="N1159" t="s">
        <v>3458</v>
      </c>
      <c r="O1159" t="s">
        <v>3452</v>
      </c>
    </row>
    <row r="1160" spans="1:15" x14ac:dyDescent="0.2">
      <c r="A1160">
        <v>99</v>
      </c>
      <c r="B1160" t="s">
        <v>2117</v>
      </c>
      <c r="C1160" t="s">
        <v>769</v>
      </c>
      <c r="D1160" t="s">
        <v>518</v>
      </c>
      <c r="E1160" t="s">
        <v>3457</v>
      </c>
      <c r="F1160">
        <v>2</v>
      </c>
      <c r="G1160">
        <v>16.86</v>
      </c>
      <c r="H1160" t="s">
        <v>1781</v>
      </c>
      <c r="I1160" t="s">
        <v>1152</v>
      </c>
      <c r="J1160">
        <v>33.72</v>
      </c>
      <c r="K1160">
        <v>10609.984512000001</v>
      </c>
      <c r="L1160" t="s">
        <v>820</v>
      </c>
      <c r="M1160">
        <v>314.64960000000002</v>
      </c>
      <c r="N1160" t="s">
        <v>3473</v>
      </c>
      <c r="O1160" t="s">
        <v>3467</v>
      </c>
    </row>
    <row r="1161" spans="1:15" x14ac:dyDescent="0.2">
      <c r="A1161">
        <v>99</v>
      </c>
      <c r="B1161" t="s">
        <v>2117</v>
      </c>
      <c r="C1161" t="s">
        <v>769</v>
      </c>
      <c r="D1161" t="s">
        <v>946</v>
      </c>
      <c r="E1161" t="s">
        <v>1695</v>
      </c>
      <c r="F1161">
        <v>1.05</v>
      </c>
      <c r="G1161">
        <v>40</v>
      </c>
      <c r="H1161" t="s">
        <v>1819</v>
      </c>
      <c r="I1161" t="s">
        <v>1152</v>
      </c>
      <c r="J1161">
        <v>42</v>
      </c>
      <c r="K1161">
        <v>13215.2832</v>
      </c>
      <c r="L1161" t="s">
        <v>820</v>
      </c>
      <c r="M1161">
        <v>314.64960000000002</v>
      </c>
      <c r="N1161" t="s">
        <v>3472</v>
      </c>
      <c r="O1161" t="s">
        <v>3467</v>
      </c>
    </row>
    <row r="1162" spans="1:15" x14ac:dyDescent="0.2">
      <c r="A1162">
        <v>99</v>
      </c>
      <c r="B1162" t="s">
        <v>2117</v>
      </c>
      <c r="C1162" t="s">
        <v>769</v>
      </c>
      <c r="D1162" t="s">
        <v>637</v>
      </c>
      <c r="E1162" t="s">
        <v>1256</v>
      </c>
      <c r="F1162">
        <v>0.58089999999999997</v>
      </c>
      <c r="G1162">
        <v>35</v>
      </c>
      <c r="H1162" t="s">
        <v>1052</v>
      </c>
      <c r="I1162" t="s">
        <v>1152</v>
      </c>
      <c r="J1162">
        <v>20.331499999999998</v>
      </c>
      <c r="K1162">
        <v>6397.298342</v>
      </c>
      <c r="L1162" t="s">
        <v>820</v>
      </c>
      <c r="M1162">
        <v>314.64960000000002</v>
      </c>
      <c r="N1162" t="s">
        <v>3471</v>
      </c>
      <c r="O1162" t="s">
        <v>3467</v>
      </c>
    </row>
    <row r="1163" spans="1:15" x14ac:dyDescent="0.2">
      <c r="A1163">
        <v>99</v>
      </c>
      <c r="B1163" t="s">
        <v>2117</v>
      </c>
      <c r="C1163" t="s">
        <v>769</v>
      </c>
      <c r="D1163" t="s">
        <v>708</v>
      </c>
      <c r="E1163" t="s">
        <v>865</v>
      </c>
      <c r="F1163">
        <v>2.3400000000000001E-2</v>
      </c>
      <c r="G1163">
        <v>13.32</v>
      </c>
      <c r="H1163" t="s">
        <v>1052</v>
      </c>
      <c r="I1163" t="s">
        <v>1152</v>
      </c>
      <c r="J1163">
        <v>0.31168800000000002</v>
      </c>
      <c r="K1163">
        <v>98.072505000000007</v>
      </c>
      <c r="L1163" t="s">
        <v>820</v>
      </c>
      <c r="M1163">
        <v>314.64960000000002</v>
      </c>
      <c r="N1163" t="s">
        <v>3466</v>
      </c>
      <c r="O1163" t="s">
        <v>3467</v>
      </c>
    </row>
    <row r="1164" spans="1:15" x14ac:dyDescent="0.2">
      <c r="A1164">
        <v>99</v>
      </c>
      <c r="B1164" t="s">
        <v>2117</v>
      </c>
      <c r="C1164" t="s">
        <v>769</v>
      </c>
      <c r="D1164" t="s">
        <v>1006</v>
      </c>
      <c r="E1164" t="s">
        <v>699</v>
      </c>
      <c r="F1164">
        <v>0</v>
      </c>
      <c r="G1164">
        <v>28.988</v>
      </c>
      <c r="H1164" t="s">
        <v>151</v>
      </c>
      <c r="I1164" t="s">
        <v>1152</v>
      </c>
      <c r="J1164">
        <v>0</v>
      </c>
      <c r="K1164">
        <v>0</v>
      </c>
      <c r="L1164" t="s">
        <v>820</v>
      </c>
      <c r="M1164">
        <v>314.64960000000002</v>
      </c>
      <c r="N1164" t="s">
        <v>3474</v>
      </c>
      <c r="O1164" t="s">
        <v>3467</v>
      </c>
    </row>
    <row r="1165" spans="1:15" x14ac:dyDescent="0.2">
      <c r="A1165">
        <v>99</v>
      </c>
      <c r="B1165" t="s">
        <v>2117</v>
      </c>
      <c r="C1165" t="s">
        <v>769</v>
      </c>
      <c r="D1165" t="s">
        <v>842</v>
      </c>
      <c r="E1165" t="s">
        <v>3477</v>
      </c>
      <c r="F1165">
        <v>1</v>
      </c>
      <c r="G1165">
        <v>450</v>
      </c>
      <c r="H1165" t="s">
        <v>1152</v>
      </c>
      <c r="I1165" t="s">
        <v>1152</v>
      </c>
      <c r="J1165">
        <v>450</v>
      </c>
      <c r="K1165">
        <v>141592.32000000001</v>
      </c>
      <c r="L1165" t="s">
        <v>820</v>
      </c>
      <c r="M1165">
        <v>314.64960000000002</v>
      </c>
      <c r="N1165" t="s">
        <v>3478</v>
      </c>
      <c r="O1165" t="s">
        <v>3467</v>
      </c>
    </row>
    <row r="1166" spans="1:15" x14ac:dyDescent="0.2">
      <c r="A1166">
        <v>99</v>
      </c>
      <c r="B1166" t="s">
        <v>2117</v>
      </c>
      <c r="C1166" t="s">
        <v>769</v>
      </c>
      <c r="D1166" t="s">
        <v>801</v>
      </c>
      <c r="E1166" t="s">
        <v>402</v>
      </c>
      <c r="F1166">
        <v>0</v>
      </c>
      <c r="G1166">
        <v>10.3</v>
      </c>
      <c r="H1166" t="s">
        <v>151</v>
      </c>
      <c r="I1166" t="s">
        <v>1152</v>
      </c>
      <c r="J1166">
        <v>0</v>
      </c>
      <c r="K1166">
        <v>0</v>
      </c>
      <c r="L1166" t="s">
        <v>820</v>
      </c>
      <c r="M1166">
        <v>314.64960000000002</v>
      </c>
      <c r="N1166" t="s">
        <v>3475</v>
      </c>
      <c r="O1166" t="s">
        <v>3467</v>
      </c>
    </row>
    <row r="1167" spans="1:15" x14ac:dyDescent="0.2">
      <c r="A1167">
        <v>99</v>
      </c>
      <c r="B1167" t="s">
        <v>2117</v>
      </c>
      <c r="C1167" t="s">
        <v>769</v>
      </c>
      <c r="D1167" t="s">
        <v>498</v>
      </c>
      <c r="E1167" t="s">
        <v>773</v>
      </c>
      <c r="F1167">
        <v>1.2</v>
      </c>
      <c r="G1167">
        <v>0</v>
      </c>
      <c r="H1167" t="s">
        <v>84</v>
      </c>
      <c r="I1167" t="s">
        <v>1152</v>
      </c>
      <c r="J1167">
        <v>0</v>
      </c>
      <c r="K1167">
        <v>0</v>
      </c>
      <c r="L1167" t="s">
        <v>820</v>
      </c>
      <c r="M1167">
        <v>314.64960000000002</v>
      </c>
      <c r="N1167" t="s">
        <v>3479</v>
      </c>
      <c r="O1167" t="s">
        <v>3467</v>
      </c>
    </row>
    <row r="1168" spans="1:15" x14ac:dyDescent="0.2">
      <c r="A1168">
        <v>99</v>
      </c>
      <c r="B1168" t="s">
        <v>2117</v>
      </c>
      <c r="C1168" t="s">
        <v>769</v>
      </c>
      <c r="D1168" t="s">
        <v>569</v>
      </c>
      <c r="E1168" t="s">
        <v>3468</v>
      </c>
      <c r="F1168">
        <v>1.05</v>
      </c>
      <c r="G1168">
        <v>957.99199999999996</v>
      </c>
      <c r="H1168" t="s">
        <v>1152</v>
      </c>
      <c r="I1168" t="s">
        <v>1152</v>
      </c>
      <c r="J1168">
        <v>1005.8916</v>
      </c>
      <c r="K1168">
        <v>316503.38958299998</v>
      </c>
      <c r="L1168" t="s">
        <v>820</v>
      </c>
      <c r="M1168">
        <v>314.64960000000002</v>
      </c>
      <c r="N1168" t="s">
        <v>3469</v>
      </c>
      <c r="O1168" t="s">
        <v>3467</v>
      </c>
    </row>
    <row r="1169" spans="1:15" x14ac:dyDescent="0.2">
      <c r="A1169">
        <v>99</v>
      </c>
      <c r="B1169" t="s">
        <v>2117</v>
      </c>
      <c r="C1169" t="s">
        <v>769</v>
      </c>
      <c r="D1169" t="s">
        <v>824</v>
      </c>
      <c r="E1169" t="s">
        <v>3418</v>
      </c>
      <c r="F1169">
        <v>1.05</v>
      </c>
      <c r="G1169">
        <v>25</v>
      </c>
      <c r="H1169" t="s">
        <v>1152</v>
      </c>
      <c r="I1169" t="s">
        <v>1152</v>
      </c>
      <c r="J1169">
        <v>26.25</v>
      </c>
      <c r="K1169">
        <v>8259.5519999999997</v>
      </c>
      <c r="L1169" t="s">
        <v>820</v>
      </c>
      <c r="M1169">
        <v>314.64960000000002</v>
      </c>
      <c r="N1169" t="s">
        <v>3476</v>
      </c>
      <c r="O1169" t="s">
        <v>3467</v>
      </c>
    </row>
    <row r="1170" spans="1:15" x14ac:dyDescent="0.2">
      <c r="A1170">
        <v>99</v>
      </c>
      <c r="B1170" t="s">
        <v>2117</v>
      </c>
      <c r="C1170" t="s">
        <v>769</v>
      </c>
      <c r="D1170" t="s">
        <v>877</v>
      </c>
      <c r="E1170" t="s">
        <v>2332</v>
      </c>
      <c r="F1170">
        <v>6</v>
      </c>
      <c r="G1170">
        <v>0.55000000000000004</v>
      </c>
      <c r="H1170" t="s">
        <v>1781</v>
      </c>
      <c r="I1170" t="s">
        <v>1152</v>
      </c>
      <c r="J1170">
        <v>3.3</v>
      </c>
      <c r="K1170">
        <v>1038.3436799999999</v>
      </c>
      <c r="L1170" t="s">
        <v>820</v>
      </c>
      <c r="M1170">
        <v>314.64960000000002</v>
      </c>
      <c r="N1170" t="s">
        <v>3470</v>
      </c>
      <c r="O1170" t="s">
        <v>3467</v>
      </c>
    </row>
    <row r="1171" spans="1:15" x14ac:dyDescent="0.2">
      <c r="A1171">
        <v>99</v>
      </c>
      <c r="B1171" t="s">
        <v>2117</v>
      </c>
      <c r="C1171" t="s">
        <v>4980</v>
      </c>
      <c r="D1171" t="s">
        <v>824</v>
      </c>
      <c r="E1171" t="s">
        <v>3418</v>
      </c>
      <c r="F1171">
        <v>5.5E-2</v>
      </c>
      <c r="G1171">
        <v>25</v>
      </c>
      <c r="H1171" t="s">
        <v>1152</v>
      </c>
      <c r="I1171" t="s">
        <v>153</v>
      </c>
      <c r="J1171">
        <v>1.375</v>
      </c>
      <c r="K1171">
        <v>7.3425000000000002</v>
      </c>
      <c r="L1171" t="s">
        <v>745</v>
      </c>
      <c r="M1171">
        <v>5.34</v>
      </c>
      <c r="N1171" t="s">
        <v>4981</v>
      </c>
      <c r="O1171" t="s">
        <v>4982</v>
      </c>
    </row>
    <row r="1172" spans="1:15" x14ac:dyDescent="0.2">
      <c r="A1172">
        <v>99</v>
      </c>
      <c r="B1172" t="s">
        <v>2117</v>
      </c>
      <c r="C1172" t="s">
        <v>4980</v>
      </c>
      <c r="D1172" t="s">
        <v>498</v>
      </c>
      <c r="E1172" t="s">
        <v>773</v>
      </c>
      <c r="F1172">
        <v>1.2</v>
      </c>
      <c r="G1172">
        <v>0</v>
      </c>
      <c r="H1172" t="s">
        <v>84</v>
      </c>
      <c r="I1172" t="s">
        <v>153</v>
      </c>
      <c r="J1172">
        <v>0</v>
      </c>
      <c r="K1172">
        <v>0</v>
      </c>
      <c r="L1172" t="s">
        <v>745</v>
      </c>
      <c r="M1172">
        <v>5.34</v>
      </c>
      <c r="N1172" t="s">
        <v>4983</v>
      </c>
      <c r="O1172" t="s">
        <v>4982</v>
      </c>
    </row>
    <row r="1173" spans="1:15" x14ac:dyDescent="0.2">
      <c r="A1173">
        <v>99</v>
      </c>
      <c r="B1173" t="s">
        <v>2117</v>
      </c>
      <c r="C1173" t="s">
        <v>4980</v>
      </c>
      <c r="D1173" t="s">
        <v>801</v>
      </c>
      <c r="E1173" t="s">
        <v>402</v>
      </c>
      <c r="F1173">
        <v>0</v>
      </c>
      <c r="G1173">
        <v>10.3</v>
      </c>
      <c r="H1173" t="s">
        <v>151</v>
      </c>
      <c r="I1173" t="s">
        <v>153</v>
      </c>
      <c r="J1173">
        <v>0</v>
      </c>
      <c r="K1173">
        <v>0</v>
      </c>
      <c r="L1173" t="s">
        <v>745</v>
      </c>
      <c r="M1173">
        <v>5.34</v>
      </c>
      <c r="N1173" t="s">
        <v>4984</v>
      </c>
      <c r="O1173" t="s">
        <v>4982</v>
      </c>
    </row>
    <row r="1174" spans="1:15" x14ac:dyDescent="0.2">
      <c r="A1174">
        <v>99</v>
      </c>
      <c r="B1174" t="s">
        <v>2117</v>
      </c>
      <c r="C1174" t="s">
        <v>4980</v>
      </c>
      <c r="D1174" t="s">
        <v>1006</v>
      </c>
      <c r="E1174" t="s">
        <v>699</v>
      </c>
      <c r="F1174">
        <v>0</v>
      </c>
      <c r="G1174">
        <v>28.988</v>
      </c>
      <c r="H1174" t="s">
        <v>151</v>
      </c>
      <c r="I1174" t="s">
        <v>153</v>
      </c>
      <c r="J1174">
        <v>0</v>
      </c>
      <c r="K1174">
        <v>0</v>
      </c>
      <c r="L1174" t="s">
        <v>745</v>
      </c>
      <c r="M1174">
        <v>5.34</v>
      </c>
      <c r="N1174" t="s">
        <v>4985</v>
      </c>
      <c r="O1174" t="s">
        <v>4982</v>
      </c>
    </row>
    <row r="1175" spans="1:15" x14ac:dyDescent="0.2">
      <c r="A1175">
        <v>99</v>
      </c>
      <c r="B1175" t="s">
        <v>2117</v>
      </c>
      <c r="C1175" t="s">
        <v>4980</v>
      </c>
      <c r="D1175" t="s">
        <v>853</v>
      </c>
      <c r="E1175" t="s">
        <v>980</v>
      </c>
      <c r="F1175">
        <v>0.43</v>
      </c>
      <c r="G1175">
        <v>0.9</v>
      </c>
      <c r="H1175" t="s">
        <v>1052</v>
      </c>
      <c r="I1175" t="s">
        <v>153</v>
      </c>
      <c r="J1175">
        <v>0.38700000000000001</v>
      </c>
      <c r="K1175">
        <v>2.0665800000000001</v>
      </c>
      <c r="L1175" t="s">
        <v>745</v>
      </c>
      <c r="M1175">
        <v>5.34</v>
      </c>
      <c r="N1175" t="s">
        <v>4986</v>
      </c>
      <c r="O1175" t="s">
        <v>4982</v>
      </c>
    </row>
    <row r="1176" spans="1:15" x14ac:dyDescent="0.2">
      <c r="A1176">
        <v>99</v>
      </c>
      <c r="B1176" t="s">
        <v>2117</v>
      </c>
      <c r="C1176" t="s">
        <v>4980</v>
      </c>
      <c r="D1176" t="s">
        <v>4987</v>
      </c>
      <c r="E1176" t="s">
        <v>4988</v>
      </c>
      <c r="F1176">
        <v>5.5E-2</v>
      </c>
      <c r="G1176">
        <v>1420</v>
      </c>
      <c r="H1176" t="s">
        <v>1152</v>
      </c>
      <c r="I1176" t="s">
        <v>153</v>
      </c>
      <c r="J1176">
        <v>78.099999999999994</v>
      </c>
      <c r="K1176">
        <v>417.05399999999997</v>
      </c>
      <c r="L1176" t="s">
        <v>745</v>
      </c>
      <c r="M1176">
        <v>5.34</v>
      </c>
      <c r="N1176" t="s">
        <v>4989</v>
      </c>
      <c r="O1176" t="s">
        <v>4982</v>
      </c>
    </row>
    <row r="1177" spans="1:15" x14ac:dyDescent="0.2">
      <c r="A1177">
        <v>99</v>
      </c>
      <c r="B1177" t="s">
        <v>2117</v>
      </c>
      <c r="C1177" t="s">
        <v>4980</v>
      </c>
      <c r="D1177" t="s">
        <v>946</v>
      </c>
      <c r="E1177" t="s">
        <v>1695</v>
      </c>
      <c r="F1177">
        <v>5.5E-2</v>
      </c>
      <c r="G1177">
        <v>40</v>
      </c>
      <c r="H1177" t="s">
        <v>1819</v>
      </c>
      <c r="I1177" t="s">
        <v>153</v>
      </c>
      <c r="J1177">
        <v>2.2000000000000002</v>
      </c>
      <c r="K1177">
        <v>11.747999999999999</v>
      </c>
      <c r="L1177" t="s">
        <v>745</v>
      </c>
      <c r="M1177">
        <v>5.34</v>
      </c>
      <c r="N1177" t="s">
        <v>4990</v>
      </c>
      <c r="O1177" t="s">
        <v>4982</v>
      </c>
    </row>
    <row r="1178" spans="1:15" x14ac:dyDescent="0.2">
      <c r="A1178">
        <v>99</v>
      </c>
      <c r="B1178" t="s">
        <v>2117</v>
      </c>
      <c r="C1178" t="s">
        <v>4980</v>
      </c>
      <c r="D1178" t="s">
        <v>884</v>
      </c>
      <c r="E1178" t="s">
        <v>3498</v>
      </c>
      <c r="F1178">
        <v>1</v>
      </c>
      <c r="G1178">
        <v>30</v>
      </c>
      <c r="H1178" t="s">
        <v>153</v>
      </c>
      <c r="I1178" t="s">
        <v>153</v>
      </c>
      <c r="J1178">
        <v>30</v>
      </c>
      <c r="K1178">
        <v>160.19999999999999</v>
      </c>
      <c r="L1178" t="s">
        <v>745</v>
      </c>
      <c r="M1178">
        <v>5.34</v>
      </c>
      <c r="N1178" t="s">
        <v>4991</v>
      </c>
      <c r="O1178" t="s">
        <v>4982</v>
      </c>
    </row>
    <row r="1179" spans="1:15" x14ac:dyDescent="0.2">
      <c r="A1179">
        <v>99</v>
      </c>
      <c r="B1179" t="s">
        <v>2117</v>
      </c>
      <c r="C1179" t="s">
        <v>645</v>
      </c>
      <c r="D1179" t="s">
        <v>890</v>
      </c>
      <c r="E1179" t="s">
        <v>3487</v>
      </c>
      <c r="F1179">
        <v>1</v>
      </c>
      <c r="G1179">
        <v>30</v>
      </c>
      <c r="H1179" t="s">
        <v>153</v>
      </c>
      <c r="I1179" t="s">
        <v>153</v>
      </c>
      <c r="J1179">
        <v>30</v>
      </c>
      <c r="K1179">
        <v>40860</v>
      </c>
      <c r="L1179" t="s">
        <v>808</v>
      </c>
      <c r="M1179">
        <v>1362</v>
      </c>
      <c r="N1179" t="s">
        <v>3488</v>
      </c>
      <c r="O1179" t="s">
        <v>3481</v>
      </c>
    </row>
    <row r="1180" spans="1:15" x14ac:dyDescent="0.2">
      <c r="A1180">
        <v>99</v>
      </c>
      <c r="B1180" t="s">
        <v>2117</v>
      </c>
      <c r="C1180" t="s">
        <v>645</v>
      </c>
      <c r="D1180" t="s">
        <v>946</v>
      </c>
      <c r="E1180" t="s">
        <v>1695</v>
      </c>
      <c r="F1180">
        <v>0.22</v>
      </c>
      <c r="G1180">
        <v>40</v>
      </c>
      <c r="H1180" t="s">
        <v>1819</v>
      </c>
      <c r="I1180" t="s">
        <v>153</v>
      </c>
      <c r="J1180">
        <v>8.8000000000000007</v>
      </c>
      <c r="K1180">
        <v>11985.6</v>
      </c>
      <c r="L1180" t="s">
        <v>808</v>
      </c>
      <c r="M1180">
        <v>1362</v>
      </c>
      <c r="N1180" t="s">
        <v>3490</v>
      </c>
      <c r="O1180" t="s">
        <v>3481</v>
      </c>
    </row>
    <row r="1181" spans="1:15" x14ac:dyDescent="0.2">
      <c r="A1181">
        <v>99</v>
      </c>
      <c r="B1181" t="s">
        <v>2117</v>
      </c>
      <c r="C1181" t="s">
        <v>645</v>
      </c>
      <c r="D1181" t="s">
        <v>853</v>
      </c>
      <c r="E1181" t="s">
        <v>980</v>
      </c>
      <c r="F1181">
        <v>1.72</v>
      </c>
      <c r="G1181">
        <v>0.9</v>
      </c>
      <c r="H1181" t="s">
        <v>1052</v>
      </c>
      <c r="I1181" t="s">
        <v>153</v>
      </c>
      <c r="J1181">
        <v>1.548</v>
      </c>
      <c r="K1181">
        <v>2108.3760000000002</v>
      </c>
      <c r="L1181" t="s">
        <v>808</v>
      </c>
      <c r="M1181">
        <v>1362</v>
      </c>
      <c r="N1181" t="s">
        <v>3480</v>
      </c>
      <c r="O1181" t="s">
        <v>3481</v>
      </c>
    </row>
    <row r="1182" spans="1:15" x14ac:dyDescent="0.2">
      <c r="A1182">
        <v>99</v>
      </c>
      <c r="B1182" t="s">
        <v>2117</v>
      </c>
      <c r="C1182" t="s">
        <v>645</v>
      </c>
      <c r="D1182" t="s">
        <v>357</v>
      </c>
      <c r="E1182" t="s">
        <v>3482</v>
      </c>
      <c r="F1182">
        <v>0.22</v>
      </c>
      <c r="G1182">
        <v>822.22220000000004</v>
      </c>
      <c r="H1182" t="s">
        <v>1152</v>
      </c>
      <c r="I1182" t="s">
        <v>153</v>
      </c>
      <c r="J1182">
        <v>180.88888399999999</v>
      </c>
      <c r="K1182">
        <v>246370.66000800001</v>
      </c>
      <c r="L1182" t="s">
        <v>808</v>
      </c>
      <c r="M1182">
        <v>1362</v>
      </c>
      <c r="N1182" t="s">
        <v>3483</v>
      </c>
      <c r="O1182" t="s">
        <v>3481</v>
      </c>
    </row>
    <row r="1183" spans="1:15" x14ac:dyDescent="0.2">
      <c r="A1183">
        <v>99</v>
      </c>
      <c r="B1183" t="s">
        <v>2117</v>
      </c>
      <c r="C1183" t="s">
        <v>645</v>
      </c>
      <c r="D1183" t="s">
        <v>1006</v>
      </c>
      <c r="E1183" t="s">
        <v>699</v>
      </c>
      <c r="F1183">
        <v>0</v>
      </c>
      <c r="G1183">
        <v>28.988</v>
      </c>
      <c r="H1183" t="s">
        <v>151</v>
      </c>
      <c r="I1183" t="s">
        <v>153</v>
      </c>
      <c r="J1183">
        <v>0</v>
      </c>
      <c r="K1183">
        <v>0</v>
      </c>
      <c r="L1183" t="s">
        <v>808</v>
      </c>
      <c r="M1183">
        <v>1362</v>
      </c>
      <c r="N1183" t="s">
        <v>3484</v>
      </c>
      <c r="O1183" t="s">
        <v>3481</v>
      </c>
    </row>
    <row r="1184" spans="1:15" x14ac:dyDescent="0.2">
      <c r="A1184">
        <v>99</v>
      </c>
      <c r="B1184" t="s">
        <v>2117</v>
      </c>
      <c r="C1184" t="s">
        <v>645</v>
      </c>
      <c r="D1184" t="s">
        <v>801</v>
      </c>
      <c r="E1184" t="s">
        <v>402</v>
      </c>
      <c r="F1184">
        <v>0</v>
      </c>
      <c r="G1184">
        <v>10.3</v>
      </c>
      <c r="H1184" t="s">
        <v>151</v>
      </c>
      <c r="I1184" t="s">
        <v>153</v>
      </c>
      <c r="J1184">
        <v>0</v>
      </c>
      <c r="K1184">
        <v>0</v>
      </c>
      <c r="L1184" t="s">
        <v>808</v>
      </c>
      <c r="M1184">
        <v>1362</v>
      </c>
      <c r="N1184" t="s">
        <v>3485</v>
      </c>
      <c r="O1184" t="s">
        <v>3481</v>
      </c>
    </row>
    <row r="1185" spans="1:15" x14ac:dyDescent="0.2">
      <c r="A1185">
        <v>99</v>
      </c>
      <c r="B1185" t="s">
        <v>2117</v>
      </c>
      <c r="C1185" t="s">
        <v>645</v>
      </c>
      <c r="D1185" t="s">
        <v>498</v>
      </c>
      <c r="E1185" t="s">
        <v>773</v>
      </c>
      <c r="F1185">
        <v>1.2</v>
      </c>
      <c r="G1185">
        <v>0</v>
      </c>
      <c r="H1185" t="s">
        <v>84</v>
      </c>
      <c r="I1185" t="s">
        <v>153</v>
      </c>
      <c r="J1185">
        <v>0</v>
      </c>
      <c r="K1185">
        <v>0</v>
      </c>
      <c r="L1185" t="s">
        <v>808</v>
      </c>
      <c r="M1185">
        <v>1362</v>
      </c>
      <c r="N1185" t="s">
        <v>3489</v>
      </c>
      <c r="O1185" t="s">
        <v>3481</v>
      </c>
    </row>
    <row r="1186" spans="1:15" x14ac:dyDescent="0.2">
      <c r="A1186">
        <v>99</v>
      </c>
      <c r="B1186" t="s">
        <v>2117</v>
      </c>
      <c r="C1186" t="s">
        <v>645</v>
      </c>
      <c r="D1186" t="s">
        <v>824</v>
      </c>
      <c r="E1186" t="s">
        <v>3418</v>
      </c>
      <c r="F1186">
        <v>0.22</v>
      </c>
      <c r="G1186">
        <v>25</v>
      </c>
      <c r="H1186" t="s">
        <v>1152</v>
      </c>
      <c r="I1186" t="s">
        <v>153</v>
      </c>
      <c r="J1186">
        <v>5.5</v>
      </c>
      <c r="K1186">
        <v>7491</v>
      </c>
      <c r="L1186" t="s">
        <v>808</v>
      </c>
      <c r="M1186">
        <v>1362</v>
      </c>
      <c r="N1186" t="s">
        <v>3486</v>
      </c>
      <c r="O1186" t="s">
        <v>3481</v>
      </c>
    </row>
    <row r="1187" spans="1:15" x14ac:dyDescent="0.2">
      <c r="A1187">
        <v>99</v>
      </c>
      <c r="B1187" t="s">
        <v>2117</v>
      </c>
      <c r="C1187" t="s">
        <v>649</v>
      </c>
      <c r="D1187" t="s">
        <v>824</v>
      </c>
      <c r="E1187" t="s">
        <v>3418</v>
      </c>
      <c r="F1187">
        <v>5.5E-2</v>
      </c>
      <c r="G1187">
        <v>25</v>
      </c>
      <c r="H1187" t="s">
        <v>1152</v>
      </c>
      <c r="I1187" t="s">
        <v>153</v>
      </c>
      <c r="J1187">
        <v>1.375</v>
      </c>
      <c r="K1187">
        <v>1034.55</v>
      </c>
      <c r="L1187" t="s">
        <v>817</v>
      </c>
      <c r="M1187">
        <v>752.4</v>
      </c>
      <c r="N1187" t="s">
        <v>3497</v>
      </c>
      <c r="O1187" t="s">
        <v>3492</v>
      </c>
    </row>
    <row r="1188" spans="1:15" x14ac:dyDescent="0.2">
      <c r="A1188">
        <v>99</v>
      </c>
      <c r="B1188" t="s">
        <v>2117</v>
      </c>
      <c r="C1188" t="s">
        <v>649</v>
      </c>
      <c r="D1188" t="s">
        <v>498</v>
      </c>
      <c r="E1188" t="s">
        <v>773</v>
      </c>
      <c r="F1188">
        <v>1.2</v>
      </c>
      <c r="G1188">
        <v>0</v>
      </c>
      <c r="H1188" t="s">
        <v>84</v>
      </c>
      <c r="I1188" t="s">
        <v>153</v>
      </c>
      <c r="J1188">
        <v>0</v>
      </c>
      <c r="K1188">
        <v>0</v>
      </c>
      <c r="L1188" t="s">
        <v>817</v>
      </c>
      <c r="M1188">
        <v>752.4</v>
      </c>
      <c r="N1188" t="s">
        <v>3500</v>
      </c>
      <c r="O1188" t="s">
        <v>3492</v>
      </c>
    </row>
    <row r="1189" spans="1:15" x14ac:dyDescent="0.2">
      <c r="A1189">
        <v>99</v>
      </c>
      <c r="B1189" t="s">
        <v>2117</v>
      </c>
      <c r="C1189" t="s">
        <v>649</v>
      </c>
      <c r="D1189" t="s">
        <v>801</v>
      </c>
      <c r="E1189" t="s">
        <v>402</v>
      </c>
      <c r="F1189">
        <v>0</v>
      </c>
      <c r="G1189">
        <v>10.3</v>
      </c>
      <c r="H1189" t="s">
        <v>151</v>
      </c>
      <c r="I1189" t="s">
        <v>153</v>
      </c>
      <c r="J1189">
        <v>0</v>
      </c>
      <c r="K1189">
        <v>0</v>
      </c>
      <c r="L1189" t="s">
        <v>817</v>
      </c>
      <c r="M1189">
        <v>752.4</v>
      </c>
      <c r="N1189" t="s">
        <v>3496</v>
      </c>
      <c r="O1189" t="s">
        <v>3492</v>
      </c>
    </row>
    <row r="1190" spans="1:15" x14ac:dyDescent="0.2">
      <c r="A1190">
        <v>99</v>
      </c>
      <c r="B1190" t="s">
        <v>2117</v>
      </c>
      <c r="C1190" t="s">
        <v>649</v>
      </c>
      <c r="D1190" t="s">
        <v>1006</v>
      </c>
      <c r="E1190" t="s">
        <v>699</v>
      </c>
      <c r="F1190">
        <v>0</v>
      </c>
      <c r="G1190">
        <v>28.988</v>
      </c>
      <c r="H1190" t="s">
        <v>151</v>
      </c>
      <c r="I1190" t="s">
        <v>153</v>
      </c>
      <c r="J1190">
        <v>0</v>
      </c>
      <c r="K1190">
        <v>0</v>
      </c>
      <c r="L1190" t="s">
        <v>817</v>
      </c>
      <c r="M1190">
        <v>752.4</v>
      </c>
      <c r="N1190" t="s">
        <v>3495</v>
      </c>
      <c r="O1190" t="s">
        <v>3492</v>
      </c>
    </row>
    <row r="1191" spans="1:15" x14ac:dyDescent="0.2">
      <c r="A1191">
        <v>99</v>
      </c>
      <c r="B1191" t="s">
        <v>2117</v>
      </c>
      <c r="C1191" t="s">
        <v>649</v>
      </c>
      <c r="D1191" t="s">
        <v>853</v>
      </c>
      <c r="E1191" t="s">
        <v>980</v>
      </c>
      <c r="F1191">
        <v>0.43</v>
      </c>
      <c r="G1191">
        <v>0.9</v>
      </c>
      <c r="H1191" t="s">
        <v>1052</v>
      </c>
      <c r="I1191" t="s">
        <v>153</v>
      </c>
      <c r="J1191">
        <v>0.38700000000000001</v>
      </c>
      <c r="K1191">
        <v>291.17880000000002</v>
      </c>
      <c r="L1191" t="s">
        <v>817</v>
      </c>
      <c r="M1191">
        <v>752.4</v>
      </c>
      <c r="N1191" t="s">
        <v>3491</v>
      </c>
      <c r="O1191" t="s">
        <v>3492</v>
      </c>
    </row>
    <row r="1192" spans="1:15" x14ac:dyDescent="0.2">
      <c r="A1192">
        <v>99</v>
      </c>
      <c r="B1192" t="s">
        <v>2117</v>
      </c>
      <c r="C1192" t="s">
        <v>649</v>
      </c>
      <c r="D1192" t="s">
        <v>946</v>
      </c>
      <c r="E1192" t="s">
        <v>1695</v>
      </c>
      <c r="F1192">
        <v>5.5E-2</v>
      </c>
      <c r="G1192">
        <v>40</v>
      </c>
      <c r="H1192" t="s">
        <v>1819</v>
      </c>
      <c r="I1192" t="s">
        <v>153</v>
      </c>
      <c r="J1192">
        <v>2.2000000000000002</v>
      </c>
      <c r="K1192">
        <v>1655.28</v>
      </c>
      <c r="L1192" t="s">
        <v>817</v>
      </c>
      <c r="M1192">
        <v>752.4</v>
      </c>
      <c r="N1192" t="s">
        <v>3501</v>
      </c>
      <c r="O1192" t="s">
        <v>3492</v>
      </c>
    </row>
    <row r="1193" spans="1:15" x14ac:dyDescent="0.2">
      <c r="A1193">
        <v>99</v>
      </c>
      <c r="B1193" t="s">
        <v>2117</v>
      </c>
      <c r="C1193" t="s">
        <v>649</v>
      </c>
      <c r="D1193" t="s">
        <v>884</v>
      </c>
      <c r="E1193" t="s">
        <v>3498</v>
      </c>
      <c r="F1193">
        <v>1</v>
      </c>
      <c r="G1193">
        <v>30</v>
      </c>
      <c r="H1193" t="s">
        <v>153</v>
      </c>
      <c r="I1193" t="s">
        <v>153</v>
      </c>
      <c r="J1193">
        <v>30</v>
      </c>
      <c r="K1193">
        <v>22572</v>
      </c>
      <c r="L1193" t="s">
        <v>817</v>
      </c>
      <c r="M1193">
        <v>752.4</v>
      </c>
      <c r="N1193" t="s">
        <v>3499</v>
      </c>
      <c r="O1193" t="s">
        <v>3492</v>
      </c>
    </row>
    <row r="1194" spans="1:15" x14ac:dyDescent="0.2">
      <c r="A1194">
        <v>99</v>
      </c>
      <c r="B1194" t="s">
        <v>2117</v>
      </c>
      <c r="C1194" t="s">
        <v>649</v>
      </c>
      <c r="D1194" t="s">
        <v>215</v>
      </c>
      <c r="E1194" t="s">
        <v>3493</v>
      </c>
      <c r="F1194">
        <v>5.5E-2</v>
      </c>
      <c r="G1194">
        <v>935</v>
      </c>
      <c r="H1194" t="s">
        <v>1152</v>
      </c>
      <c r="I1194" t="s">
        <v>153</v>
      </c>
      <c r="J1194">
        <v>51.424999999999997</v>
      </c>
      <c r="K1194">
        <v>38692.17</v>
      </c>
      <c r="L1194" t="s">
        <v>817</v>
      </c>
      <c r="M1194">
        <v>752.4</v>
      </c>
      <c r="N1194" t="s">
        <v>3494</v>
      </c>
      <c r="O1194" t="s">
        <v>3492</v>
      </c>
    </row>
    <row r="1195" spans="1:15" x14ac:dyDescent="0.2">
      <c r="A1195">
        <v>99</v>
      </c>
      <c r="B1195" t="s">
        <v>2117</v>
      </c>
      <c r="C1195" t="s">
        <v>651</v>
      </c>
      <c r="D1195" t="s">
        <v>946</v>
      </c>
      <c r="E1195" t="s">
        <v>1695</v>
      </c>
      <c r="F1195">
        <v>0.22</v>
      </c>
      <c r="G1195">
        <v>40</v>
      </c>
      <c r="H1195" t="s">
        <v>1819</v>
      </c>
      <c r="I1195" t="s">
        <v>153</v>
      </c>
      <c r="J1195">
        <v>8.8000000000000007</v>
      </c>
      <c r="K1195">
        <v>23755.776000000002</v>
      </c>
      <c r="L1195" t="s">
        <v>812</v>
      </c>
      <c r="M1195">
        <v>2699.52</v>
      </c>
      <c r="N1195" t="s">
        <v>3511</v>
      </c>
      <c r="O1195" t="s">
        <v>3503</v>
      </c>
    </row>
    <row r="1196" spans="1:15" x14ac:dyDescent="0.2">
      <c r="A1196">
        <v>99</v>
      </c>
      <c r="B1196" t="s">
        <v>2117</v>
      </c>
      <c r="C1196" t="s">
        <v>651</v>
      </c>
      <c r="D1196" t="s">
        <v>853</v>
      </c>
      <c r="E1196" t="s">
        <v>980</v>
      </c>
      <c r="F1196">
        <v>1.72</v>
      </c>
      <c r="G1196">
        <v>0.9</v>
      </c>
      <c r="H1196" t="s">
        <v>1052</v>
      </c>
      <c r="I1196" t="s">
        <v>153</v>
      </c>
      <c r="J1196">
        <v>1.548</v>
      </c>
      <c r="K1196">
        <v>4178.8569600000001</v>
      </c>
      <c r="L1196" t="s">
        <v>812</v>
      </c>
      <c r="M1196">
        <v>2699.52</v>
      </c>
      <c r="N1196" t="s">
        <v>3502</v>
      </c>
      <c r="O1196" t="s">
        <v>3503</v>
      </c>
    </row>
    <row r="1197" spans="1:15" x14ac:dyDescent="0.2">
      <c r="A1197">
        <v>99</v>
      </c>
      <c r="B1197" t="s">
        <v>2117</v>
      </c>
      <c r="C1197" t="s">
        <v>651</v>
      </c>
      <c r="D1197" t="s">
        <v>357</v>
      </c>
      <c r="E1197" t="s">
        <v>3482</v>
      </c>
      <c r="F1197">
        <v>0.22</v>
      </c>
      <c r="G1197">
        <v>822.22220000000004</v>
      </c>
      <c r="H1197" t="s">
        <v>1152</v>
      </c>
      <c r="I1197" t="s">
        <v>153</v>
      </c>
      <c r="J1197">
        <v>180.88888399999999</v>
      </c>
      <c r="K1197">
        <v>488313.16013600002</v>
      </c>
      <c r="L1197" t="s">
        <v>812</v>
      </c>
      <c r="M1197">
        <v>2699.52</v>
      </c>
      <c r="N1197" t="s">
        <v>3504</v>
      </c>
      <c r="O1197" t="s">
        <v>3503</v>
      </c>
    </row>
    <row r="1198" spans="1:15" x14ac:dyDescent="0.2">
      <c r="A1198">
        <v>99</v>
      </c>
      <c r="B1198" t="s">
        <v>2117</v>
      </c>
      <c r="C1198" t="s">
        <v>651</v>
      </c>
      <c r="D1198" t="s">
        <v>1006</v>
      </c>
      <c r="E1198" t="s">
        <v>699</v>
      </c>
      <c r="F1198">
        <v>0</v>
      </c>
      <c r="G1198">
        <v>28.988</v>
      </c>
      <c r="H1198" t="s">
        <v>151</v>
      </c>
      <c r="I1198" t="s">
        <v>153</v>
      </c>
      <c r="J1198">
        <v>0</v>
      </c>
      <c r="K1198">
        <v>0</v>
      </c>
      <c r="L1198" t="s">
        <v>812</v>
      </c>
      <c r="M1198">
        <v>2699.52</v>
      </c>
      <c r="N1198" t="s">
        <v>3505</v>
      </c>
      <c r="O1198" t="s">
        <v>3503</v>
      </c>
    </row>
    <row r="1199" spans="1:15" x14ac:dyDescent="0.2">
      <c r="A1199">
        <v>99</v>
      </c>
      <c r="B1199" t="s">
        <v>2117</v>
      </c>
      <c r="C1199" t="s">
        <v>651</v>
      </c>
      <c r="D1199" t="s">
        <v>991</v>
      </c>
      <c r="E1199" t="s">
        <v>3508</v>
      </c>
      <c r="F1199">
        <v>1</v>
      </c>
      <c r="G1199">
        <v>30</v>
      </c>
      <c r="H1199" t="s">
        <v>153</v>
      </c>
      <c r="I1199" t="s">
        <v>153</v>
      </c>
      <c r="J1199">
        <v>30</v>
      </c>
      <c r="K1199">
        <v>80985.600000000006</v>
      </c>
      <c r="L1199" t="s">
        <v>812</v>
      </c>
      <c r="M1199">
        <v>2699.52</v>
      </c>
      <c r="N1199" t="s">
        <v>3509</v>
      </c>
      <c r="O1199" t="s">
        <v>3503</v>
      </c>
    </row>
    <row r="1200" spans="1:15" x14ac:dyDescent="0.2">
      <c r="A1200">
        <v>99</v>
      </c>
      <c r="B1200" t="s">
        <v>2117</v>
      </c>
      <c r="C1200" t="s">
        <v>651</v>
      </c>
      <c r="D1200" t="s">
        <v>801</v>
      </c>
      <c r="E1200" t="s">
        <v>402</v>
      </c>
      <c r="F1200">
        <v>0</v>
      </c>
      <c r="G1200">
        <v>10.3</v>
      </c>
      <c r="H1200" t="s">
        <v>151</v>
      </c>
      <c r="I1200" t="s">
        <v>153</v>
      </c>
      <c r="J1200">
        <v>0</v>
      </c>
      <c r="K1200">
        <v>0</v>
      </c>
      <c r="L1200" t="s">
        <v>812</v>
      </c>
      <c r="M1200">
        <v>2699.52</v>
      </c>
      <c r="N1200" t="s">
        <v>3506</v>
      </c>
      <c r="O1200" t="s">
        <v>3503</v>
      </c>
    </row>
    <row r="1201" spans="1:15" x14ac:dyDescent="0.2">
      <c r="A1201">
        <v>99</v>
      </c>
      <c r="B1201" t="s">
        <v>2117</v>
      </c>
      <c r="C1201" t="s">
        <v>651</v>
      </c>
      <c r="D1201" t="s">
        <v>498</v>
      </c>
      <c r="E1201" t="s">
        <v>773</v>
      </c>
      <c r="F1201">
        <v>1.2</v>
      </c>
      <c r="G1201">
        <v>0</v>
      </c>
      <c r="H1201" t="s">
        <v>84</v>
      </c>
      <c r="I1201" t="s">
        <v>153</v>
      </c>
      <c r="J1201">
        <v>0</v>
      </c>
      <c r="K1201">
        <v>0</v>
      </c>
      <c r="L1201" t="s">
        <v>812</v>
      </c>
      <c r="M1201">
        <v>2699.52</v>
      </c>
      <c r="N1201" t="s">
        <v>3510</v>
      </c>
      <c r="O1201" t="s">
        <v>3503</v>
      </c>
    </row>
    <row r="1202" spans="1:15" x14ac:dyDescent="0.2">
      <c r="A1202">
        <v>99</v>
      </c>
      <c r="B1202" t="s">
        <v>2117</v>
      </c>
      <c r="C1202" t="s">
        <v>651</v>
      </c>
      <c r="D1202" t="s">
        <v>824</v>
      </c>
      <c r="E1202" t="s">
        <v>3418</v>
      </c>
      <c r="F1202">
        <v>0.22</v>
      </c>
      <c r="G1202">
        <v>25</v>
      </c>
      <c r="H1202" t="s">
        <v>1152</v>
      </c>
      <c r="I1202" t="s">
        <v>153</v>
      </c>
      <c r="J1202">
        <v>5.5</v>
      </c>
      <c r="K1202">
        <v>14847.36</v>
      </c>
      <c r="L1202" t="s">
        <v>812</v>
      </c>
      <c r="M1202">
        <v>2699.52</v>
      </c>
      <c r="N1202" t="s">
        <v>3507</v>
      </c>
      <c r="O1202" t="s">
        <v>3503</v>
      </c>
    </row>
    <row r="1203" spans="1:15" x14ac:dyDescent="0.2">
      <c r="A1203">
        <v>99</v>
      </c>
      <c r="B1203" t="s">
        <v>2117</v>
      </c>
      <c r="C1203" t="s">
        <v>1080</v>
      </c>
      <c r="D1203" t="s">
        <v>941</v>
      </c>
      <c r="E1203" t="s">
        <v>1485</v>
      </c>
      <c r="F1203">
        <v>1.1599999999999999</v>
      </c>
      <c r="G1203">
        <v>8.4017999999999997</v>
      </c>
      <c r="H1203" t="s">
        <v>1819</v>
      </c>
      <c r="I1203" t="s">
        <v>1152</v>
      </c>
      <c r="J1203">
        <v>9.7460880000000003</v>
      </c>
      <c r="K1203">
        <v>11736.044248</v>
      </c>
      <c r="L1203" t="s">
        <v>1309</v>
      </c>
      <c r="M1203">
        <v>1204.18</v>
      </c>
      <c r="N1203" t="s">
        <v>3517</v>
      </c>
      <c r="O1203" t="s">
        <v>3513</v>
      </c>
    </row>
    <row r="1204" spans="1:15" x14ac:dyDescent="0.2">
      <c r="A1204">
        <v>99</v>
      </c>
      <c r="B1204" t="s">
        <v>2117</v>
      </c>
      <c r="C1204" t="s">
        <v>1080</v>
      </c>
      <c r="D1204" t="s">
        <v>706</v>
      </c>
      <c r="E1204" t="s">
        <v>130</v>
      </c>
      <c r="F1204">
        <v>0.106</v>
      </c>
      <c r="G1204">
        <v>8</v>
      </c>
      <c r="H1204" t="s">
        <v>1052</v>
      </c>
      <c r="I1204" t="s">
        <v>1152</v>
      </c>
      <c r="J1204">
        <v>0.84799999999999998</v>
      </c>
      <c r="K1204">
        <v>1021.14464</v>
      </c>
      <c r="L1204" t="s">
        <v>1309</v>
      </c>
      <c r="M1204">
        <v>1204.18</v>
      </c>
      <c r="N1204" t="s">
        <v>3514</v>
      </c>
      <c r="O1204" t="s">
        <v>3513</v>
      </c>
    </row>
    <row r="1205" spans="1:15" x14ac:dyDescent="0.2">
      <c r="A1205">
        <v>99</v>
      </c>
      <c r="B1205" t="s">
        <v>2117</v>
      </c>
      <c r="C1205" t="s">
        <v>1080</v>
      </c>
      <c r="D1205" t="s">
        <v>498</v>
      </c>
      <c r="E1205" t="s">
        <v>773</v>
      </c>
      <c r="F1205">
        <v>1.2</v>
      </c>
      <c r="G1205">
        <v>0</v>
      </c>
      <c r="H1205" t="s">
        <v>84</v>
      </c>
      <c r="I1205" t="s">
        <v>1152</v>
      </c>
      <c r="J1205">
        <v>0</v>
      </c>
      <c r="K1205">
        <v>0</v>
      </c>
      <c r="L1205" t="s">
        <v>1309</v>
      </c>
      <c r="M1205">
        <v>1204.18</v>
      </c>
      <c r="N1205" t="s">
        <v>3516</v>
      </c>
      <c r="O1205" t="s">
        <v>3513</v>
      </c>
    </row>
    <row r="1206" spans="1:15" x14ac:dyDescent="0.2">
      <c r="A1206">
        <v>99</v>
      </c>
      <c r="B1206" t="s">
        <v>2117</v>
      </c>
      <c r="C1206" t="s">
        <v>1080</v>
      </c>
      <c r="D1206" t="s">
        <v>939</v>
      </c>
      <c r="E1206" t="s">
        <v>640</v>
      </c>
      <c r="F1206">
        <v>0</v>
      </c>
      <c r="G1206">
        <v>21.15</v>
      </c>
      <c r="H1206" t="s">
        <v>151</v>
      </c>
      <c r="I1206" t="s">
        <v>1152</v>
      </c>
      <c r="J1206">
        <v>0</v>
      </c>
      <c r="K1206">
        <v>0</v>
      </c>
      <c r="L1206" t="s">
        <v>1309</v>
      </c>
      <c r="M1206">
        <v>1204.18</v>
      </c>
      <c r="N1206" t="s">
        <v>3520</v>
      </c>
      <c r="O1206" t="s">
        <v>3513</v>
      </c>
    </row>
    <row r="1207" spans="1:15" x14ac:dyDescent="0.2">
      <c r="A1207">
        <v>99</v>
      </c>
      <c r="B1207" t="s">
        <v>2117</v>
      </c>
      <c r="C1207" t="s">
        <v>1080</v>
      </c>
      <c r="D1207" t="s">
        <v>1507</v>
      </c>
      <c r="E1207" t="s">
        <v>1272</v>
      </c>
      <c r="F1207">
        <v>4</v>
      </c>
      <c r="G1207">
        <v>1.6400000000000001E-2</v>
      </c>
      <c r="H1207" t="s">
        <v>1667</v>
      </c>
      <c r="I1207" t="s">
        <v>1152</v>
      </c>
      <c r="J1207">
        <v>6.5600000000000006E-2</v>
      </c>
      <c r="K1207">
        <v>78.994208</v>
      </c>
      <c r="L1207" t="s">
        <v>1309</v>
      </c>
      <c r="M1207">
        <v>1204.18</v>
      </c>
      <c r="N1207" t="s">
        <v>3519</v>
      </c>
      <c r="O1207" t="s">
        <v>3513</v>
      </c>
    </row>
    <row r="1208" spans="1:15" x14ac:dyDescent="0.2">
      <c r="A1208">
        <v>99</v>
      </c>
      <c r="B1208" t="s">
        <v>2117</v>
      </c>
      <c r="C1208" t="s">
        <v>1080</v>
      </c>
      <c r="D1208" t="s">
        <v>801</v>
      </c>
      <c r="E1208" t="s">
        <v>402</v>
      </c>
      <c r="F1208">
        <v>0</v>
      </c>
      <c r="G1208">
        <v>10.3</v>
      </c>
      <c r="H1208" t="s">
        <v>151</v>
      </c>
      <c r="I1208" t="s">
        <v>1152</v>
      </c>
      <c r="J1208">
        <v>0</v>
      </c>
      <c r="K1208">
        <v>0</v>
      </c>
      <c r="L1208" t="s">
        <v>1309</v>
      </c>
      <c r="M1208">
        <v>1204.18</v>
      </c>
      <c r="N1208" t="s">
        <v>3521</v>
      </c>
      <c r="O1208" t="s">
        <v>3513</v>
      </c>
    </row>
    <row r="1209" spans="1:15" x14ac:dyDescent="0.2">
      <c r="A1209">
        <v>99</v>
      </c>
      <c r="B1209" t="s">
        <v>2117</v>
      </c>
      <c r="C1209" t="s">
        <v>1080</v>
      </c>
      <c r="D1209" t="s">
        <v>833</v>
      </c>
      <c r="E1209" t="s">
        <v>3384</v>
      </c>
      <c r="F1209">
        <v>1</v>
      </c>
      <c r="G1209">
        <v>90</v>
      </c>
      <c r="H1209" t="s">
        <v>1152</v>
      </c>
      <c r="I1209" t="s">
        <v>1152</v>
      </c>
      <c r="J1209">
        <v>90</v>
      </c>
      <c r="K1209">
        <v>108376.2</v>
      </c>
      <c r="L1209" t="s">
        <v>1309</v>
      </c>
      <c r="M1209">
        <v>1204.18</v>
      </c>
      <c r="N1209" t="s">
        <v>3522</v>
      </c>
      <c r="O1209" t="s">
        <v>3513</v>
      </c>
    </row>
    <row r="1210" spans="1:15" x14ac:dyDescent="0.2">
      <c r="A1210">
        <v>99</v>
      </c>
      <c r="B1210" t="s">
        <v>2117</v>
      </c>
      <c r="C1210" t="s">
        <v>1080</v>
      </c>
      <c r="D1210" t="s">
        <v>1549</v>
      </c>
      <c r="E1210" t="s">
        <v>486</v>
      </c>
      <c r="F1210">
        <v>1.1599999999999999</v>
      </c>
      <c r="G1210">
        <v>51.5</v>
      </c>
      <c r="H1210" t="s">
        <v>1152</v>
      </c>
      <c r="I1210" t="s">
        <v>1152</v>
      </c>
      <c r="J1210">
        <v>59.74</v>
      </c>
      <c r="K1210">
        <v>71937.713199999998</v>
      </c>
      <c r="L1210" t="s">
        <v>1309</v>
      </c>
      <c r="M1210">
        <v>1204.18</v>
      </c>
      <c r="N1210" t="s">
        <v>3515</v>
      </c>
      <c r="O1210" t="s">
        <v>3513</v>
      </c>
    </row>
    <row r="1211" spans="1:15" x14ac:dyDescent="0.2">
      <c r="A1211">
        <v>99</v>
      </c>
      <c r="B1211" t="s">
        <v>2117</v>
      </c>
      <c r="C1211" t="s">
        <v>1080</v>
      </c>
      <c r="D1211" t="s">
        <v>853</v>
      </c>
      <c r="E1211" t="s">
        <v>980</v>
      </c>
      <c r="F1211">
        <v>9.1300000000000008</v>
      </c>
      <c r="G1211">
        <v>0.9</v>
      </c>
      <c r="H1211" t="s">
        <v>1052</v>
      </c>
      <c r="I1211" t="s">
        <v>1152</v>
      </c>
      <c r="J1211">
        <v>8.2170000000000005</v>
      </c>
      <c r="K1211">
        <v>9894.7470599999997</v>
      </c>
      <c r="L1211" t="s">
        <v>1309</v>
      </c>
      <c r="M1211">
        <v>1204.18</v>
      </c>
      <c r="N1211" t="s">
        <v>3512</v>
      </c>
      <c r="O1211" t="s">
        <v>3513</v>
      </c>
    </row>
    <row r="1212" spans="1:15" x14ac:dyDescent="0.2">
      <c r="A1212">
        <v>99</v>
      </c>
      <c r="B1212" t="s">
        <v>2117</v>
      </c>
      <c r="C1212" t="s">
        <v>1080</v>
      </c>
      <c r="D1212" t="s">
        <v>1503</v>
      </c>
      <c r="E1212" t="s">
        <v>464</v>
      </c>
      <c r="F1212">
        <v>8</v>
      </c>
      <c r="G1212">
        <v>0.05</v>
      </c>
      <c r="H1212" t="s">
        <v>1667</v>
      </c>
      <c r="I1212" t="s">
        <v>1152</v>
      </c>
      <c r="J1212">
        <v>0.4</v>
      </c>
      <c r="K1212">
        <v>481.67200000000003</v>
      </c>
      <c r="L1212" t="s">
        <v>1309</v>
      </c>
      <c r="M1212">
        <v>1204.18</v>
      </c>
      <c r="N1212" t="s">
        <v>3518</v>
      </c>
      <c r="O1212" t="s">
        <v>3513</v>
      </c>
    </row>
    <row r="1213" spans="1:15" x14ac:dyDescent="0.2">
      <c r="A1213">
        <v>99</v>
      </c>
      <c r="B1213" t="s">
        <v>2117</v>
      </c>
      <c r="C1213" t="s">
        <v>1080</v>
      </c>
      <c r="D1213" t="s">
        <v>903</v>
      </c>
      <c r="E1213" t="s">
        <v>864</v>
      </c>
      <c r="F1213">
        <v>1</v>
      </c>
      <c r="G1213">
        <v>3.5</v>
      </c>
      <c r="H1213" t="s">
        <v>1152</v>
      </c>
      <c r="I1213" t="s">
        <v>1152</v>
      </c>
      <c r="J1213">
        <v>3.5</v>
      </c>
      <c r="K1213">
        <v>4214.63</v>
      </c>
      <c r="L1213" t="s">
        <v>1309</v>
      </c>
      <c r="M1213">
        <v>1204.18</v>
      </c>
      <c r="N1213" t="s">
        <v>3523</v>
      </c>
      <c r="O1213" t="s">
        <v>3513</v>
      </c>
    </row>
    <row r="1214" spans="1:15" x14ac:dyDescent="0.2">
      <c r="A1214">
        <v>99</v>
      </c>
      <c r="B1214" t="s">
        <v>2117</v>
      </c>
      <c r="C1214" t="s">
        <v>1082</v>
      </c>
      <c r="D1214" t="s">
        <v>903</v>
      </c>
      <c r="E1214" t="s">
        <v>864</v>
      </c>
      <c r="F1214">
        <v>1</v>
      </c>
      <c r="G1214">
        <v>3.5</v>
      </c>
      <c r="H1214" t="s">
        <v>1152</v>
      </c>
      <c r="I1214" t="s">
        <v>1152</v>
      </c>
      <c r="J1214">
        <v>3.5</v>
      </c>
      <c r="K1214">
        <v>1369.83</v>
      </c>
      <c r="L1214" t="s">
        <v>1310</v>
      </c>
      <c r="M1214">
        <v>391.38</v>
      </c>
      <c r="N1214" t="s">
        <v>3530</v>
      </c>
      <c r="O1214" t="s">
        <v>3525</v>
      </c>
    </row>
    <row r="1215" spans="1:15" x14ac:dyDescent="0.2">
      <c r="A1215">
        <v>99</v>
      </c>
      <c r="B1215" t="s">
        <v>2117</v>
      </c>
      <c r="C1215" t="s">
        <v>1082</v>
      </c>
      <c r="D1215" t="s">
        <v>1546</v>
      </c>
      <c r="E1215" t="s">
        <v>1096</v>
      </c>
      <c r="F1215">
        <v>1.1599999999999999</v>
      </c>
      <c r="G1215">
        <v>69.066000000000003</v>
      </c>
      <c r="H1215" t="s">
        <v>1152</v>
      </c>
      <c r="I1215" t="s">
        <v>1152</v>
      </c>
      <c r="J1215">
        <v>80.116560000000007</v>
      </c>
      <c r="K1215">
        <v>31356.019252999999</v>
      </c>
      <c r="L1215" t="s">
        <v>1310</v>
      </c>
      <c r="M1215">
        <v>391.38</v>
      </c>
      <c r="N1215" t="s">
        <v>3534</v>
      </c>
      <c r="O1215" t="s">
        <v>3525</v>
      </c>
    </row>
    <row r="1216" spans="1:15" x14ac:dyDescent="0.2">
      <c r="A1216">
        <v>99</v>
      </c>
      <c r="B1216" t="s">
        <v>2117</v>
      </c>
      <c r="C1216" t="s">
        <v>1082</v>
      </c>
      <c r="D1216" t="s">
        <v>1503</v>
      </c>
      <c r="E1216" t="s">
        <v>464</v>
      </c>
      <c r="F1216">
        <v>8</v>
      </c>
      <c r="G1216">
        <v>0.05</v>
      </c>
      <c r="H1216" t="s">
        <v>1667</v>
      </c>
      <c r="I1216" t="s">
        <v>1152</v>
      </c>
      <c r="J1216">
        <v>0.4</v>
      </c>
      <c r="K1216">
        <v>156.55199999999999</v>
      </c>
      <c r="L1216" t="s">
        <v>1310</v>
      </c>
      <c r="M1216">
        <v>391.38</v>
      </c>
      <c r="N1216" t="s">
        <v>3535</v>
      </c>
      <c r="O1216" t="s">
        <v>3525</v>
      </c>
    </row>
    <row r="1217" spans="1:15" x14ac:dyDescent="0.2">
      <c r="A1217">
        <v>99</v>
      </c>
      <c r="B1217" t="s">
        <v>2117</v>
      </c>
      <c r="C1217" t="s">
        <v>1082</v>
      </c>
      <c r="D1217" t="s">
        <v>853</v>
      </c>
      <c r="E1217" t="s">
        <v>980</v>
      </c>
      <c r="F1217">
        <v>9.1300000000000008</v>
      </c>
      <c r="G1217">
        <v>0.9</v>
      </c>
      <c r="H1217" t="s">
        <v>1052</v>
      </c>
      <c r="I1217" t="s">
        <v>1152</v>
      </c>
      <c r="J1217">
        <v>8.2170000000000005</v>
      </c>
      <c r="K1217">
        <v>3215.9694599999998</v>
      </c>
      <c r="L1217" t="s">
        <v>1310</v>
      </c>
      <c r="M1217">
        <v>391.38</v>
      </c>
      <c r="N1217" t="s">
        <v>3532</v>
      </c>
      <c r="O1217" t="s">
        <v>3525</v>
      </c>
    </row>
    <row r="1218" spans="1:15" x14ac:dyDescent="0.2">
      <c r="A1218">
        <v>99</v>
      </c>
      <c r="B1218" t="s">
        <v>2117</v>
      </c>
      <c r="C1218" t="s">
        <v>1082</v>
      </c>
      <c r="D1218" t="s">
        <v>833</v>
      </c>
      <c r="E1218" t="s">
        <v>3384</v>
      </c>
      <c r="F1218">
        <v>1</v>
      </c>
      <c r="G1218">
        <v>90</v>
      </c>
      <c r="H1218" t="s">
        <v>1152</v>
      </c>
      <c r="I1218" t="s">
        <v>1152</v>
      </c>
      <c r="J1218">
        <v>90</v>
      </c>
      <c r="K1218">
        <v>35224.199999999997</v>
      </c>
      <c r="L1218" t="s">
        <v>1310</v>
      </c>
      <c r="M1218">
        <v>391.38</v>
      </c>
      <c r="N1218" t="s">
        <v>3529</v>
      </c>
      <c r="O1218" t="s">
        <v>3525</v>
      </c>
    </row>
    <row r="1219" spans="1:15" x14ac:dyDescent="0.2">
      <c r="A1219">
        <v>99</v>
      </c>
      <c r="B1219" t="s">
        <v>2117</v>
      </c>
      <c r="C1219" t="s">
        <v>1082</v>
      </c>
      <c r="D1219" t="s">
        <v>801</v>
      </c>
      <c r="E1219" t="s">
        <v>402</v>
      </c>
      <c r="F1219">
        <v>0</v>
      </c>
      <c r="G1219">
        <v>10.3</v>
      </c>
      <c r="H1219" t="s">
        <v>151</v>
      </c>
      <c r="I1219" t="s">
        <v>1152</v>
      </c>
      <c r="J1219">
        <v>0</v>
      </c>
      <c r="K1219">
        <v>0</v>
      </c>
      <c r="L1219" t="s">
        <v>1310</v>
      </c>
      <c r="M1219">
        <v>391.38</v>
      </c>
      <c r="N1219" t="s">
        <v>3528</v>
      </c>
      <c r="O1219" t="s">
        <v>3525</v>
      </c>
    </row>
    <row r="1220" spans="1:15" x14ac:dyDescent="0.2">
      <c r="A1220">
        <v>99</v>
      </c>
      <c r="B1220" t="s">
        <v>2117</v>
      </c>
      <c r="C1220" t="s">
        <v>1082</v>
      </c>
      <c r="D1220" t="s">
        <v>1507</v>
      </c>
      <c r="E1220" t="s">
        <v>1272</v>
      </c>
      <c r="F1220">
        <v>4</v>
      </c>
      <c r="G1220">
        <v>1.6400000000000001E-2</v>
      </c>
      <c r="H1220" t="s">
        <v>1667</v>
      </c>
      <c r="I1220" t="s">
        <v>1152</v>
      </c>
      <c r="J1220">
        <v>6.5600000000000006E-2</v>
      </c>
      <c r="K1220">
        <v>25.674527999999999</v>
      </c>
      <c r="L1220" t="s">
        <v>1310</v>
      </c>
      <c r="M1220">
        <v>391.38</v>
      </c>
      <c r="N1220" t="s">
        <v>3526</v>
      </c>
      <c r="O1220" t="s">
        <v>3525</v>
      </c>
    </row>
    <row r="1221" spans="1:15" x14ac:dyDescent="0.2">
      <c r="A1221">
        <v>99</v>
      </c>
      <c r="B1221" t="s">
        <v>2117</v>
      </c>
      <c r="C1221" t="s">
        <v>1082</v>
      </c>
      <c r="D1221" t="s">
        <v>939</v>
      </c>
      <c r="E1221" t="s">
        <v>640</v>
      </c>
      <c r="F1221">
        <v>0</v>
      </c>
      <c r="G1221">
        <v>21.15</v>
      </c>
      <c r="H1221" t="s">
        <v>151</v>
      </c>
      <c r="I1221" t="s">
        <v>1152</v>
      </c>
      <c r="J1221">
        <v>0</v>
      </c>
      <c r="K1221">
        <v>0</v>
      </c>
      <c r="L1221" t="s">
        <v>1310</v>
      </c>
      <c r="M1221">
        <v>391.38</v>
      </c>
      <c r="N1221" t="s">
        <v>3527</v>
      </c>
      <c r="O1221" t="s">
        <v>3525</v>
      </c>
    </row>
    <row r="1222" spans="1:15" x14ac:dyDescent="0.2">
      <c r="A1222">
        <v>99</v>
      </c>
      <c r="B1222" t="s">
        <v>2117</v>
      </c>
      <c r="C1222" t="s">
        <v>1082</v>
      </c>
      <c r="D1222" t="s">
        <v>498</v>
      </c>
      <c r="E1222" t="s">
        <v>773</v>
      </c>
      <c r="F1222">
        <v>1.2</v>
      </c>
      <c r="G1222">
        <v>0</v>
      </c>
      <c r="H1222" t="s">
        <v>84</v>
      </c>
      <c r="I1222" t="s">
        <v>1152</v>
      </c>
      <c r="J1222">
        <v>0</v>
      </c>
      <c r="K1222">
        <v>0</v>
      </c>
      <c r="L1222" t="s">
        <v>1310</v>
      </c>
      <c r="M1222">
        <v>391.38</v>
      </c>
      <c r="N1222" t="s">
        <v>3531</v>
      </c>
      <c r="O1222" t="s">
        <v>3525</v>
      </c>
    </row>
    <row r="1223" spans="1:15" x14ac:dyDescent="0.2">
      <c r="A1223">
        <v>99</v>
      </c>
      <c r="B1223" t="s">
        <v>2117</v>
      </c>
      <c r="C1223" t="s">
        <v>1082</v>
      </c>
      <c r="D1223" t="s">
        <v>706</v>
      </c>
      <c r="E1223" t="s">
        <v>130</v>
      </c>
      <c r="F1223">
        <v>0.106</v>
      </c>
      <c r="G1223">
        <v>8</v>
      </c>
      <c r="H1223" t="s">
        <v>1052</v>
      </c>
      <c r="I1223" t="s">
        <v>1152</v>
      </c>
      <c r="J1223">
        <v>0.84799999999999998</v>
      </c>
      <c r="K1223">
        <v>331.89024000000001</v>
      </c>
      <c r="L1223" t="s">
        <v>1310</v>
      </c>
      <c r="M1223">
        <v>391.38</v>
      </c>
      <c r="N1223" t="s">
        <v>3533</v>
      </c>
      <c r="O1223" t="s">
        <v>3525</v>
      </c>
    </row>
    <row r="1224" spans="1:15" x14ac:dyDescent="0.2">
      <c r="A1224">
        <v>99</v>
      </c>
      <c r="B1224" t="s">
        <v>2117</v>
      </c>
      <c r="C1224" t="s">
        <v>1082</v>
      </c>
      <c r="D1224" t="s">
        <v>941</v>
      </c>
      <c r="E1224" t="s">
        <v>1485</v>
      </c>
      <c r="F1224">
        <v>1.1599999999999999</v>
      </c>
      <c r="G1224">
        <v>8.4017999999999997</v>
      </c>
      <c r="H1224" t="s">
        <v>1819</v>
      </c>
      <c r="I1224" t="s">
        <v>1152</v>
      </c>
      <c r="J1224">
        <v>9.7460880000000003</v>
      </c>
      <c r="K1224">
        <v>3814.4239210000001</v>
      </c>
      <c r="L1224" t="s">
        <v>1310</v>
      </c>
      <c r="M1224">
        <v>391.38</v>
      </c>
      <c r="N1224" t="s">
        <v>3524</v>
      </c>
      <c r="O1224" t="s">
        <v>3525</v>
      </c>
    </row>
    <row r="1225" spans="1:15" x14ac:dyDescent="0.2">
      <c r="A1225">
        <v>99</v>
      </c>
      <c r="B1225" t="s">
        <v>2117</v>
      </c>
      <c r="C1225" t="s">
        <v>1141</v>
      </c>
      <c r="D1225" t="s">
        <v>941</v>
      </c>
      <c r="E1225" t="s">
        <v>1485</v>
      </c>
      <c r="F1225">
        <v>1.25</v>
      </c>
      <c r="G1225">
        <v>8.4017999999999997</v>
      </c>
      <c r="H1225" t="s">
        <v>1819</v>
      </c>
      <c r="I1225" t="s">
        <v>1152</v>
      </c>
      <c r="J1225">
        <v>10.50225</v>
      </c>
      <c r="K1225">
        <v>6770.9055980000003</v>
      </c>
      <c r="L1225" t="s">
        <v>632</v>
      </c>
      <c r="M1225">
        <v>644.71</v>
      </c>
      <c r="N1225" t="s">
        <v>3547</v>
      </c>
      <c r="O1225" t="s">
        <v>3537</v>
      </c>
    </row>
    <row r="1226" spans="1:15" x14ac:dyDescent="0.2">
      <c r="A1226">
        <v>99</v>
      </c>
      <c r="B1226" t="s">
        <v>2117</v>
      </c>
      <c r="C1226" t="s">
        <v>1141</v>
      </c>
      <c r="D1226" t="s">
        <v>706</v>
      </c>
      <c r="E1226" t="s">
        <v>130</v>
      </c>
      <c r="F1226">
        <v>0.106</v>
      </c>
      <c r="G1226">
        <v>8</v>
      </c>
      <c r="H1226" t="s">
        <v>1052</v>
      </c>
      <c r="I1226" t="s">
        <v>1152</v>
      </c>
      <c r="J1226">
        <v>0.84799999999999998</v>
      </c>
      <c r="K1226">
        <v>546.71407999999997</v>
      </c>
      <c r="L1226" t="s">
        <v>632</v>
      </c>
      <c r="M1226">
        <v>644.71</v>
      </c>
      <c r="N1226" t="s">
        <v>3538</v>
      </c>
      <c r="O1226" t="s">
        <v>3537</v>
      </c>
    </row>
    <row r="1227" spans="1:15" x14ac:dyDescent="0.2">
      <c r="A1227">
        <v>99</v>
      </c>
      <c r="B1227" t="s">
        <v>2117</v>
      </c>
      <c r="C1227" t="s">
        <v>1141</v>
      </c>
      <c r="D1227" t="s">
        <v>498</v>
      </c>
      <c r="E1227" t="s">
        <v>773</v>
      </c>
      <c r="F1227">
        <v>1.2</v>
      </c>
      <c r="G1227">
        <v>0</v>
      </c>
      <c r="H1227" t="s">
        <v>84</v>
      </c>
      <c r="I1227" t="s">
        <v>1152</v>
      </c>
      <c r="J1227">
        <v>0</v>
      </c>
      <c r="K1227">
        <v>0</v>
      </c>
      <c r="L1227" t="s">
        <v>632</v>
      </c>
      <c r="M1227">
        <v>644.71</v>
      </c>
      <c r="N1227" t="s">
        <v>3546</v>
      </c>
      <c r="O1227" t="s">
        <v>3537</v>
      </c>
    </row>
    <row r="1228" spans="1:15" x14ac:dyDescent="0.2">
      <c r="A1228">
        <v>99</v>
      </c>
      <c r="B1228" t="s">
        <v>2117</v>
      </c>
      <c r="C1228" t="s">
        <v>1141</v>
      </c>
      <c r="D1228" t="s">
        <v>939</v>
      </c>
      <c r="E1228" t="s">
        <v>640</v>
      </c>
      <c r="F1228">
        <v>0</v>
      </c>
      <c r="G1228">
        <v>21.15</v>
      </c>
      <c r="H1228" t="s">
        <v>151</v>
      </c>
      <c r="I1228" t="s">
        <v>1152</v>
      </c>
      <c r="J1228">
        <v>0</v>
      </c>
      <c r="K1228">
        <v>0</v>
      </c>
      <c r="L1228" t="s">
        <v>632</v>
      </c>
      <c r="M1228">
        <v>644.71</v>
      </c>
      <c r="N1228" t="s">
        <v>3542</v>
      </c>
      <c r="O1228" t="s">
        <v>3537</v>
      </c>
    </row>
    <row r="1229" spans="1:15" x14ac:dyDescent="0.2">
      <c r="A1229">
        <v>99</v>
      </c>
      <c r="B1229" t="s">
        <v>2117</v>
      </c>
      <c r="C1229" t="s">
        <v>1141</v>
      </c>
      <c r="D1229" t="s">
        <v>1507</v>
      </c>
      <c r="E1229" t="s">
        <v>1272</v>
      </c>
      <c r="F1229">
        <v>4</v>
      </c>
      <c r="G1229">
        <v>1.6400000000000001E-2</v>
      </c>
      <c r="H1229" t="s">
        <v>1667</v>
      </c>
      <c r="I1229" t="s">
        <v>1152</v>
      </c>
      <c r="J1229">
        <v>6.5600000000000006E-2</v>
      </c>
      <c r="K1229">
        <v>42.292976000000003</v>
      </c>
      <c r="L1229" t="s">
        <v>632</v>
      </c>
      <c r="M1229">
        <v>644.71</v>
      </c>
      <c r="N1229" t="s">
        <v>3541</v>
      </c>
      <c r="O1229" t="s">
        <v>3537</v>
      </c>
    </row>
    <row r="1230" spans="1:15" x14ac:dyDescent="0.2">
      <c r="A1230">
        <v>99</v>
      </c>
      <c r="B1230" t="s">
        <v>2117</v>
      </c>
      <c r="C1230" t="s">
        <v>1141</v>
      </c>
      <c r="D1230" t="s">
        <v>801</v>
      </c>
      <c r="E1230" t="s">
        <v>402</v>
      </c>
      <c r="F1230">
        <v>0</v>
      </c>
      <c r="G1230">
        <v>10.3</v>
      </c>
      <c r="H1230" t="s">
        <v>151</v>
      </c>
      <c r="I1230" t="s">
        <v>1152</v>
      </c>
      <c r="J1230">
        <v>0</v>
      </c>
      <c r="K1230">
        <v>0</v>
      </c>
      <c r="L1230" t="s">
        <v>632</v>
      </c>
      <c r="M1230">
        <v>644.71</v>
      </c>
      <c r="N1230" t="s">
        <v>3543</v>
      </c>
      <c r="O1230" t="s">
        <v>3537</v>
      </c>
    </row>
    <row r="1231" spans="1:15" x14ac:dyDescent="0.2">
      <c r="A1231">
        <v>99</v>
      </c>
      <c r="B1231" t="s">
        <v>2117</v>
      </c>
      <c r="C1231" t="s">
        <v>1141</v>
      </c>
      <c r="D1231" t="s">
        <v>833</v>
      </c>
      <c r="E1231" t="s">
        <v>3384</v>
      </c>
      <c r="F1231">
        <v>1</v>
      </c>
      <c r="G1231">
        <v>90</v>
      </c>
      <c r="H1231" t="s">
        <v>1152</v>
      </c>
      <c r="I1231" t="s">
        <v>1152</v>
      </c>
      <c r="J1231">
        <v>90</v>
      </c>
      <c r="K1231">
        <v>58023.9</v>
      </c>
      <c r="L1231" t="s">
        <v>632</v>
      </c>
      <c r="M1231">
        <v>644.71</v>
      </c>
      <c r="N1231" t="s">
        <v>3544</v>
      </c>
      <c r="O1231" t="s">
        <v>3537</v>
      </c>
    </row>
    <row r="1232" spans="1:15" x14ac:dyDescent="0.2">
      <c r="A1232">
        <v>99</v>
      </c>
      <c r="B1232" t="s">
        <v>2117</v>
      </c>
      <c r="C1232" t="s">
        <v>1141</v>
      </c>
      <c r="D1232" t="s">
        <v>853</v>
      </c>
      <c r="E1232" t="s">
        <v>980</v>
      </c>
      <c r="F1232">
        <v>9.1300000000000008</v>
      </c>
      <c r="G1232">
        <v>0.9</v>
      </c>
      <c r="H1232" t="s">
        <v>1052</v>
      </c>
      <c r="I1232" t="s">
        <v>1152</v>
      </c>
      <c r="J1232">
        <v>8.2170000000000005</v>
      </c>
      <c r="K1232">
        <v>5297.5820700000004</v>
      </c>
      <c r="L1232" t="s">
        <v>632</v>
      </c>
      <c r="M1232">
        <v>644.71</v>
      </c>
      <c r="N1232" t="s">
        <v>3536</v>
      </c>
      <c r="O1232" t="s">
        <v>3537</v>
      </c>
    </row>
    <row r="1233" spans="1:15" x14ac:dyDescent="0.2">
      <c r="A1233">
        <v>99</v>
      </c>
      <c r="B1233" t="s">
        <v>2117</v>
      </c>
      <c r="C1233" t="s">
        <v>1141</v>
      </c>
      <c r="D1233" t="s">
        <v>1549</v>
      </c>
      <c r="E1233" t="s">
        <v>486</v>
      </c>
      <c r="F1233">
        <v>1.25</v>
      </c>
      <c r="G1233">
        <v>51.5</v>
      </c>
      <c r="H1233" t="s">
        <v>1152</v>
      </c>
      <c r="I1233" t="s">
        <v>1152</v>
      </c>
      <c r="J1233">
        <v>64.375</v>
      </c>
      <c r="K1233">
        <v>41503.206250000003</v>
      </c>
      <c r="L1233" t="s">
        <v>632</v>
      </c>
      <c r="M1233">
        <v>644.71</v>
      </c>
      <c r="N1233" t="s">
        <v>3539</v>
      </c>
      <c r="O1233" t="s">
        <v>3537</v>
      </c>
    </row>
    <row r="1234" spans="1:15" x14ac:dyDescent="0.2">
      <c r="A1234">
        <v>99</v>
      </c>
      <c r="B1234" t="s">
        <v>2117</v>
      </c>
      <c r="C1234" t="s">
        <v>1141</v>
      </c>
      <c r="D1234" t="s">
        <v>1503</v>
      </c>
      <c r="E1234" t="s">
        <v>464</v>
      </c>
      <c r="F1234">
        <v>8</v>
      </c>
      <c r="G1234">
        <v>0.05</v>
      </c>
      <c r="H1234" t="s">
        <v>1667</v>
      </c>
      <c r="I1234" t="s">
        <v>1152</v>
      </c>
      <c r="J1234">
        <v>0.4</v>
      </c>
      <c r="K1234">
        <v>257.88400000000001</v>
      </c>
      <c r="L1234" t="s">
        <v>632</v>
      </c>
      <c r="M1234">
        <v>644.71</v>
      </c>
      <c r="N1234" t="s">
        <v>3540</v>
      </c>
      <c r="O1234" t="s">
        <v>3537</v>
      </c>
    </row>
    <row r="1235" spans="1:15" x14ac:dyDescent="0.2">
      <c r="A1235">
        <v>99</v>
      </c>
      <c r="B1235" t="s">
        <v>2117</v>
      </c>
      <c r="C1235" t="s">
        <v>1141</v>
      </c>
      <c r="D1235" t="s">
        <v>903</v>
      </c>
      <c r="E1235" t="s">
        <v>864</v>
      </c>
      <c r="F1235">
        <v>1</v>
      </c>
      <c r="G1235">
        <v>3.5</v>
      </c>
      <c r="H1235" t="s">
        <v>1152</v>
      </c>
      <c r="I1235" t="s">
        <v>1152</v>
      </c>
      <c r="J1235">
        <v>3.5</v>
      </c>
      <c r="K1235">
        <v>2256.4850000000001</v>
      </c>
      <c r="L1235" t="s">
        <v>632</v>
      </c>
      <c r="M1235">
        <v>644.71</v>
      </c>
      <c r="N1235" t="s">
        <v>3545</v>
      </c>
      <c r="O1235" t="s">
        <v>3537</v>
      </c>
    </row>
    <row r="1236" spans="1:15" x14ac:dyDescent="0.2">
      <c r="A1236">
        <v>99</v>
      </c>
      <c r="B1236" t="s">
        <v>2117</v>
      </c>
      <c r="C1236" t="s">
        <v>4992</v>
      </c>
      <c r="D1236" t="s">
        <v>903</v>
      </c>
      <c r="E1236" t="s">
        <v>864</v>
      </c>
      <c r="F1236">
        <v>1</v>
      </c>
      <c r="G1236">
        <v>3.5</v>
      </c>
      <c r="H1236" t="s">
        <v>1152</v>
      </c>
      <c r="I1236" t="s">
        <v>1152</v>
      </c>
      <c r="J1236">
        <v>3.5</v>
      </c>
      <c r="K1236">
        <v>348.495</v>
      </c>
      <c r="L1236" t="s">
        <v>629</v>
      </c>
      <c r="M1236">
        <v>99.57</v>
      </c>
      <c r="N1236" t="s">
        <v>4993</v>
      </c>
      <c r="O1236" t="s">
        <v>4994</v>
      </c>
    </row>
    <row r="1237" spans="1:15" x14ac:dyDescent="0.2">
      <c r="A1237">
        <v>99</v>
      </c>
      <c r="B1237" t="s">
        <v>2117</v>
      </c>
      <c r="C1237" t="s">
        <v>4992</v>
      </c>
      <c r="D1237" t="s">
        <v>1546</v>
      </c>
      <c r="E1237" t="s">
        <v>1096</v>
      </c>
      <c r="F1237">
        <v>1.25</v>
      </c>
      <c r="G1237">
        <v>69.066000000000003</v>
      </c>
      <c r="H1237" t="s">
        <v>1152</v>
      </c>
      <c r="I1237" t="s">
        <v>1152</v>
      </c>
      <c r="J1237">
        <v>86.332499999999996</v>
      </c>
      <c r="K1237">
        <v>8596.1270249999998</v>
      </c>
      <c r="L1237" t="s">
        <v>629</v>
      </c>
      <c r="M1237">
        <v>99.57</v>
      </c>
      <c r="N1237" t="s">
        <v>4995</v>
      </c>
      <c r="O1237" t="s">
        <v>4994</v>
      </c>
    </row>
    <row r="1238" spans="1:15" x14ac:dyDescent="0.2">
      <c r="A1238">
        <v>99</v>
      </c>
      <c r="B1238" t="s">
        <v>2117</v>
      </c>
      <c r="C1238" t="s">
        <v>4992</v>
      </c>
      <c r="D1238" t="s">
        <v>1503</v>
      </c>
      <c r="E1238" t="s">
        <v>464</v>
      </c>
      <c r="F1238">
        <v>8</v>
      </c>
      <c r="G1238">
        <v>0.05</v>
      </c>
      <c r="H1238" t="s">
        <v>1667</v>
      </c>
      <c r="I1238" t="s">
        <v>1152</v>
      </c>
      <c r="J1238">
        <v>0.4</v>
      </c>
      <c r="K1238">
        <v>39.828000000000003</v>
      </c>
      <c r="L1238" t="s">
        <v>629</v>
      </c>
      <c r="M1238">
        <v>99.57</v>
      </c>
      <c r="N1238" t="s">
        <v>4996</v>
      </c>
      <c r="O1238" t="s">
        <v>4994</v>
      </c>
    </row>
    <row r="1239" spans="1:15" x14ac:dyDescent="0.2">
      <c r="A1239">
        <v>99</v>
      </c>
      <c r="B1239" t="s">
        <v>2117</v>
      </c>
      <c r="C1239" t="s">
        <v>4992</v>
      </c>
      <c r="D1239" t="s">
        <v>853</v>
      </c>
      <c r="E1239" t="s">
        <v>980</v>
      </c>
      <c r="F1239">
        <v>9.1300000000000008</v>
      </c>
      <c r="G1239">
        <v>0.9</v>
      </c>
      <c r="H1239" t="s">
        <v>1052</v>
      </c>
      <c r="I1239" t="s">
        <v>1152</v>
      </c>
      <c r="J1239">
        <v>8.2170000000000005</v>
      </c>
      <c r="K1239">
        <v>818.16669000000002</v>
      </c>
      <c r="L1239" t="s">
        <v>629</v>
      </c>
      <c r="M1239">
        <v>99.57</v>
      </c>
      <c r="N1239" t="s">
        <v>4997</v>
      </c>
      <c r="O1239" t="s">
        <v>4994</v>
      </c>
    </row>
    <row r="1240" spans="1:15" x14ac:dyDescent="0.2">
      <c r="A1240">
        <v>99</v>
      </c>
      <c r="B1240" t="s">
        <v>2117</v>
      </c>
      <c r="C1240" t="s">
        <v>4992</v>
      </c>
      <c r="D1240" t="s">
        <v>833</v>
      </c>
      <c r="E1240" t="s">
        <v>3384</v>
      </c>
      <c r="F1240">
        <v>1</v>
      </c>
      <c r="G1240">
        <v>90</v>
      </c>
      <c r="H1240" t="s">
        <v>1152</v>
      </c>
      <c r="I1240" t="s">
        <v>1152</v>
      </c>
      <c r="J1240">
        <v>90</v>
      </c>
      <c r="K1240">
        <v>8961.2999999999993</v>
      </c>
      <c r="L1240" t="s">
        <v>629</v>
      </c>
      <c r="M1240">
        <v>99.57</v>
      </c>
      <c r="N1240" t="s">
        <v>4998</v>
      </c>
      <c r="O1240" t="s">
        <v>4994</v>
      </c>
    </row>
    <row r="1241" spans="1:15" x14ac:dyDescent="0.2">
      <c r="A1241">
        <v>99</v>
      </c>
      <c r="B1241" t="s">
        <v>2117</v>
      </c>
      <c r="C1241" t="s">
        <v>4992</v>
      </c>
      <c r="D1241" t="s">
        <v>801</v>
      </c>
      <c r="E1241" t="s">
        <v>402</v>
      </c>
      <c r="F1241">
        <v>0</v>
      </c>
      <c r="G1241">
        <v>10.3</v>
      </c>
      <c r="H1241" t="s">
        <v>151</v>
      </c>
      <c r="I1241" t="s">
        <v>1152</v>
      </c>
      <c r="J1241">
        <v>0</v>
      </c>
      <c r="K1241">
        <v>0</v>
      </c>
      <c r="L1241" t="s">
        <v>629</v>
      </c>
      <c r="M1241">
        <v>99.57</v>
      </c>
      <c r="N1241" t="s">
        <v>4999</v>
      </c>
      <c r="O1241" t="s">
        <v>4994</v>
      </c>
    </row>
    <row r="1242" spans="1:15" x14ac:dyDescent="0.2">
      <c r="A1242">
        <v>99</v>
      </c>
      <c r="B1242" t="s">
        <v>2117</v>
      </c>
      <c r="C1242" t="s">
        <v>4992</v>
      </c>
      <c r="D1242" t="s">
        <v>1507</v>
      </c>
      <c r="E1242" t="s">
        <v>1272</v>
      </c>
      <c r="F1242">
        <v>4</v>
      </c>
      <c r="G1242">
        <v>1.6400000000000001E-2</v>
      </c>
      <c r="H1242" t="s">
        <v>1667</v>
      </c>
      <c r="I1242" t="s">
        <v>1152</v>
      </c>
      <c r="J1242">
        <v>6.5600000000000006E-2</v>
      </c>
      <c r="K1242">
        <v>6.5317920000000003</v>
      </c>
      <c r="L1242" t="s">
        <v>629</v>
      </c>
      <c r="M1242">
        <v>99.57</v>
      </c>
      <c r="N1242" t="s">
        <v>5000</v>
      </c>
      <c r="O1242" t="s">
        <v>4994</v>
      </c>
    </row>
    <row r="1243" spans="1:15" x14ac:dyDescent="0.2">
      <c r="A1243">
        <v>99</v>
      </c>
      <c r="B1243" t="s">
        <v>2117</v>
      </c>
      <c r="C1243" t="s">
        <v>4992</v>
      </c>
      <c r="D1243" t="s">
        <v>939</v>
      </c>
      <c r="E1243" t="s">
        <v>640</v>
      </c>
      <c r="F1243">
        <v>0</v>
      </c>
      <c r="G1243">
        <v>21.15</v>
      </c>
      <c r="H1243" t="s">
        <v>151</v>
      </c>
      <c r="I1243" t="s">
        <v>1152</v>
      </c>
      <c r="J1243">
        <v>0</v>
      </c>
      <c r="K1243">
        <v>0</v>
      </c>
      <c r="L1243" t="s">
        <v>629</v>
      </c>
      <c r="M1243">
        <v>99.57</v>
      </c>
      <c r="N1243" t="s">
        <v>5001</v>
      </c>
      <c r="O1243" t="s">
        <v>4994</v>
      </c>
    </row>
    <row r="1244" spans="1:15" x14ac:dyDescent="0.2">
      <c r="A1244">
        <v>99</v>
      </c>
      <c r="B1244" t="s">
        <v>2117</v>
      </c>
      <c r="C1244" t="s">
        <v>4992</v>
      </c>
      <c r="D1244" t="s">
        <v>498</v>
      </c>
      <c r="E1244" t="s">
        <v>773</v>
      </c>
      <c r="F1244">
        <v>1.2</v>
      </c>
      <c r="G1244">
        <v>0</v>
      </c>
      <c r="H1244" t="s">
        <v>84</v>
      </c>
      <c r="I1244" t="s">
        <v>1152</v>
      </c>
      <c r="J1244">
        <v>0</v>
      </c>
      <c r="K1244">
        <v>0</v>
      </c>
      <c r="L1244" t="s">
        <v>629</v>
      </c>
      <c r="M1244">
        <v>99.57</v>
      </c>
      <c r="N1244" t="s">
        <v>5002</v>
      </c>
      <c r="O1244" t="s">
        <v>4994</v>
      </c>
    </row>
    <row r="1245" spans="1:15" x14ac:dyDescent="0.2">
      <c r="A1245">
        <v>99</v>
      </c>
      <c r="B1245" t="s">
        <v>2117</v>
      </c>
      <c r="C1245" t="s">
        <v>4992</v>
      </c>
      <c r="D1245" t="s">
        <v>706</v>
      </c>
      <c r="E1245" t="s">
        <v>130</v>
      </c>
      <c r="F1245">
        <v>0.106</v>
      </c>
      <c r="G1245">
        <v>8</v>
      </c>
      <c r="H1245" t="s">
        <v>1052</v>
      </c>
      <c r="I1245" t="s">
        <v>1152</v>
      </c>
      <c r="J1245">
        <v>0.84799999999999998</v>
      </c>
      <c r="K1245">
        <v>84.435360000000003</v>
      </c>
      <c r="L1245" t="s">
        <v>629</v>
      </c>
      <c r="M1245">
        <v>99.57</v>
      </c>
      <c r="N1245" t="s">
        <v>5003</v>
      </c>
      <c r="O1245" t="s">
        <v>4994</v>
      </c>
    </row>
    <row r="1246" spans="1:15" x14ac:dyDescent="0.2">
      <c r="A1246">
        <v>99</v>
      </c>
      <c r="B1246" t="s">
        <v>2117</v>
      </c>
      <c r="C1246" t="s">
        <v>4992</v>
      </c>
      <c r="D1246" t="s">
        <v>941</v>
      </c>
      <c r="E1246" t="s">
        <v>1485</v>
      </c>
      <c r="F1246">
        <v>1.25</v>
      </c>
      <c r="G1246">
        <v>8.4017999999999997</v>
      </c>
      <c r="H1246" t="s">
        <v>1819</v>
      </c>
      <c r="I1246" t="s">
        <v>1152</v>
      </c>
      <c r="J1246">
        <v>10.50225</v>
      </c>
      <c r="K1246">
        <v>1045.7090330000001</v>
      </c>
      <c r="L1246" t="s">
        <v>629</v>
      </c>
      <c r="M1246">
        <v>99.57</v>
      </c>
      <c r="N1246" t="s">
        <v>5004</v>
      </c>
      <c r="O1246" t="s">
        <v>4994</v>
      </c>
    </row>
    <row r="1247" spans="1:15" x14ac:dyDescent="0.2">
      <c r="A1247">
        <v>99</v>
      </c>
      <c r="B1247" t="s">
        <v>2117</v>
      </c>
      <c r="C1247" t="s">
        <v>1231</v>
      </c>
      <c r="D1247" t="s">
        <v>941</v>
      </c>
      <c r="E1247" t="s">
        <v>1485</v>
      </c>
      <c r="F1247">
        <v>0.50639999999999996</v>
      </c>
      <c r="G1247">
        <v>8.4017999999999997</v>
      </c>
      <c r="H1247" t="s">
        <v>1819</v>
      </c>
      <c r="I1247" t="s">
        <v>153</v>
      </c>
      <c r="J1247">
        <v>4.2546715199999996</v>
      </c>
      <c r="K1247">
        <v>2392.6145289999999</v>
      </c>
      <c r="L1247" t="s">
        <v>1315</v>
      </c>
      <c r="M1247">
        <v>562.35</v>
      </c>
      <c r="N1247" t="s">
        <v>3555</v>
      </c>
      <c r="O1247" t="s">
        <v>3549</v>
      </c>
    </row>
    <row r="1248" spans="1:15" x14ac:dyDescent="0.2">
      <c r="A1248">
        <v>99</v>
      </c>
      <c r="B1248" t="s">
        <v>2117</v>
      </c>
      <c r="C1248" t="s">
        <v>1231</v>
      </c>
      <c r="D1248" t="s">
        <v>706</v>
      </c>
      <c r="E1248" t="s">
        <v>130</v>
      </c>
      <c r="F1248">
        <v>0.18809999999999999</v>
      </c>
      <c r="G1248">
        <v>8</v>
      </c>
      <c r="H1248" t="s">
        <v>1052</v>
      </c>
      <c r="I1248" t="s">
        <v>153</v>
      </c>
      <c r="J1248">
        <v>1.5047999999999999</v>
      </c>
      <c r="K1248">
        <v>846.22428000000002</v>
      </c>
      <c r="L1248" t="s">
        <v>1315</v>
      </c>
      <c r="M1248">
        <v>562.35</v>
      </c>
      <c r="N1248" t="s">
        <v>3550</v>
      </c>
      <c r="O1248" t="s">
        <v>3549</v>
      </c>
    </row>
    <row r="1249" spans="1:15" x14ac:dyDescent="0.2">
      <c r="A1249">
        <v>99</v>
      </c>
      <c r="B1249" t="s">
        <v>2117</v>
      </c>
      <c r="C1249" t="s">
        <v>1231</v>
      </c>
      <c r="D1249" t="s">
        <v>498</v>
      </c>
      <c r="E1249" t="s">
        <v>773</v>
      </c>
      <c r="F1249">
        <v>1.2</v>
      </c>
      <c r="G1249">
        <v>0</v>
      </c>
      <c r="H1249" t="s">
        <v>84</v>
      </c>
      <c r="I1249" t="s">
        <v>153</v>
      </c>
      <c r="J1249">
        <v>0</v>
      </c>
      <c r="K1249">
        <v>0</v>
      </c>
      <c r="L1249" t="s">
        <v>1315</v>
      </c>
      <c r="M1249">
        <v>562.35</v>
      </c>
      <c r="N1249" t="s">
        <v>3554</v>
      </c>
      <c r="O1249" t="s">
        <v>3549</v>
      </c>
    </row>
    <row r="1250" spans="1:15" x14ac:dyDescent="0.2">
      <c r="A1250">
        <v>99</v>
      </c>
      <c r="B1250" t="s">
        <v>2117</v>
      </c>
      <c r="C1250" t="s">
        <v>1231</v>
      </c>
      <c r="D1250" t="s">
        <v>939</v>
      </c>
      <c r="E1250" t="s">
        <v>640</v>
      </c>
      <c r="F1250">
        <v>0</v>
      </c>
      <c r="G1250">
        <v>21.15</v>
      </c>
      <c r="H1250" t="s">
        <v>151</v>
      </c>
      <c r="I1250" t="s">
        <v>153</v>
      </c>
      <c r="J1250">
        <v>0</v>
      </c>
      <c r="K1250">
        <v>0</v>
      </c>
      <c r="L1250" t="s">
        <v>1315</v>
      </c>
      <c r="M1250">
        <v>562.35</v>
      </c>
      <c r="N1250" t="s">
        <v>3552</v>
      </c>
      <c r="O1250" t="s">
        <v>3549</v>
      </c>
    </row>
    <row r="1251" spans="1:15" x14ac:dyDescent="0.2">
      <c r="A1251">
        <v>99</v>
      </c>
      <c r="B1251" t="s">
        <v>2117</v>
      </c>
      <c r="C1251" t="s">
        <v>1231</v>
      </c>
      <c r="D1251" t="s">
        <v>801</v>
      </c>
      <c r="E1251" t="s">
        <v>402</v>
      </c>
      <c r="F1251">
        <v>0</v>
      </c>
      <c r="G1251">
        <v>10.3</v>
      </c>
      <c r="H1251" t="s">
        <v>151</v>
      </c>
      <c r="I1251" t="s">
        <v>153</v>
      </c>
      <c r="J1251">
        <v>0</v>
      </c>
      <c r="K1251">
        <v>0</v>
      </c>
      <c r="L1251" t="s">
        <v>1315</v>
      </c>
      <c r="M1251">
        <v>562.35</v>
      </c>
      <c r="N1251" t="s">
        <v>3553</v>
      </c>
      <c r="O1251" t="s">
        <v>3549</v>
      </c>
    </row>
    <row r="1252" spans="1:15" x14ac:dyDescent="0.2">
      <c r="A1252">
        <v>99</v>
      </c>
      <c r="B1252" t="s">
        <v>2117</v>
      </c>
      <c r="C1252" t="s">
        <v>1231</v>
      </c>
      <c r="D1252" t="s">
        <v>853</v>
      </c>
      <c r="E1252" t="s">
        <v>980</v>
      </c>
      <c r="F1252">
        <v>1.3696999999999999</v>
      </c>
      <c r="G1252">
        <v>0.9</v>
      </c>
      <c r="H1252" t="s">
        <v>1052</v>
      </c>
      <c r="I1252" t="s">
        <v>153</v>
      </c>
      <c r="J1252">
        <v>1.2327300000000001</v>
      </c>
      <c r="K1252">
        <v>693.22571600000003</v>
      </c>
      <c r="L1252" t="s">
        <v>1315</v>
      </c>
      <c r="M1252">
        <v>562.35</v>
      </c>
      <c r="N1252" t="s">
        <v>3548</v>
      </c>
      <c r="O1252" t="s">
        <v>3549</v>
      </c>
    </row>
    <row r="1253" spans="1:15" x14ac:dyDescent="0.2">
      <c r="A1253">
        <v>99</v>
      </c>
      <c r="B1253" t="s">
        <v>2117</v>
      </c>
      <c r="C1253" t="s">
        <v>1231</v>
      </c>
      <c r="D1253" t="s">
        <v>1549</v>
      </c>
      <c r="E1253" t="s">
        <v>486</v>
      </c>
      <c r="F1253">
        <v>0.50639999999999996</v>
      </c>
      <c r="G1253">
        <v>51.5</v>
      </c>
      <c r="H1253" t="s">
        <v>1152</v>
      </c>
      <c r="I1253" t="s">
        <v>153</v>
      </c>
      <c r="J1253">
        <v>26.079599999999999</v>
      </c>
      <c r="K1253">
        <v>14665.86306</v>
      </c>
      <c r="L1253" t="s">
        <v>1315</v>
      </c>
      <c r="M1253">
        <v>562.35</v>
      </c>
      <c r="N1253" t="s">
        <v>3551</v>
      </c>
      <c r="O1253" t="s">
        <v>3549</v>
      </c>
    </row>
    <row r="1254" spans="1:15" x14ac:dyDescent="0.2">
      <c r="A1254">
        <v>99</v>
      </c>
      <c r="B1254" t="s">
        <v>2117</v>
      </c>
      <c r="C1254" t="s">
        <v>1234</v>
      </c>
      <c r="D1254" t="s">
        <v>853</v>
      </c>
      <c r="E1254" t="s">
        <v>980</v>
      </c>
      <c r="F1254">
        <v>1.3696999999999999</v>
      </c>
      <c r="G1254">
        <v>0.9</v>
      </c>
      <c r="H1254" t="s">
        <v>1052</v>
      </c>
      <c r="I1254" t="s">
        <v>153</v>
      </c>
      <c r="J1254">
        <v>1.2327300000000001</v>
      </c>
      <c r="K1254">
        <v>163.570944</v>
      </c>
      <c r="L1254" t="s">
        <v>1316</v>
      </c>
      <c r="M1254">
        <v>132.69</v>
      </c>
      <c r="N1254" t="s">
        <v>3561</v>
      </c>
      <c r="O1254" t="s">
        <v>3557</v>
      </c>
    </row>
    <row r="1255" spans="1:15" x14ac:dyDescent="0.2">
      <c r="A1255">
        <v>99</v>
      </c>
      <c r="B1255" t="s">
        <v>2117</v>
      </c>
      <c r="C1255" t="s">
        <v>1234</v>
      </c>
      <c r="D1255" t="s">
        <v>801</v>
      </c>
      <c r="E1255" t="s">
        <v>402</v>
      </c>
      <c r="F1255">
        <v>0</v>
      </c>
      <c r="G1255">
        <v>10.3</v>
      </c>
      <c r="H1255" t="s">
        <v>151</v>
      </c>
      <c r="I1255" t="s">
        <v>153</v>
      </c>
      <c r="J1255">
        <v>0</v>
      </c>
      <c r="K1255">
        <v>0</v>
      </c>
      <c r="L1255" t="s">
        <v>1316</v>
      </c>
      <c r="M1255">
        <v>132.69</v>
      </c>
      <c r="N1255" t="s">
        <v>3558</v>
      </c>
      <c r="O1255" t="s">
        <v>3557</v>
      </c>
    </row>
    <row r="1256" spans="1:15" x14ac:dyDescent="0.2">
      <c r="A1256">
        <v>99</v>
      </c>
      <c r="B1256" t="s">
        <v>2117</v>
      </c>
      <c r="C1256" t="s">
        <v>1234</v>
      </c>
      <c r="D1256" t="s">
        <v>939</v>
      </c>
      <c r="E1256" t="s">
        <v>640</v>
      </c>
      <c r="F1256">
        <v>0</v>
      </c>
      <c r="G1256">
        <v>21.15</v>
      </c>
      <c r="H1256" t="s">
        <v>151</v>
      </c>
      <c r="I1256" t="s">
        <v>153</v>
      </c>
      <c r="J1256">
        <v>0</v>
      </c>
      <c r="K1256">
        <v>0</v>
      </c>
      <c r="L1256" t="s">
        <v>1316</v>
      </c>
      <c r="M1256">
        <v>132.69</v>
      </c>
      <c r="N1256" t="s">
        <v>3556</v>
      </c>
      <c r="O1256" t="s">
        <v>3557</v>
      </c>
    </row>
    <row r="1257" spans="1:15" x14ac:dyDescent="0.2">
      <c r="A1257">
        <v>99</v>
      </c>
      <c r="B1257" t="s">
        <v>2117</v>
      </c>
      <c r="C1257" t="s">
        <v>1234</v>
      </c>
      <c r="D1257" t="s">
        <v>498</v>
      </c>
      <c r="E1257" t="s">
        <v>773</v>
      </c>
      <c r="F1257">
        <v>1.2</v>
      </c>
      <c r="G1257">
        <v>0</v>
      </c>
      <c r="H1257" t="s">
        <v>84</v>
      </c>
      <c r="I1257" t="s">
        <v>153</v>
      </c>
      <c r="J1257">
        <v>0</v>
      </c>
      <c r="K1257">
        <v>0</v>
      </c>
      <c r="L1257" t="s">
        <v>1316</v>
      </c>
      <c r="M1257">
        <v>132.69</v>
      </c>
      <c r="N1257" t="s">
        <v>3559</v>
      </c>
      <c r="O1257" t="s">
        <v>3557</v>
      </c>
    </row>
    <row r="1258" spans="1:15" x14ac:dyDescent="0.2">
      <c r="A1258">
        <v>99</v>
      </c>
      <c r="B1258" t="s">
        <v>2117</v>
      </c>
      <c r="C1258" t="s">
        <v>1234</v>
      </c>
      <c r="D1258" t="s">
        <v>706</v>
      </c>
      <c r="E1258" t="s">
        <v>130</v>
      </c>
      <c r="F1258">
        <v>0.18809999999999999</v>
      </c>
      <c r="G1258">
        <v>8</v>
      </c>
      <c r="H1258" t="s">
        <v>1052</v>
      </c>
      <c r="I1258" t="s">
        <v>153</v>
      </c>
      <c r="J1258">
        <v>1.5047999999999999</v>
      </c>
      <c r="K1258">
        <v>199.67191199999999</v>
      </c>
      <c r="L1258" t="s">
        <v>1316</v>
      </c>
      <c r="M1258">
        <v>132.69</v>
      </c>
      <c r="N1258" t="s">
        <v>3562</v>
      </c>
      <c r="O1258" t="s">
        <v>3557</v>
      </c>
    </row>
    <row r="1259" spans="1:15" x14ac:dyDescent="0.2">
      <c r="A1259">
        <v>99</v>
      </c>
      <c r="B1259" t="s">
        <v>2117</v>
      </c>
      <c r="C1259" t="s">
        <v>1234</v>
      </c>
      <c r="D1259" t="s">
        <v>941</v>
      </c>
      <c r="E1259" t="s">
        <v>1485</v>
      </c>
      <c r="F1259">
        <v>0.50639999999999996</v>
      </c>
      <c r="G1259">
        <v>8.4017999999999997</v>
      </c>
      <c r="H1259" t="s">
        <v>1819</v>
      </c>
      <c r="I1259" t="s">
        <v>153</v>
      </c>
      <c r="J1259">
        <v>4.2546715199999996</v>
      </c>
      <c r="K1259">
        <v>564.55236400000001</v>
      </c>
      <c r="L1259" t="s">
        <v>1316</v>
      </c>
      <c r="M1259">
        <v>132.69</v>
      </c>
      <c r="N1259" t="s">
        <v>3560</v>
      </c>
      <c r="O1259" t="s">
        <v>3557</v>
      </c>
    </row>
    <row r="1260" spans="1:15" x14ac:dyDescent="0.2">
      <c r="A1260">
        <v>99</v>
      </c>
      <c r="B1260" t="s">
        <v>2117</v>
      </c>
      <c r="C1260" t="s">
        <v>1234</v>
      </c>
      <c r="D1260" t="s">
        <v>1546</v>
      </c>
      <c r="E1260" t="s">
        <v>1096</v>
      </c>
      <c r="F1260">
        <v>0.50639999999999996</v>
      </c>
      <c r="G1260">
        <v>69.066000000000003</v>
      </c>
      <c r="H1260" t="s">
        <v>1152</v>
      </c>
      <c r="I1260" t="s">
        <v>153</v>
      </c>
      <c r="J1260">
        <v>34.9750224</v>
      </c>
      <c r="K1260">
        <v>4640.8357219999998</v>
      </c>
      <c r="L1260" t="s">
        <v>1316</v>
      </c>
      <c r="M1260">
        <v>132.69</v>
      </c>
      <c r="N1260" t="s">
        <v>3563</v>
      </c>
      <c r="O1260" t="s">
        <v>3557</v>
      </c>
    </row>
    <row r="1261" spans="1:15" x14ac:dyDescent="0.2">
      <c r="A1261">
        <v>99</v>
      </c>
      <c r="B1261" t="s">
        <v>2117</v>
      </c>
      <c r="C1261" t="s">
        <v>1284</v>
      </c>
      <c r="D1261" t="s">
        <v>1650</v>
      </c>
      <c r="E1261" t="s">
        <v>386</v>
      </c>
      <c r="F1261">
        <v>0.04</v>
      </c>
      <c r="G1261">
        <v>8.0399999999999991</v>
      </c>
      <c r="H1261" t="s">
        <v>1781</v>
      </c>
      <c r="I1261" t="s">
        <v>1152</v>
      </c>
      <c r="J1261">
        <v>0.3216</v>
      </c>
      <c r="K1261">
        <v>2710.1521440000001</v>
      </c>
      <c r="L1261" t="s">
        <v>783</v>
      </c>
      <c r="M1261">
        <v>8427.09</v>
      </c>
      <c r="N1261" t="s">
        <v>3565</v>
      </c>
      <c r="O1261" t="s">
        <v>1297</v>
      </c>
    </row>
    <row r="1262" spans="1:15" x14ac:dyDescent="0.2">
      <c r="A1262">
        <v>99</v>
      </c>
      <c r="B1262" t="s">
        <v>2117</v>
      </c>
      <c r="C1262" t="s">
        <v>1284</v>
      </c>
      <c r="D1262" t="s">
        <v>1795</v>
      </c>
      <c r="E1262" t="s">
        <v>1816</v>
      </c>
      <c r="F1262">
        <v>1.05</v>
      </c>
      <c r="G1262">
        <v>5.8662999999999998</v>
      </c>
      <c r="H1262" t="s">
        <v>1152</v>
      </c>
      <c r="I1262" t="s">
        <v>1152</v>
      </c>
      <c r="J1262">
        <v>6.1596149999999996</v>
      </c>
      <c r="K1262">
        <v>51907.629970000002</v>
      </c>
      <c r="L1262" t="s">
        <v>783</v>
      </c>
      <c r="M1262">
        <v>8427.09</v>
      </c>
      <c r="N1262" t="s">
        <v>3564</v>
      </c>
      <c r="O1262" t="s">
        <v>1297</v>
      </c>
    </row>
    <row r="1263" spans="1:15" x14ac:dyDescent="0.2">
      <c r="A1263">
        <v>99</v>
      </c>
      <c r="B1263" t="s">
        <v>2117</v>
      </c>
      <c r="C1263" t="s">
        <v>1284</v>
      </c>
      <c r="D1263" t="s">
        <v>498</v>
      </c>
      <c r="E1263" t="s">
        <v>773</v>
      </c>
      <c r="F1263">
        <v>1.2</v>
      </c>
      <c r="G1263">
        <v>0</v>
      </c>
      <c r="H1263" t="s">
        <v>84</v>
      </c>
      <c r="I1263" t="s">
        <v>1152</v>
      </c>
      <c r="J1263">
        <v>0</v>
      </c>
      <c r="K1263">
        <v>0</v>
      </c>
      <c r="L1263" t="s">
        <v>783</v>
      </c>
      <c r="M1263">
        <v>8427.09</v>
      </c>
      <c r="N1263" t="s">
        <v>3567</v>
      </c>
      <c r="O1263" t="s">
        <v>1297</v>
      </c>
    </row>
    <row r="1264" spans="1:15" x14ac:dyDescent="0.2">
      <c r="A1264">
        <v>99</v>
      </c>
      <c r="B1264" t="s">
        <v>2117</v>
      </c>
      <c r="C1264" t="s">
        <v>1284</v>
      </c>
      <c r="D1264" t="s">
        <v>801</v>
      </c>
      <c r="E1264" t="s">
        <v>402</v>
      </c>
      <c r="F1264">
        <v>0</v>
      </c>
      <c r="G1264">
        <v>10.3</v>
      </c>
      <c r="H1264" t="s">
        <v>151</v>
      </c>
      <c r="I1264" t="s">
        <v>1152</v>
      </c>
      <c r="J1264">
        <v>0</v>
      </c>
      <c r="K1264">
        <v>0</v>
      </c>
      <c r="L1264" t="s">
        <v>783</v>
      </c>
      <c r="M1264">
        <v>8427.09</v>
      </c>
      <c r="N1264" t="s">
        <v>3566</v>
      </c>
      <c r="O1264" t="s">
        <v>1297</v>
      </c>
    </row>
    <row r="1265" spans="1:15" x14ac:dyDescent="0.2">
      <c r="A1265">
        <v>99</v>
      </c>
      <c r="B1265" t="s">
        <v>2117</v>
      </c>
      <c r="C1265" t="s">
        <v>1288</v>
      </c>
      <c r="D1265" t="s">
        <v>801</v>
      </c>
      <c r="E1265" t="s">
        <v>402</v>
      </c>
      <c r="F1265">
        <v>0</v>
      </c>
      <c r="G1265">
        <v>10.3</v>
      </c>
      <c r="H1265" t="s">
        <v>151</v>
      </c>
      <c r="I1265" t="s">
        <v>1152</v>
      </c>
      <c r="J1265">
        <v>0</v>
      </c>
      <c r="K1265">
        <v>0</v>
      </c>
      <c r="L1265" t="s">
        <v>623</v>
      </c>
      <c r="M1265">
        <v>14.03</v>
      </c>
      <c r="N1265" t="s">
        <v>3573</v>
      </c>
      <c r="O1265" t="s">
        <v>3569</v>
      </c>
    </row>
    <row r="1266" spans="1:15" x14ac:dyDescent="0.2">
      <c r="A1266">
        <v>99</v>
      </c>
      <c r="B1266" t="s">
        <v>2117</v>
      </c>
      <c r="C1266" t="s">
        <v>1288</v>
      </c>
      <c r="D1266" t="s">
        <v>853</v>
      </c>
      <c r="E1266" t="s">
        <v>980</v>
      </c>
      <c r="F1266">
        <v>4.91</v>
      </c>
      <c r="G1266">
        <v>0.9</v>
      </c>
      <c r="H1266" t="s">
        <v>1052</v>
      </c>
      <c r="I1266" t="s">
        <v>1152</v>
      </c>
      <c r="J1266">
        <v>4.4189999999999996</v>
      </c>
      <c r="K1266">
        <v>61.998570000000001</v>
      </c>
      <c r="L1266" t="s">
        <v>623</v>
      </c>
      <c r="M1266">
        <v>14.03</v>
      </c>
      <c r="N1266" t="s">
        <v>3568</v>
      </c>
      <c r="O1266" t="s">
        <v>3569</v>
      </c>
    </row>
    <row r="1267" spans="1:15" x14ac:dyDescent="0.2">
      <c r="A1267">
        <v>99</v>
      </c>
      <c r="B1267" t="s">
        <v>2117</v>
      </c>
      <c r="C1267" t="s">
        <v>1288</v>
      </c>
      <c r="D1267" t="s">
        <v>1044</v>
      </c>
      <c r="E1267" t="s">
        <v>3576</v>
      </c>
      <c r="F1267">
        <v>1</v>
      </c>
      <c r="G1267">
        <v>3.5</v>
      </c>
      <c r="H1267" t="s">
        <v>1152</v>
      </c>
      <c r="I1267" t="s">
        <v>1152</v>
      </c>
      <c r="J1267">
        <v>3.5</v>
      </c>
      <c r="K1267">
        <v>49.104999999999997</v>
      </c>
      <c r="L1267" t="s">
        <v>623</v>
      </c>
      <c r="M1267">
        <v>14.03</v>
      </c>
      <c r="N1267" t="s">
        <v>3577</v>
      </c>
      <c r="O1267" t="s">
        <v>3569</v>
      </c>
    </row>
    <row r="1268" spans="1:15" x14ac:dyDescent="0.2">
      <c r="A1268">
        <v>99</v>
      </c>
      <c r="B1268" t="s">
        <v>2117</v>
      </c>
      <c r="C1268" t="s">
        <v>1288</v>
      </c>
      <c r="D1268" t="s">
        <v>1703</v>
      </c>
      <c r="E1268" t="s">
        <v>1473</v>
      </c>
      <c r="F1268">
        <v>1.1000000000000001</v>
      </c>
      <c r="G1268">
        <v>68.44</v>
      </c>
      <c r="H1268" t="s">
        <v>1152</v>
      </c>
      <c r="I1268" t="s">
        <v>1152</v>
      </c>
      <c r="J1268">
        <v>75.284000000000006</v>
      </c>
      <c r="K1268">
        <v>1056.23452</v>
      </c>
      <c r="L1268" t="s">
        <v>623</v>
      </c>
      <c r="M1268">
        <v>14.03</v>
      </c>
      <c r="N1268" t="s">
        <v>3571</v>
      </c>
      <c r="O1268" t="s">
        <v>3569</v>
      </c>
    </row>
    <row r="1269" spans="1:15" x14ac:dyDescent="0.2">
      <c r="A1269">
        <v>99</v>
      </c>
      <c r="B1269" t="s">
        <v>2117</v>
      </c>
      <c r="C1269" t="s">
        <v>1288</v>
      </c>
      <c r="D1269" t="s">
        <v>498</v>
      </c>
      <c r="E1269" t="s">
        <v>773</v>
      </c>
      <c r="F1269">
        <v>1.2</v>
      </c>
      <c r="G1269">
        <v>0</v>
      </c>
      <c r="H1269" t="s">
        <v>84</v>
      </c>
      <c r="I1269" t="s">
        <v>1152</v>
      </c>
      <c r="J1269">
        <v>0</v>
      </c>
      <c r="K1269">
        <v>0</v>
      </c>
      <c r="L1269" t="s">
        <v>623</v>
      </c>
      <c r="M1269">
        <v>14.03</v>
      </c>
      <c r="N1269" t="s">
        <v>3578</v>
      </c>
      <c r="O1269" t="s">
        <v>3569</v>
      </c>
    </row>
    <row r="1270" spans="1:15" x14ac:dyDescent="0.2">
      <c r="A1270">
        <v>99</v>
      </c>
      <c r="B1270" t="s">
        <v>2117</v>
      </c>
      <c r="C1270" t="s">
        <v>1288</v>
      </c>
      <c r="D1270" t="s">
        <v>939</v>
      </c>
      <c r="E1270" t="s">
        <v>640</v>
      </c>
      <c r="F1270">
        <v>0</v>
      </c>
      <c r="G1270">
        <v>21.15</v>
      </c>
      <c r="H1270" t="s">
        <v>151</v>
      </c>
      <c r="I1270" t="s">
        <v>1152</v>
      </c>
      <c r="J1270">
        <v>0</v>
      </c>
      <c r="K1270">
        <v>0</v>
      </c>
      <c r="L1270" t="s">
        <v>623</v>
      </c>
      <c r="M1270">
        <v>14.03</v>
      </c>
      <c r="N1270" t="s">
        <v>3572</v>
      </c>
      <c r="O1270" t="s">
        <v>3569</v>
      </c>
    </row>
    <row r="1271" spans="1:15" x14ac:dyDescent="0.2">
      <c r="A1271">
        <v>99</v>
      </c>
      <c r="B1271" t="s">
        <v>2117</v>
      </c>
      <c r="C1271" t="s">
        <v>1288</v>
      </c>
      <c r="D1271" t="s">
        <v>941</v>
      </c>
      <c r="E1271" t="s">
        <v>1485</v>
      </c>
      <c r="F1271">
        <v>1.1000000000000001</v>
      </c>
      <c r="G1271">
        <v>8.4017999999999997</v>
      </c>
      <c r="H1271" t="s">
        <v>1819</v>
      </c>
      <c r="I1271" t="s">
        <v>1152</v>
      </c>
      <c r="J1271">
        <v>9.2419799999999999</v>
      </c>
      <c r="K1271">
        <v>129.66497899999999</v>
      </c>
      <c r="L1271" t="s">
        <v>623</v>
      </c>
      <c r="M1271">
        <v>14.03</v>
      </c>
      <c r="N1271" t="s">
        <v>3579</v>
      </c>
      <c r="O1271" t="s">
        <v>3569</v>
      </c>
    </row>
    <row r="1272" spans="1:15" x14ac:dyDescent="0.2">
      <c r="A1272">
        <v>99</v>
      </c>
      <c r="B1272" t="s">
        <v>2117</v>
      </c>
      <c r="C1272" t="s">
        <v>1288</v>
      </c>
      <c r="D1272" t="s">
        <v>706</v>
      </c>
      <c r="E1272" t="s">
        <v>130</v>
      </c>
      <c r="F1272">
        <v>1.69</v>
      </c>
      <c r="G1272">
        <v>8</v>
      </c>
      <c r="H1272" t="s">
        <v>1052</v>
      </c>
      <c r="I1272" t="s">
        <v>1152</v>
      </c>
      <c r="J1272">
        <v>13.52</v>
      </c>
      <c r="K1272">
        <v>189.68559999999999</v>
      </c>
      <c r="L1272" t="s">
        <v>623</v>
      </c>
      <c r="M1272">
        <v>14.03</v>
      </c>
      <c r="N1272" t="s">
        <v>3570</v>
      </c>
      <c r="O1272" t="s">
        <v>3569</v>
      </c>
    </row>
    <row r="1273" spans="1:15" x14ac:dyDescent="0.2">
      <c r="A1273">
        <v>99</v>
      </c>
      <c r="B1273" t="s">
        <v>2117</v>
      </c>
      <c r="C1273" t="s">
        <v>1288</v>
      </c>
      <c r="D1273" t="s">
        <v>835</v>
      </c>
      <c r="E1273" t="s">
        <v>3574</v>
      </c>
      <c r="F1273">
        <v>1</v>
      </c>
      <c r="G1273">
        <v>90</v>
      </c>
      <c r="H1273" t="s">
        <v>1152</v>
      </c>
      <c r="I1273" t="s">
        <v>1152</v>
      </c>
      <c r="J1273">
        <v>90</v>
      </c>
      <c r="K1273">
        <v>1262.7</v>
      </c>
      <c r="L1273" t="s">
        <v>623</v>
      </c>
      <c r="M1273">
        <v>14.03</v>
      </c>
      <c r="N1273" t="s">
        <v>3575</v>
      </c>
      <c r="O1273" t="s">
        <v>3569</v>
      </c>
    </row>
    <row r="1274" spans="1:15" x14ac:dyDescent="0.2">
      <c r="A1274">
        <v>99</v>
      </c>
      <c r="B1274" t="s">
        <v>2117</v>
      </c>
      <c r="C1274" t="s">
        <v>943</v>
      </c>
      <c r="D1274" t="s">
        <v>1383</v>
      </c>
      <c r="E1274" t="s">
        <v>3583</v>
      </c>
      <c r="F1274">
        <v>1</v>
      </c>
      <c r="G1274">
        <v>261.8</v>
      </c>
      <c r="H1274" t="s">
        <v>1819</v>
      </c>
      <c r="I1274" t="s">
        <v>1152</v>
      </c>
      <c r="J1274">
        <v>261.8</v>
      </c>
      <c r="K1274">
        <v>34819.4</v>
      </c>
      <c r="L1274" t="s">
        <v>1072</v>
      </c>
      <c r="M1274">
        <v>133</v>
      </c>
      <c r="N1274" t="s">
        <v>3584</v>
      </c>
      <c r="O1274" t="s">
        <v>3582</v>
      </c>
    </row>
    <row r="1275" spans="1:15" x14ac:dyDescent="0.2">
      <c r="A1275">
        <v>99</v>
      </c>
      <c r="B1275" t="s">
        <v>2117</v>
      </c>
      <c r="C1275" t="s">
        <v>943</v>
      </c>
      <c r="D1275" t="s">
        <v>1420</v>
      </c>
      <c r="E1275" t="s">
        <v>3580</v>
      </c>
      <c r="F1275">
        <v>1</v>
      </c>
      <c r="G1275">
        <v>673.2</v>
      </c>
      <c r="H1275" t="s">
        <v>1152</v>
      </c>
      <c r="I1275" t="s">
        <v>1152</v>
      </c>
      <c r="J1275">
        <v>673.2</v>
      </c>
      <c r="K1275">
        <v>89535.6</v>
      </c>
      <c r="L1275" t="s">
        <v>1072</v>
      </c>
      <c r="M1275">
        <v>133</v>
      </c>
      <c r="N1275" t="s">
        <v>3581</v>
      </c>
      <c r="O1275" t="s">
        <v>3582</v>
      </c>
    </row>
    <row r="1276" spans="1:15" x14ac:dyDescent="0.2">
      <c r="A1276">
        <v>99</v>
      </c>
      <c r="B1276" t="s">
        <v>2117</v>
      </c>
      <c r="C1276" t="s">
        <v>947</v>
      </c>
      <c r="D1276" t="s">
        <v>801</v>
      </c>
      <c r="E1276" t="s">
        <v>402</v>
      </c>
      <c r="F1276">
        <v>0</v>
      </c>
      <c r="G1276">
        <v>10.3</v>
      </c>
      <c r="H1276" t="s">
        <v>151</v>
      </c>
      <c r="I1276" t="s">
        <v>1152</v>
      </c>
      <c r="J1276">
        <v>0</v>
      </c>
      <c r="K1276">
        <v>0</v>
      </c>
      <c r="L1276" t="s">
        <v>1070</v>
      </c>
      <c r="M1276">
        <v>738.56</v>
      </c>
      <c r="N1276" t="s">
        <v>3589</v>
      </c>
      <c r="O1276" t="s">
        <v>3586</v>
      </c>
    </row>
    <row r="1277" spans="1:15" x14ac:dyDescent="0.2">
      <c r="A1277">
        <v>99</v>
      </c>
      <c r="B1277" t="s">
        <v>2117</v>
      </c>
      <c r="C1277" t="s">
        <v>947</v>
      </c>
      <c r="D1277" t="s">
        <v>639</v>
      </c>
      <c r="E1277" t="s">
        <v>1300</v>
      </c>
      <c r="F1277">
        <v>0.57499999999999996</v>
      </c>
      <c r="G1277">
        <v>26.4</v>
      </c>
      <c r="H1277" t="s">
        <v>1052</v>
      </c>
      <c r="I1277" t="s">
        <v>1152</v>
      </c>
      <c r="J1277">
        <v>15.18</v>
      </c>
      <c r="K1277">
        <v>11211.3408</v>
      </c>
      <c r="L1277" t="s">
        <v>1070</v>
      </c>
      <c r="M1277">
        <v>738.56</v>
      </c>
      <c r="N1277" t="s">
        <v>3587</v>
      </c>
      <c r="O1277" t="s">
        <v>3586</v>
      </c>
    </row>
    <row r="1278" spans="1:15" x14ac:dyDescent="0.2">
      <c r="A1278">
        <v>99</v>
      </c>
      <c r="B1278" t="s">
        <v>2117</v>
      </c>
      <c r="C1278" t="s">
        <v>947</v>
      </c>
      <c r="D1278" t="s">
        <v>1426</v>
      </c>
      <c r="E1278" t="s">
        <v>109</v>
      </c>
      <c r="F1278">
        <v>1.05</v>
      </c>
      <c r="G1278">
        <v>284</v>
      </c>
      <c r="H1278" t="s">
        <v>1152</v>
      </c>
      <c r="I1278" t="s">
        <v>1152</v>
      </c>
      <c r="J1278">
        <v>298.2</v>
      </c>
      <c r="K1278">
        <v>220238.592</v>
      </c>
      <c r="L1278" t="s">
        <v>1070</v>
      </c>
      <c r="M1278">
        <v>738.56</v>
      </c>
      <c r="N1278" t="s">
        <v>3585</v>
      </c>
      <c r="O1278" t="s">
        <v>3586</v>
      </c>
    </row>
    <row r="1279" spans="1:15" x14ac:dyDescent="0.2">
      <c r="A1279">
        <v>99</v>
      </c>
      <c r="B1279" t="s">
        <v>2117</v>
      </c>
      <c r="C1279" t="s">
        <v>947</v>
      </c>
      <c r="D1279" t="s">
        <v>498</v>
      </c>
      <c r="E1279" t="s">
        <v>773</v>
      </c>
      <c r="F1279">
        <v>1.2</v>
      </c>
      <c r="G1279">
        <v>0</v>
      </c>
      <c r="H1279" t="s">
        <v>84</v>
      </c>
      <c r="I1279" t="s">
        <v>1152</v>
      </c>
      <c r="J1279">
        <v>0</v>
      </c>
      <c r="K1279">
        <v>0</v>
      </c>
      <c r="L1279" t="s">
        <v>1070</v>
      </c>
      <c r="M1279">
        <v>738.56</v>
      </c>
      <c r="N1279" t="s">
        <v>3591</v>
      </c>
      <c r="O1279" t="s">
        <v>3586</v>
      </c>
    </row>
    <row r="1280" spans="1:15" x14ac:dyDescent="0.2">
      <c r="A1280">
        <v>99</v>
      </c>
      <c r="B1280" t="s">
        <v>2117</v>
      </c>
      <c r="C1280" t="s">
        <v>947</v>
      </c>
      <c r="D1280" t="s">
        <v>1016</v>
      </c>
      <c r="E1280" t="s">
        <v>746</v>
      </c>
      <c r="F1280">
        <v>0</v>
      </c>
      <c r="G1280">
        <v>18</v>
      </c>
      <c r="H1280" t="s">
        <v>151</v>
      </c>
      <c r="I1280" t="s">
        <v>1152</v>
      </c>
      <c r="J1280">
        <v>0</v>
      </c>
      <c r="K1280">
        <v>0</v>
      </c>
      <c r="L1280" t="s">
        <v>1070</v>
      </c>
      <c r="M1280">
        <v>738.56</v>
      </c>
      <c r="N1280" t="s">
        <v>3588</v>
      </c>
      <c r="O1280" t="s">
        <v>3586</v>
      </c>
    </row>
    <row r="1281" spans="1:15" x14ac:dyDescent="0.2">
      <c r="A1281">
        <v>99</v>
      </c>
      <c r="B1281" t="s">
        <v>2117</v>
      </c>
      <c r="C1281" t="s">
        <v>947</v>
      </c>
      <c r="D1281" t="s">
        <v>966</v>
      </c>
      <c r="E1281" t="s">
        <v>3415</v>
      </c>
      <c r="F1281">
        <v>1</v>
      </c>
      <c r="G1281">
        <v>80</v>
      </c>
      <c r="H1281" t="s">
        <v>1152</v>
      </c>
      <c r="I1281" t="s">
        <v>1152</v>
      </c>
      <c r="J1281">
        <v>80</v>
      </c>
      <c r="K1281">
        <v>59084.800000000003</v>
      </c>
      <c r="L1281" t="s">
        <v>1070</v>
      </c>
      <c r="M1281">
        <v>738.56</v>
      </c>
      <c r="N1281" t="s">
        <v>3590</v>
      </c>
      <c r="O1281" t="s">
        <v>3586</v>
      </c>
    </row>
    <row r="1282" spans="1:15" x14ac:dyDescent="0.2">
      <c r="A1282">
        <v>99</v>
      </c>
      <c r="B1282" t="s">
        <v>2117</v>
      </c>
      <c r="C1282" t="s">
        <v>949</v>
      </c>
      <c r="D1282" t="s">
        <v>966</v>
      </c>
      <c r="E1282" t="s">
        <v>3415</v>
      </c>
      <c r="F1282">
        <v>1</v>
      </c>
      <c r="G1282">
        <v>80</v>
      </c>
      <c r="H1282" t="s">
        <v>1152</v>
      </c>
      <c r="I1282" t="s">
        <v>1152</v>
      </c>
      <c r="J1282">
        <v>80</v>
      </c>
      <c r="K1282">
        <v>7898.4</v>
      </c>
      <c r="L1282" t="s">
        <v>1068</v>
      </c>
      <c r="M1282">
        <v>98.73</v>
      </c>
      <c r="N1282" t="s">
        <v>3597</v>
      </c>
      <c r="O1282" t="s">
        <v>3593</v>
      </c>
    </row>
    <row r="1283" spans="1:15" x14ac:dyDescent="0.2">
      <c r="A1283">
        <v>99</v>
      </c>
      <c r="B1283" t="s">
        <v>2117</v>
      </c>
      <c r="C1283" t="s">
        <v>949</v>
      </c>
      <c r="D1283" t="s">
        <v>1016</v>
      </c>
      <c r="E1283" t="s">
        <v>746</v>
      </c>
      <c r="F1283">
        <v>0</v>
      </c>
      <c r="G1283">
        <v>18</v>
      </c>
      <c r="H1283" t="s">
        <v>151</v>
      </c>
      <c r="I1283" t="s">
        <v>1152</v>
      </c>
      <c r="J1283">
        <v>0</v>
      </c>
      <c r="K1283">
        <v>0</v>
      </c>
      <c r="L1283" t="s">
        <v>1068</v>
      </c>
      <c r="M1283">
        <v>98.73</v>
      </c>
      <c r="N1283" t="s">
        <v>3595</v>
      </c>
      <c r="O1283" t="s">
        <v>3593</v>
      </c>
    </row>
    <row r="1284" spans="1:15" x14ac:dyDescent="0.2">
      <c r="A1284">
        <v>99</v>
      </c>
      <c r="B1284" t="s">
        <v>2117</v>
      </c>
      <c r="C1284" t="s">
        <v>949</v>
      </c>
      <c r="D1284" t="s">
        <v>498</v>
      </c>
      <c r="E1284" t="s">
        <v>773</v>
      </c>
      <c r="F1284">
        <v>1.2</v>
      </c>
      <c r="G1284">
        <v>0</v>
      </c>
      <c r="H1284" t="s">
        <v>84</v>
      </c>
      <c r="I1284" t="s">
        <v>1152</v>
      </c>
      <c r="J1284">
        <v>0</v>
      </c>
      <c r="K1284">
        <v>0</v>
      </c>
      <c r="L1284" t="s">
        <v>1068</v>
      </c>
      <c r="M1284">
        <v>98.73</v>
      </c>
      <c r="N1284" t="s">
        <v>3598</v>
      </c>
      <c r="O1284" t="s">
        <v>3593</v>
      </c>
    </row>
    <row r="1285" spans="1:15" x14ac:dyDescent="0.2">
      <c r="A1285">
        <v>99</v>
      </c>
      <c r="B1285" t="s">
        <v>2117</v>
      </c>
      <c r="C1285" t="s">
        <v>949</v>
      </c>
      <c r="D1285" t="s">
        <v>1426</v>
      </c>
      <c r="E1285" t="s">
        <v>109</v>
      </c>
      <c r="F1285">
        <v>1.05</v>
      </c>
      <c r="G1285">
        <v>284</v>
      </c>
      <c r="H1285" t="s">
        <v>1152</v>
      </c>
      <c r="I1285" t="s">
        <v>1152</v>
      </c>
      <c r="J1285">
        <v>298.2</v>
      </c>
      <c r="K1285">
        <v>29441.286</v>
      </c>
      <c r="L1285" t="s">
        <v>1068</v>
      </c>
      <c r="M1285">
        <v>98.73</v>
      </c>
      <c r="N1285" t="s">
        <v>3592</v>
      </c>
      <c r="O1285" t="s">
        <v>3593</v>
      </c>
    </row>
    <row r="1286" spans="1:15" x14ac:dyDescent="0.2">
      <c r="A1286">
        <v>99</v>
      </c>
      <c r="B1286" t="s">
        <v>2117</v>
      </c>
      <c r="C1286" t="s">
        <v>949</v>
      </c>
      <c r="D1286" t="s">
        <v>639</v>
      </c>
      <c r="E1286" t="s">
        <v>1300</v>
      </c>
      <c r="F1286">
        <v>0.57499999999999996</v>
      </c>
      <c r="G1286">
        <v>26.4</v>
      </c>
      <c r="H1286" t="s">
        <v>1052</v>
      </c>
      <c r="I1286" t="s">
        <v>1152</v>
      </c>
      <c r="J1286">
        <v>15.18</v>
      </c>
      <c r="K1286">
        <v>1498.7213999999999</v>
      </c>
      <c r="L1286" t="s">
        <v>1068</v>
      </c>
      <c r="M1286">
        <v>98.73</v>
      </c>
      <c r="N1286" t="s">
        <v>3594</v>
      </c>
      <c r="O1286" t="s">
        <v>3593</v>
      </c>
    </row>
    <row r="1287" spans="1:15" x14ac:dyDescent="0.2">
      <c r="A1287">
        <v>99</v>
      </c>
      <c r="B1287" t="s">
        <v>2117</v>
      </c>
      <c r="C1287" t="s">
        <v>949</v>
      </c>
      <c r="D1287" t="s">
        <v>801</v>
      </c>
      <c r="E1287" t="s">
        <v>402</v>
      </c>
      <c r="F1287">
        <v>0</v>
      </c>
      <c r="G1287">
        <v>10.3</v>
      </c>
      <c r="H1287" t="s">
        <v>151</v>
      </c>
      <c r="I1287" t="s">
        <v>1152</v>
      </c>
      <c r="J1287">
        <v>0</v>
      </c>
      <c r="K1287">
        <v>0</v>
      </c>
      <c r="L1287" t="s">
        <v>1068</v>
      </c>
      <c r="M1287">
        <v>98.73</v>
      </c>
      <c r="N1287" t="s">
        <v>3596</v>
      </c>
      <c r="O1287" t="s">
        <v>3593</v>
      </c>
    </row>
    <row r="1288" spans="1:15" x14ac:dyDescent="0.2">
      <c r="A1288">
        <v>99</v>
      </c>
      <c r="B1288" t="s">
        <v>2117</v>
      </c>
      <c r="C1288" t="s">
        <v>868</v>
      </c>
      <c r="D1288" t="s">
        <v>801</v>
      </c>
      <c r="E1288" t="s">
        <v>402</v>
      </c>
      <c r="F1288">
        <v>0</v>
      </c>
      <c r="G1288">
        <v>10.3</v>
      </c>
      <c r="H1288" t="s">
        <v>151</v>
      </c>
      <c r="I1288" t="s">
        <v>1152</v>
      </c>
      <c r="J1288">
        <v>0</v>
      </c>
      <c r="K1288">
        <v>0</v>
      </c>
      <c r="L1288" t="s">
        <v>527</v>
      </c>
      <c r="M1288">
        <v>271.85000000000002</v>
      </c>
      <c r="N1288" t="s">
        <v>3604</v>
      </c>
      <c r="O1288" t="s">
        <v>3600</v>
      </c>
    </row>
    <row r="1289" spans="1:15" x14ac:dyDescent="0.2">
      <c r="A1289">
        <v>99</v>
      </c>
      <c r="B1289" t="s">
        <v>2117</v>
      </c>
      <c r="C1289" t="s">
        <v>868</v>
      </c>
      <c r="D1289" t="s">
        <v>853</v>
      </c>
      <c r="E1289" t="s">
        <v>980</v>
      </c>
      <c r="F1289">
        <v>9.1300000000000008</v>
      </c>
      <c r="G1289">
        <v>0.9</v>
      </c>
      <c r="H1289" t="s">
        <v>1052</v>
      </c>
      <c r="I1289" t="s">
        <v>1152</v>
      </c>
      <c r="J1289">
        <v>8.2170000000000005</v>
      </c>
      <c r="K1289">
        <v>2233.7914500000002</v>
      </c>
      <c r="L1289" t="s">
        <v>527</v>
      </c>
      <c r="M1289">
        <v>271.85000000000002</v>
      </c>
      <c r="N1289" t="s">
        <v>3599</v>
      </c>
      <c r="O1289" t="s">
        <v>3600</v>
      </c>
    </row>
    <row r="1290" spans="1:15" x14ac:dyDescent="0.2">
      <c r="A1290">
        <v>99</v>
      </c>
      <c r="B1290" t="s">
        <v>2117</v>
      </c>
      <c r="C1290" t="s">
        <v>868</v>
      </c>
      <c r="D1290" t="s">
        <v>1006</v>
      </c>
      <c r="E1290" t="s">
        <v>699</v>
      </c>
      <c r="F1290">
        <v>0</v>
      </c>
      <c r="G1290">
        <v>28.988</v>
      </c>
      <c r="H1290" t="s">
        <v>151</v>
      </c>
      <c r="I1290" t="s">
        <v>1152</v>
      </c>
      <c r="J1290">
        <v>0</v>
      </c>
      <c r="K1290">
        <v>0</v>
      </c>
      <c r="L1290" t="s">
        <v>527</v>
      </c>
      <c r="M1290">
        <v>271.85000000000002</v>
      </c>
      <c r="N1290" t="s">
        <v>3603</v>
      </c>
      <c r="O1290" t="s">
        <v>3600</v>
      </c>
    </row>
    <row r="1291" spans="1:15" x14ac:dyDescent="0.2">
      <c r="A1291">
        <v>99</v>
      </c>
      <c r="B1291" t="s">
        <v>2117</v>
      </c>
      <c r="C1291" t="s">
        <v>868</v>
      </c>
      <c r="D1291" t="s">
        <v>838</v>
      </c>
      <c r="E1291" t="s">
        <v>3419</v>
      </c>
      <c r="F1291">
        <v>1</v>
      </c>
      <c r="G1291">
        <v>90</v>
      </c>
      <c r="H1291" t="s">
        <v>1152</v>
      </c>
      <c r="I1291" t="s">
        <v>1152</v>
      </c>
      <c r="J1291">
        <v>90</v>
      </c>
      <c r="K1291">
        <v>24466.5</v>
      </c>
      <c r="L1291" t="s">
        <v>527</v>
      </c>
      <c r="M1291">
        <v>271.85000000000002</v>
      </c>
      <c r="N1291" t="s">
        <v>3606</v>
      </c>
      <c r="O1291" t="s">
        <v>3600</v>
      </c>
    </row>
    <row r="1292" spans="1:15" x14ac:dyDescent="0.2">
      <c r="A1292">
        <v>99</v>
      </c>
      <c r="B1292" t="s">
        <v>2117</v>
      </c>
      <c r="C1292" t="s">
        <v>868</v>
      </c>
      <c r="D1292" t="s">
        <v>824</v>
      </c>
      <c r="E1292" t="s">
        <v>3418</v>
      </c>
      <c r="F1292">
        <v>1.1000000000000001</v>
      </c>
      <c r="G1292">
        <v>25</v>
      </c>
      <c r="H1292" t="s">
        <v>1152</v>
      </c>
      <c r="I1292" t="s">
        <v>1152</v>
      </c>
      <c r="J1292">
        <v>27.5</v>
      </c>
      <c r="K1292">
        <v>7475.875</v>
      </c>
      <c r="L1292" t="s">
        <v>527</v>
      </c>
      <c r="M1292">
        <v>271.85000000000002</v>
      </c>
      <c r="N1292" t="s">
        <v>3605</v>
      </c>
      <c r="O1292" t="s">
        <v>3600</v>
      </c>
    </row>
    <row r="1293" spans="1:15" x14ac:dyDescent="0.2">
      <c r="A1293">
        <v>99</v>
      </c>
      <c r="B1293" t="s">
        <v>2117</v>
      </c>
      <c r="C1293" t="s">
        <v>868</v>
      </c>
      <c r="D1293" t="s">
        <v>1694</v>
      </c>
      <c r="E1293" t="s">
        <v>1216</v>
      </c>
      <c r="F1293">
        <v>1.1000000000000001</v>
      </c>
      <c r="G1293">
        <v>370</v>
      </c>
      <c r="H1293" t="s">
        <v>1152</v>
      </c>
      <c r="I1293" t="s">
        <v>1152</v>
      </c>
      <c r="J1293">
        <v>407</v>
      </c>
      <c r="K1293">
        <v>110642.95</v>
      </c>
      <c r="L1293" t="s">
        <v>527</v>
      </c>
      <c r="M1293">
        <v>271.85000000000002</v>
      </c>
      <c r="N1293" t="s">
        <v>3602</v>
      </c>
      <c r="O1293" t="s">
        <v>3600</v>
      </c>
    </row>
    <row r="1294" spans="1:15" x14ac:dyDescent="0.2">
      <c r="A1294">
        <v>99</v>
      </c>
      <c r="B1294" t="s">
        <v>2117</v>
      </c>
      <c r="C1294" t="s">
        <v>868</v>
      </c>
      <c r="D1294" t="s">
        <v>706</v>
      </c>
      <c r="E1294" t="s">
        <v>130</v>
      </c>
      <c r="F1294">
        <v>0.14000000000000001</v>
      </c>
      <c r="G1294">
        <v>8</v>
      </c>
      <c r="H1294" t="s">
        <v>1052</v>
      </c>
      <c r="I1294" t="s">
        <v>1152</v>
      </c>
      <c r="J1294">
        <v>1.1200000000000001</v>
      </c>
      <c r="K1294">
        <v>304.47199999999998</v>
      </c>
      <c r="L1294" t="s">
        <v>527</v>
      </c>
      <c r="M1294">
        <v>271.85000000000002</v>
      </c>
      <c r="N1294" t="s">
        <v>3601</v>
      </c>
      <c r="O1294" t="s">
        <v>3600</v>
      </c>
    </row>
    <row r="1295" spans="1:15" x14ac:dyDescent="0.2">
      <c r="A1295">
        <v>99</v>
      </c>
      <c r="B1295" t="s">
        <v>2117</v>
      </c>
      <c r="C1295" t="s">
        <v>868</v>
      </c>
      <c r="D1295" t="s">
        <v>498</v>
      </c>
      <c r="E1295" t="s">
        <v>773</v>
      </c>
      <c r="F1295">
        <v>1.2</v>
      </c>
      <c r="G1295">
        <v>0</v>
      </c>
      <c r="H1295" t="s">
        <v>84</v>
      </c>
      <c r="I1295" t="s">
        <v>1152</v>
      </c>
      <c r="J1295">
        <v>0</v>
      </c>
      <c r="K1295">
        <v>0</v>
      </c>
      <c r="L1295" t="s">
        <v>527</v>
      </c>
      <c r="M1295">
        <v>271.85000000000002</v>
      </c>
      <c r="N1295" t="s">
        <v>3608</v>
      </c>
      <c r="O1295" t="s">
        <v>3600</v>
      </c>
    </row>
    <row r="1296" spans="1:15" x14ac:dyDescent="0.2">
      <c r="A1296">
        <v>99</v>
      </c>
      <c r="B1296" t="s">
        <v>2117</v>
      </c>
      <c r="C1296" t="s">
        <v>868</v>
      </c>
      <c r="D1296" t="s">
        <v>903</v>
      </c>
      <c r="E1296" t="s">
        <v>864</v>
      </c>
      <c r="F1296">
        <v>1</v>
      </c>
      <c r="G1296">
        <v>3.5</v>
      </c>
      <c r="H1296" t="s">
        <v>1152</v>
      </c>
      <c r="I1296" t="s">
        <v>1152</v>
      </c>
      <c r="J1296">
        <v>3.5</v>
      </c>
      <c r="K1296">
        <v>951.47500000000002</v>
      </c>
      <c r="L1296" t="s">
        <v>527</v>
      </c>
      <c r="M1296">
        <v>271.85000000000002</v>
      </c>
      <c r="N1296" t="s">
        <v>3607</v>
      </c>
      <c r="O1296" t="s">
        <v>3600</v>
      </c>
    </row>
    <row r="1297" spans="1:15" x14ac:dyDescent="0.2">
      <c r="A1297">
        <v>99</v>
      </c>
      <c r="B1297" t="s">
        <v>2117</v>
      </c>
      <c r="C1297" t="s">
        <v>868</v>
      </c>
      <c r="D1297" t="s">
        <v>946</v>
      </c>
      <c r="E1297" t="s">
        <v>1695</v>
      </c>
      <c r="F1297">
        <v>1.1000000000000001</v>
      </c>
      <c r="G1297">
        <v>40</v>
      </c>
      <c r="H1297" t="s">
        <v>1819</v>
      </c>
      <c r="I1297" t="s">
        <v>1152</v>
      </c>
      <c r="J1297">
        <v>44</v>
      </c>
      <c r="K1297">
        <v>11961.4</v>
      </c>
      <c r="L1297" t="s">
        <v>527</v>
      </c>
      <c r="M1297">
        <v>271.85000000000002</v>
      </c>
      <c r="N1297" t="s">
        <v>3609</v>
      </c>
      <c r="O1297" t="s">
        <v>3600</v>
      </c>
    </row>
    <row r="1298" spans="1:15" x14ac:dyDescent="0.2">
      <c r="A1298">
        <v>99</v>
      </c>
      <c r="B1298" t="s">
        <v>2117</v>
      </c>
      <c r="C1298" t="s">
        <v>5005</v>
      </c>
      <c r="D1298" t="s">
        <v>946</v>
      </c>
      <c r="E1298" t="s">
        <v>1695</v>
      </c>
      <c r="F1298">
        <v>1.1000000000000001</v>
      </c>
      <c r="G1298">
        <v>40</v>
      </c>
      <c r="H1298" t="s">
        <v>1819</v>
      </c>
      <c r="I1298" t="s">
        <v>1152</v>
      </c>
      <c r="J1298">
        <v>44</v>
      </c>
      <c r="K1298">
        <v>55733.919999999998</v>
      </c>
      <c r="L1298" t="s">
        <v>528</v>
      </c>
      <c r="M1298">
        <v>1266.68</v>
      </c>
      <c r="N1298" t="s">
        <v>5006</v>
      </c>
      <c r="O1298" t="s">
        <v>5007</v>
      </c>
    </row>
    <row r="1299" spans="1:15" x14ac:dyDescent="0.2">
      <c r="A1299">
        <v>99</v>
      </c>
      <c r="B1299" t="s">
        <v>2117</v>
      </c>
      <c r="C1299" t="s">
        <v>5005</v>
      </c>
      <c r="D1299" t="s">
        <v>903</v>
      </c>
      <c r="E1299" t="s">
        <v>864</v>
      </c>
      <c r="F1299">
        <v>1</v>
      </c>
      <c r="G1299">
        <v>3.5</v>
      </c>
      <c r="H1299" t="s">
        <v>1152</v>
      </c>
      <c r="I1299" t="s">
        <v>1152</v>
      </c>
      <c r="J1299">
        <v>3.5</v>
      </c>
      <c r="K1299">
        <v>4433.38</v>
      </c>
      <c r="L1299" t="s">
        <v>528</v>
      </c>
      <c r="M1299">
        <v>1266.68</v>
      </c>
      <c r="N1299" t="s">
        <v>5008</v>
      </c>
      <c r="O1299" t="s">
        <v>5007</v>
      </c>
    </row>
    <row r="1300" spans="1:15" x14ac:dyDescent="0.2">
      <c r="A1300">
        <v>99</v>
      </c>
      <c r="B1300" t="s">
        <v>2117</v>
      </c>
      <c r="C1300" t="s">
        <v>5005</v>
      </c>
      <c r="D1300" t="s">
        <v>498</v>
      </c>
      <c r="E1300" t="s">
        <v>773</v>
      </c>
      <c r="F1300">
        <v>1.2</v>
      </c>
      <c r="G1300">
        <v>0</v>
      </c>
      <c r="H1300" t="s">
        <v>84</v>
      </c>
      <c r="I1300" t="s">
        <v>1152</v>
      </c>
      <c r="J1300">
        <v>0</v>
      </c>
      <c r="K1300">
        <v>0</v>
      </c>
      <c r="L1300" t="s">
        <v>528</v>
      </c>
      <c r="M1300">
        <v>1266.68</v>
      </c>
      <c r="N1300" t="s">
        <v>5009</v>
      </c>
      <c r="O1300" t="s">
        <v>5007</v>
      </c>
    </row>
    <row r="1301" spans="1:15" x14ac:dyDescent="0.2">
      <c r="A1301">
        <v>99</v>
      </c>
      <c r="B1301" t="s">
        <v>2117</v>
      </c>
      <c r="C1301" t="s">
        <v>5005</v>
      </c>
      <c r="D1301" t="s">
        <v>706</v>
      </c>
      <c r="E1301" t="s">
        <v>130</v>
      </c>
      <c r="F1301">
        <v>0.14000000000000001</v>
      </c>
      <c r="G1301">
        <v>8</v>
      </c>
      <c r="H1301" t="s">
        <v>1052</v>
      </c>
      <c r="I1301" t="s">
        <v>1152</v>
      </c>
      <c r="J1301">
        <v>1.1200000000000001</v>
      </c>
      <c r="K1301">
        <v>1418.6815999999999</v>
      </c>
      <c r="L1301" t="s">
        <v>528</v>
      </c>
      <c r="M1301">
        <v>1266.68</v>
      </c>
      <c r="N1301" t="s">
        <v>5010</v>
      </c>
      <c r="O1301" t="s">
        <v>5007</v>
      </c>
    </row>
    <row r="1302" spans="1:15" x14ac:dyDescent="0.2">
      <c r="A1302">
        <v>99</v>
      </c>
      <c r="B1302" t="s">
        <v>2117</v>
      </c>
      <c r="C1302" t="s">
        <v>5005</v>
      </c>
      <c r="D1302" t="s">
        <v>824</v>
      </c>
      <c r="E1302" t="s">
        <v>3418</v>
      </c>
      <c r="F1302">
        <v>1.1000000000000001</v>
      </c>
      <c r="G1302">
        <v>25</v>
      </c>
      <c r="H1302" t="s">
        <v>1152</v>
      </c>
      <c r="I1302" t="s">
        <v>1152</v>
      </c>
      <c r="J1302">
        <v>27.5</v>
      </c>
      <c r="K1302">
        <v>34833.699999999997</v>
      </c>
      <c r="L1302" t="s">
        <v>528</v>
      </c>
      <c r="M1302">
        <v>1266.68</v>
      </c>
      <c r="N1302" t="s">
        <v>5011</v>
      </c>
      <c r="O1302" t="s">
        <v>5007</v>
      </c>
    </row>
    <row r="1303" spans="1:15" x14ac:dyDescent="0.2">
      <c r="A1303">
        <v>99</v>
      </c>
      <c r="B1303" t="s">
        <v>2117</v>
      </c>
      <c r="C1303" t="s">
        <v>5005</v>
      </c>
      <c r="D1303" t="s">
        <v>838</v>
      </c>
      <c r="E1303" t="s">
        <v>3419</v>
      </c>
      <c r="F1303">
        <v>1</v>
      </c>
      <c r="G1303">
        <v>90</v>
      </c>
      <c r="H1303" t="s">
        <v>1152</v>
      </c>
      <c r="I1303" t="s">
        <v>1152</v>
      </c>
      <c r="J1303">
        <v>90</v>
      </c>
      <c r="K1303">
        <v>114001.2</v>
      </c>
      <c r="L1303" t="s">
        <v>528</v>
      </c>
      <c r="M1303">
        <v>1266.68</v>
      </c>
      <c r="N1303" t="s">
        <v>5012</v>
      </c>
      <c r="O1303" t="s">
        <v>5007</v>
      </c>
    </row>
    <row r="1304" spans="1:15" x14ac:dyDescent="0.2">
      <c r="A1304">
        <v>99</v>
      </c>
      <c r="B1304" t="s">
        <v>2117</v>
      </c>
      <c r="C1304" t="s">
        <v>5005</v>
      </c>
      <c r="D1304" t="s">
        <v>1006</v>
      </c>
      <c r="E1304" t="s">
        <v>699</v>
      </c>
      <c r="F1304">
        <v>0</v>
      </c>
      <c r="G1304">
        <v>28.988</v>
      </c>
      <c r="H1304" t="s">
        <v>151</v>
      </c>
      <c r="I1304" t="s">
        <v>1152</v>
      </c>
      <c r="J1304">
        <v>0</v>
      </c>
      <c r="K1304">
        <v>0</v>
      </c>
      <c r="L1304" t="s">
        <v>528</v>
      </c>
      <c r="M1304">
        <v>1266.68</v>
      </c>
      <c r="N1304" t="s">
        <v>5013</v>
      </c>
      <c r="O1304" t="s">
        <v>5007</v>
      </c>
    </row>
    <row r="1305" spans="1:15" x14ac:dyDescent="0.2">
      <c r="A1305">
        <v>99</v>
      </c>
      <c r="B1305" t="s">
        <v>2117</v>
      </c>
      <c r="C1305" t="s">
        <v>5005</v>
      </c>
      <c r="D1305" t="s">
        <v>1706</v>
      </c>
      <c r="E1305" t="s">
        <v>1502</v>
      </c>
      <c r="F1305">
        <v>1.1000000000000001</v>
      </c>
      <c r="G1305">
        <v>680</v>
      </c>
      <c r="H1305" t="s">
        <v>1152</v>
      </c>
      <c r="I1305" t="s">
        <v>1152</v>
      </c>
      <c r="J1305">
        <v>748</v>
      </c>
      <c r="K1305">
        <v>947476.64</v>
      </c>
      <c r="L1305" t="s">
        <v>528</v>
      </c>
      <c r="M1305">
        <v>1266.68</v>
      </c>
      <c r="N1305" t="s">
        <v>5014</v>
      </c>
      <c r="O1305" t="s">
        <v>5007</v>
      </c>
    </row>
    <row r="1306" spans="1:15" x14ac:dyDescent="0.2">
      <c r="A1306">
        <v>99</v>
      </c>
      <c r="B1306" t="s">
        <v>2117</v>
      </c>
      <c r="C1306" t="s">
        <v>5005</v>
      </c>
      <c r="D1306" t="s">
        <v>853</v>
      </c>
      <c r="E1306" t="s">
        <v>980</v>
      </c>
      <c r="F1306">
        <v>9.1300000000000008</v>
      </c>
      <c r="G1306">
        <v>0.9</v>
      </c>
      <c r="H1306" t="s">
        <v>1052</v>
      </c>
      <c r="I1306" t="s">
        <v>1152</v>
      </c>
      <c r="J1306">
        <v>8.2170000000000005</v>
      </c>
      <c r="K1306">
        <v>10408.30956</v>
      </c>
      <c r="L1306" t="s">
        <v>528</v>
      </c>
      <c r="M1306">
        <v>1266.68</v>
      </c>
      <c r="N1306" t="s">
        <v>5015</v>
      </c>
      <c r="O1306" t="s">
        <v>5007</v>
      </c>
    </row>
    <row r="1307" spans="1:15" x14ac:dyDescent="0.2">
      <c r="A1307">
        <v>99</v>
      </c>
      <c r="B1307" t="s">
        <v>2117</v>
      </c>
      <c r="C1307" t="s">
        <v>5005</v>
      </c>
      <c r="D1307" t="s">
        <v>801</v>
      </c>
      <c r="E1307" t="s">
        <v>402</v>
      </c>
      <c r="F1307">
        <v>0</v>
      </c>
      <c r="G1307">
        <v>10.3</v>
      </c>
      <c r="H1307" t="s">
        <v>151</v>
      </c>
      <c r="I1307" t="s">
        <v>1152</v>
      </c>
      <c r="J1307">
        <v>0</v>
      </c>
      <c r="K1307">
        <v>0</v>
      </c>
      <c r="L1307" t="s">
        <v>528</v>
      </c>
      <c r="M1307">
        <v>1266.68</v>
      </c>
      <c r="N1307" t="s">
        <v>5016</v>
      </c>
      <c r="O1307" t="s">
        <v>5007</v>
      </c>
    </row>
    <row r="1308" spans="1:15" x14ac:dyDescent="0.2">
      <c r="A1308">
        <v>99</v>
      </c>
      <c r="B1308" t="s">
        <v>2117</v>
      </c>
      <c r="C1308" t="s">
        <v>1015</v>
      </c>
      <c r="D1308" t="s">
        <v>801</v>
      </c>
      <c r="E1308" t="s">
        <v>402</v>
      </c>
      <c r="F1308">
        <v>0</v>
      </c>
      <c r="G1308">
        <v>10.3</v>
      </c>
      <c r="H1308" t="s">
        <v>151</v>
      </c>
      <c r="I1308" t="s">
        <v>1152</v>
      </c>
      <c r="J1308">
        <v>0</v>
      </c>
      <c r="K1308">
        <v>0</v>
      </c>
      <c r="L1308" t="s">
        <v>524</v>
      </c>
      <c r="M1308">
        <v>7486.53</v>
      </c>
      <c r="N1308" t="s">
        <v>3614</v>
      </c>
      <c r="O1308" t="s">
        <v>3611</v>
      </c>
    </row>
    <row r="1309" spans="1:15" x14ac:dyDescent="0.2">
      <c r="A1309">
        <v>99</v>
      </c>
      <c r="B1309" t="s">
        <v>2117</v>
      </c>
      <c r="C1309" t="s">
        <v>1015</v>
      </c>
      <c r="D1309" t="s">
        <v>498</v>
      </c>
      <c r="E1309" t="s">
        <v>773</v>
      </c>
      <c r="F1309">
        <v>1.2</v>
      </c>
      <c r="G1309">
        <v>0</v>
      </c>
      <c r="H1309" t="s">
        <v>84</v>
      </c>
      <c r="I1309" t="s">
        <v>1152</v>
      </c>
      <c r="J1309">
        <v>0</v>
      </c>
      <c r="K1309">
        <v>0</v>
      </c>
      <c r="L1309" t="s">
        <v>524</v>
      </c>
      <c r="M1309">
        <v>7486.53</v>
      </c>
      <c r="N1309" t="s">
        <v>3617</v>
      </c>
      <c r="O1309" t="s">
        <v>3611</v>
      </c>
    </row>
    <row r="1310" spans="1:15" x14ac:dyDescent="0.2">
      <c r="A1310">
        <v>99</v>
      </c>
      <c r="B1310" t="s">
        <v>2117</v>
      </c>
      <c r="C1310" t="s">
        <v>1015</v>
      </c>
      <c r="D1310" t="s">
        <v>1006</v>
      </c>
      <c r="E1310" t="s">
        <v>699</v>
      </c>
      <c r="F1310">
        <v>0</v>
      </c>
      <c r="G1310">
        <v>28.988</v>
      </c>
      <c r="H1310" t="s">
        <v>151</v>
      </c>
      <c r="I1310" t="s">
        <v>1152</v>
      </c>
      <c r="J1310">
        <v>0</v>
      </c>
      <c r="K1310">
        <v>0</v>
      </c>
      <c r="L1310" t="s">
        <v>524</v>
      </c>
      <c r="M1310">
        <v>7486.53</v>
      </c>
      <c r="N1310" t="s">
        <v>3613</v>
      </c>
      <c r="O1310" t="s">
        <v>3611</v>
      </c>
    </row>
    <row r="1311" spans="1:15" x14ac:dyDescent="0.2">
      <c r="A1311">
        <v>99</v>
      </c>
      <c r="B1311" t="s">
        <v>2117</v>
      </c>
      <c r="C1311" t="s">
        <v>1015</v>
      </c>
      <c r="D1311" t="s">
        <v>857</v>
      </c>
      <c r="E1311" t="s">
        <v>601</v>
      </c>
      <c r="F1311">
        <v>9.1300000000000008</v>
      </c>
      <c r="G1311">
        <v>0.9</v>
      </c>
      <c r="H1311" t="s">
        <v>1052</v>
      </c>
      <c r="I1311" t="s">
        <v>1152</v>
      </c>
      <c r="J1311">
        <v>8.2170000000000005</v>
      </c>
      <c r="K1311">
        <v>61516.817009999999</v>
      </c>
      <c r="L1311" t="s">
        <v>524</v>
      </c>
      <c r="M1311">
        <v>7486.53</v>
      </c>
      <c r="N1311" t="s">
        <v>3610</v>
      </c>
      <c r="O1311" t="s">
        <v>3611</v>
      </c>
    </row>
    <row r="1312" spans="1:15" x14ac:dyDescent="0.2">
      <c r="A1312">
        <v>99</v>
      </c>
      <c r="B1312" t="s">
        <v>2117</v>
      </c>
      <c r="C1312" t="s">
        <v>1015</v>
      </c>
      <c r="D1312" t="s">
        <v>946</v>
      </c>
      <c r="E1312" t="s">
        <v>1695</v>
      </c>
      <c r="F1312">
        <v>1.1000000000000001</v>
      </c>
      <c r="G1312">
        <v>40</v>
      </c>
      <c r="H1312" t="s">
        <v>1819</v>
      </c>
      <c r="I1312" t="s">
        <v>1152</v>
      </c>
      <c r="J1312">
        <v>44</v>
      </c>
      <c r="K1312">
        <v>329407.32</v>
      </c>
      <c r="L1312" t="s">
        <v>524</v>
      </c>
      <c r="M1312">
        <v>7486.53</v>
      </c>
      <c r="N1312" t="s">
        <v>3618</v>
      </c>
      <c r="O1312" t="s">
        <v>3611</v>
      </c>
    </row>
    <row r="1313" spans="1:15" x14ac:dyDescent="0.2">
      <c r="A1313">
        <v>99</v>
      </c>
      <c r="B1313" t="s">
        <v>2117</v>
      </c>
      <c r="C1313" t="s">
        <v>1015</v>
      </c>
      <c r="D1313" t="s">
        <v>1829</v>
      </c>
      <c r="E1313" t="s">
        <v>88</v>
      </c>
      <c r="F1313">
        <v>1.1000000000000001</v>
      </c>
      <c r="G1313">
        <v>192</v>
      </c>
      <c r="H1313" t="s">
        <v>1152</v>
      </c>
      <c r="I1313" t="s">
        <v>1152</v>
      </c>
      <c r="J1313">
        <v>211.2</v>
      </c>
      <c r="K1313">
        <v>1581155.1359999999</v>
      </c>
      <c r="L1313" t="s">
        <v>524</v>
      </c>
      <c r="M1313">
        <v>7486.53</v>
      </c>
      <c r="N1313" t="s">
        <v>3612</v>
      </c>
      <c r="O1313" t="s">
        <v>3611</v>
      </c>
    </row>
    <row r="1314" spans="1:15" x14ac:dyDescent="0.2">
      <c r="A1314">
        <v>99</v>
      </c>
      <c r="B1314" t="s">
        <v>2117</v>
      </c>
      <c r="C1314" t="s">
        <v>1015</v>
      </c>
      <c r="D1314" t="s">
        <v>908</v>
      </c>
      <c r="E1314" t="s">
        <v>3615</v>
      </c>
      <c r="F1314">
        <v>1</v>
      </c>
      <c r="G1314">
        <v>280</v>
      </c>
      <c r="H1314" t="s">
        <v>1152</v>
      </c>
      <c r="I1314" t="s">
        <v>1152</v>
      </c>
      <c r="J1314">
        <v>280</v>
      </c>
      <c r="K1314">
        <v>2096228.4</v>
      </c>
      <c r="L1314" t="s">
        <v>524</v>
      </c>
      <c r="M1314">
        <v>7486.53</v>
      </c>
      <c r="N1314" t="s">
        <v>3616</v>
      </c>
      <c r="O1314" t="s">
        <v>3611</v>
      </c>
    </row>
    <row r="1315" spans="1:15" x14ac:dyDescent="0.2">
      <c r="A1315">
        <v>99</v>
      </c>
      <c r="B1315" t="s">
        <v>2117</v>
      </c>
      <c r="C1315" t="s">
        <v>1104</v>
      </c>
      <c r="D1315" t="s">
        <v>983</v>
      </c>
      <c r="E1315" t="s">
        <v>3621</v>
      </c>
      <c r="F1315">
        <v>1</v>
      </c>
      <c r="G1315">
        <v>90</v>
      </c>
      <c r="H1315" t="s">
        <v>1152</v>
      </c>
      <c r="I1315" t="s">
        <v>1152</v>
      </c>
      <c r="J1315">
        <v>90</v>
      </c>
      <c r="K1315">
        <v>5994</v>
      </c>
      <c r="L1315" t="s">
        <v>883</v>
      </c>
      <c r="M1315">
        <v>66.599999999999994</v>
      </c>
      <c r="N1315" t="s">
        <v>3622</v>
      </c>
      <c r="O1315" t="s">
        <v>3620</v>
      </c>
    </row>
    <row r="1316" spans="1:15" x14ac:dyDescent="0.2">
      <c r="A1316">
        <v>99</v>
      </c>
      <c r="B1316" t="s">
        <v>2117</v>
      </c>
      <c r="C1316" t="s">
        <v>1104</v>
      </c>
      <c r="D1316" t="s">
        <v>946</v>
      </c>
      <c r="E1316" t="s">
        <v>1695</v>
      </c>
      <c r="F1316">
        <v>1.1000000000000001</v>
      </c>
      <c r="G1316">
        <v>40</v>
      </c>
      <c r="H1316" t="s">
        <v>1819</v>
      </c>
      <c r="I1316" t="s">
        <v>1152</v>
      </c>
      <c r="J1316">
        <v>44</v>
      </c>
      <c r="K1316">
        <v>2930.4</v>
      </c>
      <c r="L1316" t="s">
        <v>883</v>
      </c>
      <c r="M1316">
        <v>66.599999999999994</v>
      </c>
      <c r="N1316" t="s">
        <v>3624</v>
      </c>
      <c r="O1316" t="s">
        <v>3620</v>
      </c>
    </row>
    <row r="1317" spans="1:15" x14ac:dyDescent="0.2">
      <c r="A1317">
        <v>99</v>
      </c>
      <c r="B1317" t="s">
        <v>2117</v>
      </c>
      <c r="C1317" t="s">
        <v>1104</v>
      </c>
      <c r="D1317" t="s">
        <v>1700</v>
      </c>
      <c r="E1317" t="s">
        <v>223</v>
      </c>
      <c r="F1317">
        <v>1.1000000000000001</v>
      </c>
      <c r="G1317">
        <v>890</v>
      </c>
      <c r="H1317" t="s">
        <v>1152</v>
      </c>
      <c r="I1317" t="s">
        <v>1152</v>
      </c>
      <c r="J1317">
        <v>979</v>
      </c>
      <c r="K1317">
        <v>65201.4</v>
      </c>
      <c r="L1317" t="s">
        <v>883</v>
      </c>
      <c r="M1317">
        <v>66.599999999999994</v>
      </c>
      <c r="N1317" t="s">
        <v>3626</v>
      </c>
      <c r="O1317" t="s">
        <v>3620</v>
      </c>
    </row>
    <row r="1318" spans="1:15" x14ac:dyDescent="0.2">
      <c r="A1318">
        <v>99</v>
      </c>
      <c r="B1318" t="s">
        <v>2117</v>
      </c>
      <c r="C1318" t="s">
        <v>1104</v>
      </c>
      <c r="D1318" t="s">
        <v>903</v>
      </c>
      <c r="E1318" t="s">
        <v>864</v>
      </c>
      <c r="F1318">
        <v>1</v>
      </c>
      <c r="G1318">
        <v>3.5</v>
      </c>
      <c r="H1318" t="s">
        <v>1152</v>
      </c>
      <c r="I1318" t="s">
        <v>1152</v>
      </c>
      <c r="J1318">
        <v>3.5</v>
      </c>
      <c r="K1318">
        <v>233.1</v>
      </c>
      <c r="L1318" t="s">
        <v>883</v>
      </c>
      <c r="M1318">
        <v>66.599999999999994</v>
      </c>
      <c r="N1318" t="s">
        <v>3630</v>
      </c>
      <c r="O1318" t="s">
        <v>3620</v>
      </c>
    </row>
    <row r="1319" spans="1:15" x14ac:dyDescent="0.2">
      <c r="A1319">
        <v>99</v>
      </c>
      <c r="B1319" t="s">
        <v>2117</v>
      </c>
      <c r="C1319" t="s">
        <v>1104</v>
      </c>
      <c r="D1319" t="s">
        <v>1006</v>
      </c>
      <c r="E1319" t="s">
        <v>699</v>
      </c>
      <c r="F1319">
        <v>0</v>
      </c>
      <c r="G1319">
        <v>28.988</v>
      </c>
      <c r="H1319" t="s">
        <v>151</v>
      </c>
      <c r="I1319" t="s">
        <v>1152</v>
      </c>
      <c r="J1319">
        <v>0</v>
      </c>
      <c r="K1319">
        <v>0</v>
      </c>
      <c r="L1319" t="s">
        <v>883</v>
      </c>
      <c r="M1319">
        <v>66.599999999999994</v>
      </c>
      <c r="N1319" t="s">
        <v>3627</v>
      </c>
      <c r="O1319" t="s">
        <v>3620</v>
      </c>
    </row>
    <row r="1320" spans="1:15" x14ac:dyDescent="0.2">
      <c r="A1320">
        <v>99</v>
      </c>
      <c r="B1320" t="s">
        <v>2117</v>
      </c>
      <c r="C1320" t="s">
        <v>1104</v>
      </c>
      <c r="D1320" t="s">
        <v>498</v>
      </c>
      <c r="E1320" t="s">
        <v>773</v>
      </c>
      <c r="F1320">
        <v>1.2</v>
      </c>
      <c r="G1320">
        <v>0</v>
      </c>
      <c r="H1320" t="s">
        <v>84</v>
      </c>
      <c r="I1320" t="s">
        <v>1152</v>
      </c>
      <c r="J1320">
        <v>0</v>
      </c>
      <c r="K1320">
        <v>0</v>
      </c>
      <c r="L1320" t="s">
        <v>883</v>
      </c>
      <c r="M1320">
        <v>66.599999999999994</v>
      </c>
      <c r="N1320" t="s">
        <v>3623</v>
      </c>
      <c r="O1320" t="s">
        <v>3620</v>
      </c>
    </row>
    <row r="1321" spans="1:15" x14ac:dyDescent="0.2">
      <c r="A1321">
        <v>99</v>
      </c>
      <c r="B1321" t="s">
        <v>2117</v>
      </c>
      <c r="C1321" t="s">
        <v>1104</v>
      </c>
      <c r="D1321" t="s">
        <v>824</v>
      </c>
      <c r="E1321" t="s">
        <v>3418</v>
      </c>
      <c r="F1321">
        <v>1.1000000000000001</v>
      </c>
      <c r="G1321">
        <v>25</v>
      </c>
      <c r="H1321" t="s">
        <v>1152</v>
      </c>
      <c r="I1321" t="s">
        <v>1152</v>
      </c>
      <c r="J1321">
        <v>27.5</v>
      </c>
      <c r="K1321">
        <v>1831.5</v>
      </c>
      <c r="L1321" t="s">
        <v>883</v>
      </c>
      <c r="M1321">
        <v>66.599999999999994</v>
      </c>
      <c r="N1321" t="s">
        <v>3629</v>
      </c>
      <c r="O1321" t="s">
        <v>3620</v>
      </c>
    </row>
    <row r="1322" spans="1:15" x14ac:dyDescent="0.2">
      <c r="A1322">
        <v>99</v>
      </c>
      <c r="B1322" t="s">
        <v>2117</v>
      </c>
      <c r="C1322" t="s">
        <v>1104</v>
      </c>
      <c r="D1322" t="s">
        <v>706</v>
      </c>
      <c r="E1322" t="s">
        <v>130</v>
      </c>
      <c r="F1322">
        <v>0.14000000000000001</v>
      </c>
      <c r="G1322">
        <v>8</v>
      </c>
      <c r="H1322" t="s">
        <v>1052</v>
      </c>
      <c r="I1322" t="s">
        <v>1152</v>
      </c>
      <c r="J1322">
        <v>1.1200000000000001</v>
      </c>
      <c r="K1322">
        <v>74.591999999999999</v>
      </c>
      <c r="L1322" t="s">
        <v>883</v>
      </c>
      <c r="M1322">
        <v>66.599999999999994</v>
      </c>
      <c r="N1322" t="s">
        <v>3625</v>
      </c>
      <c r="O1322" t="s">
        <v>3620</v>
      </c>
    </row>
    <row r="1323" spans="1:15" x14ac:dyDescent="0.2">
      <c r="A1323">
        <v>99</v>
      </c>
      <c r="B1323" t="s">
        <v>2117</v>
      </c>
      <c r="C1323" t="s">
        <v>1104</v>
      </c>
      <c r="D1323" t="s">
        <v>801</v>
      </c>
      <c r="E1323" t="s">
        <v>402</v>
      </c>
      <c r="F1323">
        <v>0</v>
      </c>
      <c r="G1323">
        <v>10.3</v>
      </c>
      <c r="H1323" t="s">
        <v>151</v>
      </c>
      <c r="I1323" t="s">
        <v>1152</v>
      </c>
      <c r="J1323">
        <v>0</v>
      </c>
      <c r="K1323">
        <v>0</v>
      </c>
      <c r="L1323" t="s">
        <v>883</v>
      </c>
      <c r="M1323">
        <v>66.599999999999994</v>
      </c>
      <c r="N1323" t="s">
        <v>3628</v>
      </c>
      <c r="O1323" t="s">
        <v>3620</v>
      </c>
    </row>
    <row r="1324" spans="1:15" x14ac:dyDescent="0.2">
      <c r="A1324">
        <v>99</v>
      </c>
      <c r="B1324" t="s">
        <v>2117</v>
      </c>
      <c r="C1324" t="s">
        <v>1104</v>
      </c>
      <c r="D1324" t="s">
        <v>853</v>
      </c>
      <c r="E1324" t="s">
        <v>980</v>
      </c>
      <c r="F1324">
        <v>9.1300000000000008</v>
      </c>
      <c r="G1324">
        <v>0.9</v>
      </c>
      <c r="H1324" t="s">
        <v>1052</v>
      </c>
      <c r="I1324" t="s">
        <v>1152</v>
      </c>
      <c r="J1324">
        <v>8.2170000000000005</v>
      </c>
      <c r="K1324">
        <v>547.25220000000002</v>
      </c>
      <c r="L1324" t="s">
        <v>883</v>
      </c>
      <c r="M1324">
        <v>66.599999999999994</v>
      </c>
      <c r="N1324" t="s">
        <v>3619</v>
      </c>
      <c r="O1324" t="s">
        <v>3620</v>
      </c>
    </row>
    <row r="1325" spans="1:15" x14ac:dyDescent="0.2">
      <c r="A1325">
        <v>99</v>
      </c>
      <c r="B1325" t="s">
        <v>2117</v>
      </c>
      <c r="C1325" t="s">
        <v>1109</v>
      </c>
      <c r="D1325" t="s">
        <v>853</v>
      </c>
      <c r="E1325" t="s">
        <v>980</v>
      </c>
      <c r="F1325">
        <v>9.1300000000000008</v>
      </c>
      <c r="G1325">
        <v>0.9</v>
      </c>
      <c r="H1325" t="s">
        <v>1052</v>
      </c>
      <c r="I1325" t="s">
        <v>1152</v>
      </c>
      <c r="J1325">
        <v>8.2170000000000005</v>
      </c>
      <c r="K1325">
        <v>1833.62355</v>
      </c>
      <c r="L1325" t="s">
        <v>1210</v>
      </c>
      <c r="M1325">
        <v>223.15</v>
      </c>
      <c r="N1325" t="s">
        <v>3639</v>
      </c>
      <c r="O1325" t="s">
        <v>3633</v>
      </c>
    </row>
    <row r="1326" spans="1:15" x14ac:dyDescent="0.2">
      <c r="A1326">
        <v>99</v>
      </c>
      <c r="B1326" t="s">
        <v>2117</v>
      </c>
      <c r="C1326" t="s">
        <v>1109</v>
      </c>
      <c r="D1326" t="s">
        <v>801</v>
      </c>
      <c r="E1326" t="s">
        <v>402</v>
      </c>
      <c r="F1326">
        <v>0</v>
      </c>
      <c r="G1326">
        <v>10.3</v>
      </c>
      <c r="H1326" t="s">
        <v>151</v>
      </c>
      <c r="I1326" t="s">
        <v>1152</v>
      </c>
      <c r="J1326">
        <v>0</v>
      </c>
      <c r="K1326">
        <v>0</v>
      </c>
      <c r="L1326" t="s">
        <v>1210</v>
      </c>
      <c r="M1326">
        <v>223.15</v>
      </c>
      <c r="N1326" t="s">
        <v>3632</v>
      </c>
      <c r="O1326" t="s">
        <v>3633</v>
      </c>
    </row>
    <row r="1327" spans="1:15" x14ac:dyDescent="0.2">
      <c r="A1327">
        <v>99</v>
      </c>
      <c r="B1327" t="s">
        <v>2117</v>
      </c>
      <c r="C1327" t="s">
        <v>1109</v>
      </c>
      <c r="D1327" t="s">
        <v>706</v>
      </c>
      <c r="E1327" t="s">
        <v>130</v>
      </c>
      <c r="F1327">
        <v>0.14000000000000001</v>
      </c>
      <c r="G1327">
        <v>8</v>
      </c>
      <c r="H1327" t="s">
        <v>1052</v>
      </c>
      <c r="I1327" t="s">
        <v>1152</v>
      </c>
      <c r="J1327">
        <v>1.1200000000000001</v>
      </c>
      <c r="K1327">
        <v>249.928</v>
      </c>
      <c r="L1327" t="s">
        <v>1210</v>
      </c>
      <c r="M1327">
        <v>223.15</v>
      </c>
      <c r="N1327" t="s">
        <v>3640</v>
      </c>
      <c r="O1327" t="s">
        <v>3633</v>
      </c>
    </row>
    <row r="1328" spans="1:15" x14ac:dyDescent="0.2">
      <c r="A1328">
        <v>99</v>
      </c>
      <c r="B1328" t="s">
        <v>2117</v>
      </c>
      <c r="C1328" t="s">
        <v>1109</v>
      </c>
      <c r="D1328" t="s">
        <v>5017</v>
      </c>
      <c r="E1328" t="s">
        <v>5018</v>
      </c>
      <c r="F1328">
        <v>1</v>
      </c>
      <c r="G1328">
        <v>90</v>
      </c>
      <c r="H1328" t="s">
        <v>1152</v>
      </c>
      <c r="I1328" t="s">
        <v>1152</v>
      </c>
      <c r="J1328">
        <v>90</v>
      </c>
      <c r="K1328">
        <v>20083.5</v>
      </c>
      <c r="L1328" t="s">
        <v>1210</v>
      </c>
      <c r="M1328">
        <v>223.15</v>
      </c>
      <c r="N1328" t="s">
        <v>5019</v>
      </c>
      <c r="O1328" t="s">
        <v>3633</v>
      </c>
    </row>
    <row r="1329" spans="1:15" x14ac:dyDescent="0.2">
      <c r="A1329">
        <v>99</v>
      </c>
      <c r="B1329" t="s">
        <v>2117</v>
      </c>
      <c r="C1329" t="s">
        <v>1109</v>
      </c>
      <c r="D1329" t="s">
        <v>824</v>
      </c>
      <c r="E1329" t="s">
        <v>3418</v>
      </c>
      <c r="F1329">
        <v>1.1000000000000001</v>
      </c>
      <c r="G1329">
        <v>25</v>
      </c>
      <c r="H1329" t="s">
        <v>1152</v>
      </c>
      <c r="I1329" t="s">
        <v>1152</v>
      </c>
      <c r="J1329">
        <v>27.5</v>
      </c>
      <c r="K1329">
        <v>6136.625</v>
      </c>
      <c r="L1329" t="s">
        <v>1210</v>
      </c>
      <c r="M1329">
        <v>223.15</v>
      </c>
      <c r="N1329" t="s">
        <v>3634</v>
      </c>
      <c r="O1329" t="s">
        <v>3633</v>
      </c>
    </row>
    <row r="1330" spans="1:15" x14ac:dyDescent="0.2">
      <c r="A1330">
        <v>99</v>
      </c>
      <c r="B1330" t="s">
        <v>2117</v>
      </c>
      <c r="C1330" t="s">
        <v>1109</v>
      </c>
      <c r="D1330" t="s">
        <v>1694</v>
      </c>
      <c r="E1330" t="s">
        <v>1216</v>
      </c>
      <c r="F1330">
        <v>1.1000000000000001</v>
      </c>
      <c r="G1330">
        <v>370</v>
      </c>
      <c r="H1330" t="s">
        <v>1152</v>
      </c>
      <c r="I1330" t="s">
        <v>1152</v>
      </c>
      <c r="J1330">
        <v>407</v>
      </c>
      <c r="K1330">
        <v>90822.05</v>
      </c>
      <c r="L1330" t="s">
        <v>1210</v>
      </c>
      <c r="M1330">
        <v>223.15</v>
      </c>
      <c r="N1330" t="s">
        <v>3641</v>
      </c>
      <c r="O1330" t="s">
        <v>3633</v>
      </c>
    </row>
    <row r="1331" spans="1:15" x14ac:dyDescent="0.2">
      <c r="A1331">
        <v>99</v>
      </c>
      <c r="B1331" t="s">
        <v>2117</v>
      </c>
      <c r="C1331" t="s">
        <v>1109</v>
      </c>
      <c r="D1331" t="s">
        <v>498</v>
      </c>
      <c r="E1331" t="s">
        <v>773</v>
      </c>
      <c r="F1331">
        <v>1.2</v>
      </c>
      <c r="G1331">
        <v>0</v>
      </c>
      <c r="H1331" t="s">
        <v>84</v>
      </c>
      <c r="I1331" t="s">
        <v>1152</v>
      </c>
      <c r="J1331">
        <v>0</v>
      </c>
      <c r="K1331">
        <v>0</v>
      </c>
      <c r="L1331" t="s">
        <v>1210</v>
      </c>
      <c r="M1331">
        <v>223.15</v>
      </c>
      <c r="N1331" t="s">
        <v>3637</v>
      </c>
      <c r="O1331" t="s">
        <v>3633</v>
      </c>
    </row>
    <row r="1332" spans="1:15" x14ac:dyDescent="0.2">
      <c r="A1332">
        <v>99</v>
      </c>
      <c r="B1332" t="s">
        <v>2117</v>
      </c>
      <c r="C1332" t="s">
        <v>1109</v>
      </c>
      <c r="D1332" t="s">
        <v>1006</v>
      </c>
      <c r="E1332" t="s">
        <v>699</v>
      </c>
      <c r="F1332">
        <v>0</v>
      </c>
      <c r="G1332">
        <v>28.988</v>
      </c>
      <c r="H1332" t="s">
        <v>151</v>
      </c>
      <c r="I1332" t="s">
        <v>1152</v>
      </c>
      <c r="J1332">
        <v>0</v>
      </c>
      <c r="K1332">
        <v>0</v>
      </c>
      <c r="L1332" t="s">
        <v>1210</v>
      </c>
      <c r="M1332">
        <v>223.15</v>
      </c>
      <c r="N1332" t="s">
        <v>3642</v>
      </c>
      <c r="O1332" t="s">
        <v>3633</v>
      </c>
    </row>
    <row r="1333" spans="1:15" x14ac:dyDescent="0.2">
      <c r="A1333">
        <v>99</v>
      </c>
      <c r="B1333" t="s">
        <v>2117</v>
      </c>
      <c r="C1333" t="s">
        <v>1109</v>
      </c>
      <c r="D1333" t="s">
        <v>1049</v>
      </c>
      <c r="E1333" t="s">
        <v>3635</v>
      </c>
      <c r="F1333">
        <v>1</v>
      </c>
      <c r="G1333">
        <v>3.5</v>
      </c>
      <c r="H1333" t="s">
        <v>1152</v>
      </c>
      <c r="I1333" t="s">
        <v>1152</v>
      </c>
      <c r="J1333">
        <v>3.5</v>
      </c>
      <c r="K1333">
        <v>781.02499999999998</v>
      </c>
      <c r="L1333" t="s">
        <v>1210</v>
      </c>
      <c r="M1333">
        <v>223.15</v>
      </c>
      <c r="N1333" t="s">
        <v>3636</v>
      </c>
      <c r="O1333" t="s">
        <v>3633</v>
      </c>
    </row>
    <row r="1334" spans="1:15" x14ac:dyDescent="0.2">
      <c r="A1334">
        <v>99</v>
      </c>
      <c r="B1334" t="s">
        <v>2117</v>
      </c>
      <c r="C1334" t="s">
        <v>1109</v>
      </c>
      <c r="D1334" t="s">
        <v>946</v>
      </c>
      <c r="E1334" t="s">
        <v>1695</v>
      </c>
      <c r="F1334">
        <v>1.1000000000000001</v>
      </c>
      <c r="G1334">
        <v>40</v>
      </c>
      <c r="H1334" t="s">
        <v>1819</v>
      </c>
      <c r="I1334" t="s">
        <v>1152</v>
      </c>
      <c r="J1334">
        <v>44</v>
      </c>
      <c r="K1334">
        <v>9818.6</v>
      </c>
      <c r="L1334" t="s">
        <v>1210</v>
      </c>
      <c r="M1334">
        <v>223.15</v>
      </c>
      <c r="N1334" t="s">
        <v>3638</v>
      </c>
      <c r="O1334" t="s">
        <v>3633</v>
      </c>
    </row>
    <row r="1335" spans="1:15" x14ac:dyDescent="0.2">
      <c r="A1335">
        <v>99</v>
      </c>
      <c r="B1335" t="s">
        <v>2117</v>
      </c>
      <c r="C1335" t="s">
        <v>1155</v>
      </c>
      <c r="D1335" t="s">
        <v>946</v>
      </c>
      <c r="E1335" t="s">
        <v>1695</v>
      </c>
      <c r="F1335">
        <v>1.1000000000000001</v>
      </c>
      <c r="G1335">
        <v>40</v>
      </c>
      <c r="H1335" t="s">
        <v>1819</v>
      </c>
      <c r="I1335" t="s">
        <v>1152</v>
      </c>
      <c r="J1335">
        <v>44</v>
      </c>
      <c r="K1335">
        <v>91824.48</v>
      </c>
      <c r="L1335" t="s">
        <v>1192</v>
      </c>
      <c r="M1335">
        <v>2086.92</v>
      </c>
      <c r="N1335" t="s">
        <v>3653</v>
      </c>
      <c r="O1335" t="s">
        <v>3644</v>
      </c>
    </row>
    <row r="1336" spans="1:15" x14ac:dyDescent="0.2">
      <c r="A1336">
        <v>99</v>
      </c>
      <c r="B1336" t="s">
        <v>2117</v>
      </c>
      <c r="C1336" t="s">
        <v>1155</v>
      </c>
      <c r="D1336" t="s">
        <v>903</v>
      </c>
      <c r="E1336" t="s">
        <v>864</v>
      </c>
      <c r="F1336">
        <v>1</v>
      </c>
      <c r="G1336">
        <v>3.5</v>
      </c>
      <c r="H1336" t="s">
        <v>1152</v>
      </c>
      <c r="I1336" t="s">
        <v>1152</v>
      </c>
      <c r="J1336">
        <v>3.5</v>
      </c>
      <c r="K1336">
        <v>7304.22</v>
      </c>
      <c r="L1336" t="s">
        <v>1192</v>
      </c>
      <c r="M1336">
        <v>2086.92</v>
      </c>
      <c r="N1336" t="s">
        <v>3651</v>
      </c>
      <c r="O1336" t="s">
        <v>3644</v>
      </c>
    </row>
    <row r="1337" spans="1:15" x14ac:dyDescent="0.2">
      <c r="A1337">
        <v>99</v>
      </c>
      <c r="B1337" t="s">
        <v>2117</v>
      </c>
      <c r="C1337" t="s">
        <v>1155</v>
      </c>
      <c r="D1337" t="s">
        <v>1006</v>
      </c>
      <c r="E1337" t="s">
        <v>699</v>
      </c>
      <c r="F1337">
        <v>0</v>
      </c>
      <c r="G1337">
        <v>28.988</v>
      </c>
      <c r="H1337" t="s">
        <v>151</v>
      </c>
      <c r="I1337" t="s">
        <v>1152</v>
      </c>
      <c r="J1337">
        <v>0</v>
      </c>
      <c r="K1337">
        <v>0</v>
      </c>
      <c r="L1337" t="s">
        <v>1192</v>
      </c>
      <c r="M1337">
        <v>2086.92</v>
      </c>
      <c r="N1337" t="s">
        <v>3647</v>
      </c>
      <c r="O1337" t="s">
        <v>3644</v>
      </c>
    </row>
    <row r="1338" spans="1:15" x14ac:dyDescent="0.2">
      <c r="A1338">
        <v>99</v>
      </c>
      <c r="B1338" t="s">
        <v>2117</v>
      </c>
      <c r="C1338" t="s">
        <v>1155</v>
      </c>
      <c r="D1338" t="s">
        <v>498</v>
      </c>
      <c r="E1338" t="s">
        <v>773</v>
      </c>
      <c r="F1338">
        <v>1.2</v>
      </c>
      <c r="G1338">
        <v>0</v>
      </c>
      <c r="H1338" t="s">
        <v>84</v>
      </c>
      <c r="I1338" t="s">
        <v>1152</v>
      </c>
      <c r="J1338">
        <v>0</v>
      </c>
      <c r="K1338">
        <v>0</v>
      </c>
      <c r="L1338" t="s">
        <v>1192</v>
      </c>
      <c r="M1338">
        <v>2086.92</v>
      </c>
      <c r="N1338" t="s">
        <v>3652</v>
      </c>
      <c r="O1338" t="s">
        <v>3644</v>
      </c>
    </row>
    <row r="1339" spans="1:15" x14ac:dyDescent="0.2">
      <c r="A1339">
        <v>99</v>
      </c>
      <c r="B1339" t="s">
        <v>2117</v>
      </c>
      <c r="C1339" t="s">
        <v>1155</v>
      </c>
      <c r="D1339" t="s">
        <v>824</v>
      </c>
      <c r="E1339" t="s">
        <v>3418</v>
      </c>
      <c r="F1339">
        <v>1.1000000000000001</v>
      </c>
      <c r="G1339">
        <v>25</v>
      </c>
      <c r="H1339" t="s">
        <v>1152</v>
      </c>
      <c r="I1339" t="s">
        <v>1152</v>
      </c>
      <c r="J1339">
        <v>27.5</v>
      </c>
      <c r="K1339">
        <v>57390.3</v>
      </c>
      <c r="L1339" t="s">
        <v>1192</v>
      </c>
      <c r="M1339">
        <v>2086.92</v>
      </c>
      <c r="N1339" t="s">
        <v>3649</v>
      </c>
      <c r="O1339" t="s">
        <v>3644</v>
      </c>
    </row>
    <row r="1340" spans="1:15" x14ac:dyDescent="0.2">
      <c r="A1340">
        <v>99</v>
      </c>
      <c r="B1340" t="s">
        <v>2117</v>
      </c>
      <c r="C1340" t="s">
        <v>1155</v>
      </c>
      <c r="D1340" t="s">
        <v>706</v>
      </c>
      <c r="E1340" t="s">
        <v>130</v>
      </c>
      <c r="F1340">
        <v>0.14000000000000001</v>
      </c>
      <c r="G1340">
        <v>8</v>
      </c>
      <c r="H1340" t="s">
        <v>1052</v>
      </c>
      <c r="I1340" t="s">
        <v>1152</v>
      </c>
      <c r="J1340">
        <v>1.1200000000000001</v>
      </c>
      <c r="K1340">
        <v>2337.3503999999998</v>
      </c>
      <c r="L1340" t="s">
        <v>1192</v>
      </c>
      <c r="M1340">
        <v>2086.92</v>
      </c>
      <c r="N1340" t="s">
        <v>3645</v>
      </c>
      <c r="O1340" t="s">
        <v>3644</v>
      </c>
    </row>
    <row r="1341" spans="1:15" x14ac:dyDescent="0.2">
      <c r="A1341">
        <v>99</v>
      </c>
      <c r="B1341" t="s">
        <v>2117</v>
      </c>
      <c r="C1341" t="s">
        <v>1155</v>
      </c>
      <c r="D1341" t="s">
        <v>801</v>
      </c>
      <c r="E1341" t="s">
        <v>402</v>
      </c>
      <c r="F1341">
        <v>0</v>
      </c>
      <c r="G1341">
        <v>10.3</v>
      </c>
      <c r="H1341" t="s">
        <v>151</v>
      </c>
      <c r="I1341" t="s">
        <v>1152</v>
      </c>
      <c r="J1341">
        <v>0</v>
      </c>
      <c r="K1341">
        <v>0</v>
      </c>
      <c r="L1341" t="s">
        <v>1192</v>
      </c>
      <c r="M1341">
        <v>2086.92</v>
      </c>
      <c r="N1341" t="s">
        <v>3648</v>
      </c>
      <c r="O1341" t="s">
        <v>3644</v>
      </c>
    </row>
    <row r="1342" spans="1:15" x14ac:dyDescent="0.2">
      <c r="A1342">
        <v>99</v>
      </c>
      <c r="B1342" t="s">
        <v>2117</v>
      </c>
      <c r="C1342" t="s">
        <v>1155</v>
      </c>
      <c r="D1342" t="s">
        <v>853</v>
      </c>
      <c r="E1342" t="s">
        <v>980</v>
      </c>
      <c r="F1342">
        <v>9.1300000000000008</v>
      </c>
      <c r="G1342">
        <v>0.9</v>
      </c>
      <c r="H1342" t="s">
        <v>1052</v>
      </c>
      <c r="I1342" t="s">
        <v>1152</v>
      </c>
      <c r="J1342">
        <v>8.2170000000000005</v>
      </c>
      <c r="K1342">
        <v>17148.22164</v>
      </c>
      <c r="L1342" t="s">
        <v>1192</v>
      </c>
      <c r="M1342">
        <v>2086.92</v>
      </c>
      <c r="N1342" t="s">
        <v>3643</v>
      </c>
      <c r="O1342" t="s">
        <v>3644</v>
      </c>
    </row>
    <row r="1343" spans="1:15" x14ac:dyDescent="0.2">
      <c r="A1343">
        <v>99</v>
      </c>
      <c r="B1343" t="s">
        <v>2117</v>
      </c>
      <c r="C1343" t="s">
        <v>1155</v>
      </c>
      <c r="D1343" t="s">
        <v>838</v>
      </c>
      <c r="E1343" t="s">
        <v>3419</v>
      </c>
      <c r="F1343">
        <v>1</v>
      </c>
      <c r="G1343">
        <v>90</v>
      </c>
      <c r="H1343" t="s">
        <v>1152</v>
      </c>
      <c r="I1343" t="s">
        <v>1152</v>
      </c>
      <c r="J1343">
        <v>90</v>
      </c>
      <c r="K1343">
        <v>187822.8</v>
      </c>
      <c r="L1343" t="s">
        <v>1192</v>
      </c>
      <c r="M1343">
        <v>2086.92</v>
      </c>
      <c r="N1343" t="s">
        <v>3650</v>
      </c>
      <c r="O1343" t="s">
        <v>3644</v>
      </c>
    </row>
    <row r="1344" spans="1:15" x14ac:dyDescent="0.2">
      <c r="A1344">
        <v>99</v>
      </c>
      <c r="B1344" t="s">
        <v>2117</v>
      </c>
      <c r="C1344" t="s">
        <v>1155</v>
      </c>
      <c r="D1344" t="s">
        <v>1843</v>
      </c>
      <c r="E1344" t="s">
        <v>389</v>
      </c>
      <c r="F1344">
        <v>1.1000000000000001</v>
      </c>
      <c r="G1344">
        <v>800</v>
      </c>
      <c r="H1344" t="s">
        <v>1152</v>
      </c>
      <c r="I1344" t="s">
        <v>1152</v>
      </c>
      <c r="J1344">
        <v>880</v>
      </c>
      <c r="K1344">
        <v>1836489.6</v>
      </c>
      <c r="L1344" t="s">
        <v>1192</v>
      </c>
      <c r="M1344">
        <v>2086.92</v>
      </c>
      <c r="N1344" t="s">
        <v>3646</v>
      </c>
      <c r="O1344" t="s">
        <v>3644</v>
      </c>
    </row>
    <row r="1345" spans="1:15" x14ac:dyDescent="0.2">
      <c r="A1345">
        <v>99</v>
      </c>
      <c r="B1345" t="s">
        <v>2117</v>
      </c>
      <c r="C1345" t="s">
        <v>1158</v>
      </c>
      <c r="D1345" t="s">
        <v>838</v>
      </c>
      <c r="E1345" t="s">
        <v>3419</v>
      </c>
      <c r="F1345">
        <v>1</v>
      </c>
      <c r="G1345">
        <v>90</v>
      </c>
      <c r="H1345" t="s">
        <v>1152</v>
      </c>
      <c r="I1345" t="s">
        <v>1152</v>
      </c>
      <c r="J1345">
        <v>90</v>
      </c>
      <c r="K1345">
        <v>6428.7</v>
      </c>
      <c r="L1345" t="s">
        <v>1199</v>
      </c>
      <c r="M1345">
        <v>71.430000000000007</v>
      </c>
      <c r="N1345" t="s">
        <v>3661</v>
      </c>
      <c r="O1345" t="s">
        <v>3655</v>
      </c>
    </row>
    <row r="1346" spans="1:15" x14ac:dyDescent="0.2">
      <c r="A1346">
        <v>99</v>
      </c>
      <c r="B1346" t="s">
        <v>2117</v>
      </c>
      <c r="C1346" t="s">
        <v>1158</v>
      </c>
      <c r="D1346" t="s">
        <v>1840</v>
      </c>
      <c r="E1346" t="s">
        <v>1973</v>
      </c>
      <c r="F1346">
        <v>1.1000000000000001</v>
      </c>
      <c r="G1346">
        <v>800</v>
      </c>
      <c r="H1346" t="s">
        <v>1152</v>
      </c>
      <c r="I1346" t="s">
        <v>1152</v>
      </c>
      <c r="J1346">
        <v>880</v>
      </c>
      <c r="K1346">
        <v>62858.400000000001</v>
      </c>
      <c r="L1346" t="s">
        <v>1199</v>
      </c>
      <c r="M1346">
        <v>71.430000000000007</v>
      </c>
      <c r="N1346" t="s">
        <v>3657</v>
      </c>
      <c r="O1346" t="s">
        <v>3655</v>
      </c>
    </row>
    <row r="1347" spans="1:15" x14ac:dyDescent="0.2">
      <c r="A1347">
        <v>99</v>
      </c>
      <c r="B1347" t="s">
        <v>2117</v>
      </c>
      <c r="C1347" t="s">
        <v>1158</v>
      </c>
      <c r="D1347" t="s">
        <v>853</v>
      </c>
      <c r="E1347" t="s">
        <v>980</v>
      </c>
      <c r="F1347">
        <v>9.1300000000000008</v>
      </c>
      <c r="G1347">
        <v>0.9</v>
      </c>
      <c r="H1347" t="s">
        <v>1052</v>
      </c>
      <c r="I1347" t="s">
        <v>1152</v>
      </c>
      <c r="J1347">
        <v>8.2170000000000005</v>
      </c>
      <c r="K1347">
        <v>586.94030999999995</v>
      </c>
      <c r="L1347" t="s">
        <v>1199</v>
      </c>
      <c r="M1347">
        <v>71.430000000000007</v>
      </c>
      <c r="N1347" t="s">
        <v>3654</v>
      </c>
      <c r="O1347" t="s">
        <v>3655</v>
      </c>
    </row>
    <row r="1348" spans="1:15" x14ac:dyDescent="0.2">
      <c r="A1348">
        <v>99</v>
      </c>
      <c r="B1348" t="s">
        <v>2117</v>
      </c>
      <c r="C1348" t="s">
        <v>1158</v>
      </c>
      <c r="D1348" t="s">
        <v>801</v>
      </c>
      <c r="E1348" t="s">
        <v>402</v>
      </c>
      <c r="F1348">
        <v>0</v>
      </c>
      <c r="G1348">
        <v>10.3</v>
      </c>
      <c r="H1348" t="s">
        <v>151</v>
      </c>
      <c r="I1348" t="s">
        <v>1152</v>
      </c>
      <c r="J1348">
        <v>0</v>
      </c>
      <c r="K1348">
        <v>0</v>
      </c>
      <c r="L1348" t="s">
        <v>1199</v>
      </c>
      <c r="M1348">
        <v>71.430000000000007</v>
      </c>
      <c r="N1348" t="s">
        <v>3659</v>
      </c>
      <c r="O1348" t="s">
        <v>3655</v>
      </c>
    </row>
    <row r="1349" spans="1:15" x14ac:dyDescent="0.2">
      <c r="A1349">
        <v>99</v>
      </c>
      <c r="B1349" t="s">
        <v>2117</v>
      </c>
      <c r="C1349" t="s">
        <v>1158</v>
      </c>
      <c r="D1349" t="s">
        <v>706</v>
      </c>
      <c r="E1349" t="s">
        <v>130</v>
      </c>
      <c r="F1349">
        <v>0.14000000000000001</v>
      </c>
      <c r="G1349">
        <v>8</v>
      </c>
      <c r="H1349" t="s">
        <v>1052</v>
      </c>
      <c r="I1349" t="s">
        <v>1152</v>
      </c>
      <c r="J1349">
        <v>1.1200000000000001</v>
      </c>
      <c r="K1349">
        <v>80.001599999999996</v>
      </c>
      <c r="L1349" t="s">
        <v>1199</v>
      </c>
      <c r="M1349">
        <v>71.430000000000007</v>
      </c>
      <c r="N1349" t="s">
        <v>3656</v>
      </c>
      <c r="O1349" t="s">
        <v>3655</v>
      </c>
    </row>
    <row r="1350" spans="1:15" x14ac:dyDescent="0.2">
      <c r="A1350">
        <v>99</v>
      </c>
      <c r="B1350" t="s">
        <v>2117</v>
      </c>
      <c r="C1350" t="s">
        <v>1158</v>
      </c>
      <c r="D1350" t="s">
        <v>824</v>
      </c>
      <c r="E1350" t="s">
        <v>3418</v>
      </c>
      <c r="F1350">
        <v>1.1000000000000001</v>
      </c>
      <c r="G1350">
        <v>25</v>
      </c>
      <c r="H1350" t="s">
        <v>1152</v>
      </c>
      <c r="I1350" t="s">
        <v>1152</v>
      </c>
      <c r="J1350">
        <v>27.5</v>
      </c>
      <c r="K1350">
        <v>1964.325</v>
      </c>
      <c r="L1350" t="s">
        <v>1199</v>
      </c>
      <c r="M1350">
        <v>71.430000000000007</v>
      </c>
      <c r="N1350" t="s">
        <v>3660</v>
      </c>
      <c r="O1350" t="s">
        <v>3655</v>
      </c>
    </row>
    <row r="1351" spans="1:15" x14ac:dyDescent="0.2">
      <c r="A1351">
        <v>99</v>
      </c>
      <c r="B1351" t="s">
        <v>2117</v>
      </c>
      <c r="C1351" t="s">
        <v>1158</v>
      </c>
      <c r="D1351" t="s">
        <v>498</v>
      </c>
      <c r="E1351" t="s">
        <v>773</v>
      </c>
      <c r="F1351">
        <v>1.2</v>
      </c>
      <c r="G1351">
        <v>0</v>
      </c>
      <c r="H1351" t="s">
        <v>84</v>
      </c>
      <c r="I1351" t="s">
        <v>1152</v>
      </c>
      <c r="J1351">
        <v>0</v>
      </c>
      <c r="K1351">
        <v>0</v>
      </c>
      <c r="L1351" t="s">
        <v>1199</v>
      </c>
      <c r="M1351">
        <v>71.430000000000007</v>
      </c>
      <c r="N1351" t="s">
        <v>3663</v>
      </c>
      <c r="O1351" t="s">
        <v>3655</v>
      </c>
    </row>
    <row r="1352" spans="1:15" x14ac:dyDescent="0.2">
      <c r="A1352">
        <v>99</v>
      </c>
      <c r="B1352" t="s">
        <v>2117</v>
      </c>
      <c r="C1352" t="s">
        <v>1158</v>
      </c>
      <c r="D1352" t="s">
        <v>1006</v>
      </c>
      <c r="E1352" t="s">
        <v>699</v>
      </c>
      <c r="F1352">
        <v>0</v>
      </c>
      <c r="G1352">
        <v>28.988</v>
      </c>
      <c r="H1352" t="s">
        <v>151</v>
      </c>
      <c r="I1352" t="s">
        <v>1152</v>
      </c>
      <c r="J1352">
        <v>0</v>
      </c>
      <c r="K1352">
        <v>0</v>
      </c>
      <c r="L1352" t="s">
        <v>1199</v>
      </c>
      <c r="M1352">
        <v>71.430000000000007</v>
      </c>
      <c r="N1352" t="s">
        <v>3658</v>
      </c>
      <c r="O1352" t="s">
        <v>3655</v>
      </c>
    </row>
    <row r="1353" spans="1:15" x14ac:dyDescent="0.2">
      <c r="A1353">
        <v>99</v>
      </c>
      <c r="B1353" t="s">
        <v>2117</v>
      </c>
      <c r="C1353" t="s">
        <v>1158</v>
      </c>
      <c r="D1353" t="s">
        <v>903</v>
      </c>
      <c r="E1353" t="s">
        <v>864</v>
      </c>
      <c r="F1353">
        <v>1</v>
      </c>
      <c r="G1353">
        <v>3.5</v>
      </c>
      <c r="H1353" t="s">
        <v>1152</v>
      </c>
      <c r="I1353" t="s">
        <v>1152</v>
      </c>
      <c r="J1353">
        <v>3.5</v>
      </c>
      <c r="K1353">
        <v>250.005</v>
      </c>
      <c r="L1353" t="s">
        <v>1199</v>
      </c>
      <c r="M1353">
        <v>71.430000000000007</v>
      </c>
      <c r="N1353" t="s">
        <v>3662</v>
      </c>
      <c r="O1353" t="s">
        <v>3655</v>
      </c>
    </row>
    <row r="1354" spans="1:15" x14ac:dyDescent="0.2">
      <c r="A1354">
        <v>99</v>
      </c>
      <c r="B1354" t="s">
        <v>2117</v>
      </c>
      <c r="C1354" t="s">
        <v>1158</v>
      </c>
      <c r="D1354" t="s">
        <v>946</v>
      </c>
      <c r="E1354" t="s">
        <v>1695</v>
      </c>
      <c r="F1354">
        <v>1.1000000000000001</v>
      </c>
      <c r="G1354">
        <v>40</v>
      </c>
      <c r="H1354" t="s">
        <v>1819</v>
      </c>
      <c r="I1354" t="s">
        <v>1152</v>
      </c>
      <c r="J1354">
        <v>44</v>
      </c>
      <c r="K1354">
        <v>3142.92</v>
      </c>
      <c r="L1354" t="s">
        <v>1199</v>
      </c>
      <c r="M1354">
        <v>71.430000000000007</v>
      </c>
      <c r="N1354" t="s">
        <v>3664</v>
      </c>
      <c r="O1354" t="s">
        <v>3655</v>
      </c>
    </row>
    <row r="1355" spans="1:15" x14ac:dyDescent="0.2">
      <c r="A1355">
        <v>99</v>
      </c>
      <c r="B1355" t="s">
        <v>2117</v>
      </c>
      <c r="C1355" t="s">
        <v>1164</v>
      </c>
      <c r="D1355" t="s">
        <v>946</v>
      </c>
      <c r="E1355" t="s">
        <v>1695</v>
      </c>
      <c r="F1355">
        <v>0.16500000000000001</v>
      </c>
      <c r="G1355">
        <v>40</v>
      </c>
      <c r="H1355" t="s">
        <v>1819</v>
      </c>
      <c r="I1355" t="s">
        <v>153</v>
      </c>
      <c r="J1355">
        <v>6.6</v>
      </c>
      <c r="K1355">
        <v>1803.5160000000001</v>
      </c>
      <c r="L1355" t="s">
        <v>1224</v>
      </c>
      <c r="M1355">
        <v>273.26</v>
      </c>
      <c r="N1355" t="s">
        <v>3669</v>
      </c>
      <c r="O1355" t="s">
        <v>3666</v>
      </c>
    </row>
    <row r="1356" spans="1:15" x14ac:dyDescent="0.2">
      <c r="A1356">
        <v>99</v>
      </c>
      <c r="B1356" t="s">
        <v>2117</v>
      </c>
      <c r="C1356" t="s">
        <v>1164</v>
      </c>
      <c r="D1356" t="s">
        <v>735</v>
      </c>
      <c r="E1356" t="s">
        <v>150</v>
      </c>
      <c r="F1356">
        <v>0.16500000000000001</v>
      </c>
      <c r="G1356">
        <v>1000</v>
      </c>
      <c r="H1356" t="s">
        <v>1152</v>
      </c>
      <c r="I1356" t="s">
        <v>153</v>
      </c>
      <c r="J1356">
        <v>165</v>
      </c>
      <c r="K1356">
        <v>45087.9</v>
      </c>
      <c r="L1356" t="s">
        <v>1224</v>
      </c>
      <c r="M1356">
        <v>273.26</v>
      </c>
      <c r="N1356" t="s">
        <v>3672</v>
      </c>
      <c r="O1356" t="s">
        <v>3666</v>
      </c>
    </row>
    <row r="1357" spans="1:15" x14ac:dyDescent="0.2">
      <c r="A1357">
        <v>99</v>
      </c>
      <c r="B1357" t="s">
        <v>2117</v>
      </c>
      <c r="C1357" t="s">
        <v>1164</v>
      </c>
      <c r="D1357" t="s">
        <v>1006</v>
      </c>
      <c r="E1357" t="s">
        <v>699</v>
      </c>
      <c r="F1357">
        <v>0</v>
      </c>
      <c r="G1357">
        <v>28.988</v>
      </c>
      <c r="H1357" t="s">
        <v>151</v>
      </c>
      <c r="I1357" t="s">
        <v>153</v>
      </c>
      <c r="J1357">
        <v>0</v>
      </c>
      <c r="K1357">
        <v>0</v>
      </c>
      <c r="L1357" t="s">
        <v>1224</v>
      </c>
      <c r="M1357">
        <v>273.26</v>
      </c>
      <c r="N1357" t="s">
        <v>3673</v>
      </c>
      <c r="O1357" t="s">
        <v>3666</v>
      </c>
    </row>
    <row r="1358" spans="1:15" x14ac:dyDescent="0.2">
      <c r="A1358">
        <v>99</v>
      </c>
      <c r="B1358" t="s">
        <v>2117</v>
      </c>
      <c r="C1358" t="s">
        <v>1164</v>
      </c>
      <c r="D1358" t="s">
        <v>498</v>
      </c>
      <c r="E1358" t="s">
        <v>773</v>
      </c>
      <c r="F1358">
        <v>1.2</v>
      </c>
      <c r="G1358">
        <v>0</v>
      </c>
      <c r="H1358" t="s">
        <v>84</v>
      </c>
      <c r="I1358" t="s">
        <v>153</v>
      </c>
      <c r="J1358">
        <v>0</v>
      </c>
      <c r="K1358">
        <v>0</v>
      </c>
      <c r="L1358" t="s">
        <v>1224</v>
      </c>
      <c r="M1358">
        <v>273.26</v>
      </c>
      <c r="N1358" t="s">
        <v>3668</v>
      </c>
      <c r="O1358" t="s">
        <v>3666</v>
      </c>
    </row>
    <row r="1359" spans="1:15" x14ac:dyDescent="0.2">
      <c r="A1359">
        <v>99</v>
      </c>
      <c r="B1359" t="s">
        <v>2117</v>
      </c>
      <c r="C1359" t="s">
        <v>1164</v>
      </c>
      <c r="D1359" t="s">
        <v>824</v>
      </c>
      <c r="E1359" t="s">
        <v>3418</v>
      </c>
      <c r="F1359">
        <v>0.16500000000000001</v>
      </c>
      <c r="G1359">
        <v>25</v>
      </c>
      <c r="H1359" t="s">
        <v>1152</v>
      </c>
      <c r="I1359" t="s">
        <v>153</v>
      </c>
      <c r="J1359">
        <v>4.125</v>
      </c>
      <c r="K1359">
        <v>1127.1975</v>
      </c>
      <c r="L1359" t="s">
        <v>1224</v>
      </c>
      <c r="M1359">
        <v>273.26</v>
      </c>
      <c r="N1359" t="s">
        <v>3667</v>
      </c>
      <c r="O1359" t="s">
        <v>3666</v>
      </c>
    </row>
    <row r="1360" spans="1:15" x14ac:dyDescent="0.2">
      <c r="A1360">
        <v>99</v>
      </c>
      <c r="B1360" t="s">
        <v>2117</v>
      </c>
      <c r="C1360" t="s">
        <v>1164</v>
      </c>
      <c r="D1360" t="s">
        <v>706</v>
      </c>
      <c r="E1360" t="s">
        <v>130</v>
      </c>
      <c r="F1360">
        <v>0.18</v>
      </c>
      <c r="G1360">
        <v>8</v>
      </c>
      <c r="H1360" t="s">
        <v>1052</v>
      </c>
      <c r="I1360" t="s">
        <v>153</v>
      </c>
      <c r="J1360">
        <v>1.44</v>
      </c>
      <c r="K1360">
        <v>393.49439999999998</v>
      </c>
      <c r="L1360" t="s">
        <v>1224</v>
      </c>
      <c r="M1360">
        <v>273.26</v>
      </c>
      <c r="N1360" t="s">
        <v>3671</v>
      </c>
      <c r="O1360" t="s">
        <v>3666</v>
      </c>
    </row>
    <row r="1361" spans="1:15" x14ac:dyDescent="0.2">
      <c r="A1361">
        <v>99</v>
      </c>
      <c r="B1361" t="s">
        <v>2117</v>
      </c>
      <c r="C1361" t="s">
        <v>1164</v>
      </c>
      <c r="D1361" t="s">
        <v>801</v>
      </c>
      <c r="E1361" t="s">
        <v>402</v>
      </c>
      <c r="F1361">
        <v>0</v>
      </c>
      <c r="G1361">
        <v>10.3</v>
      </c>
      <c r="H1361" t="s">
        <v>151</v>
      </c>
      <c r="I1361" t="s">
        <v>153</v>
      </c>
      <c r="J1361">
        <v>0</v>
      </c>
      <c r="K1361">
        <v>0</v>
      </c>
      <c r="L1361" t="s">
        <v>1224</v>
      </c>
      <c r="M1361">
        <v>273.26</v>
      </c>
      <c r="N1361" t="s">
        <v>3665</v>
      </c>
      <c r="O1361" t="s">
        <v>3666</v>
      </c>
    </row>
    <row r="1362" spans="1:15" x14ac:dyDescent="0.2">
      <c r="A1362">
        <v>99</v>
      </c>
      <c r="B1362" t="s">
        <v>2117</v>
      </c>
      <c r="C1362" t="s">
        <v>1164</v>
      </c>
      <c r="D1362" t="s">
        <v>853</v>
      </c>
      <c r="E1362" t="s">
        <v>980</v>
      </c>
      <c r="F1362">
        <v>1.2921</v>
      </c>
      <c r="G1362">
        <v>0.9</v>
      </c>
      <c r="H1362" t="s">
        <v>1052</v>
      </c>
      <c r="I1362" t="s">
        <v>153</v>
      </c>
      <c r="J1362">
        <v>1.16289</v>
      </c>
      <c r="K1362">
        <v>317.771321</v>
      </c>
      <c r="L1362" t="s">
        <v>1224</v>
      </c>
      <c r="M1362">
        <v>273.26</v>
      </c>
      <c r="N1362" t="s">
        <v>3670</v>
      </c>
      <c r="O1362" t="s">
        <v>3666</v>
      </c>
    </row>
    <row r="1363" spans="1:15" x14ac:dyDescent="0.2">
      <c r="A1363">
        <v>99</v>
      </c>
      <c r="B1363" t="s">
        <v>2117</v>
      </c>
      <c r="C1363" t="s">
        <v>5020</v>
      </c>
      <c r="D1363" t="s">
        <v>853</v>
      </c>
      <c r="E1363" t="s">
        <v>980</v>
      </c>
      <c r="F1363">
        <v>1.2921</v>
      </c>
      <c r="G1363">
        <v>0.9</v>
      </c>
      <c r="H1363" t="s">
        <v>1052</v>
      </c>
      <c r="I1363" t="s">
        <v>153</v>
      </c>
      <c r="J1363">
        <v>1.16289</v>
      </c>
      <c r="K1363">
        <v>612.92443200000002</v>
      </c>
      <c r="L1363" t="s">
        <v>1223</v>
      </c>
      <c r="M1363">
        <v>527.07000000000005</v>
      </c>
      <c r="N1363" t="s">
        <v>5021</v>
      </c>
      <c r="O1363" t="s">
        <v>5022</v>
      </c>
    </row>
    <row r="1364" spans="1:15" x14ac:dyDescent="0.2">
      <c r="A1364">
        <v>99</v>
      </c>
      <c r="B1364" t="s">
        <v>2117</v>
      </c>
      <c r="C1364" t="s">
        <v>5020</v>
      </c>
      <c r="D1364" t="s">
        <v>801</v>
      </c>
      <c r="E1364" t="s">
        <v>402</v>
      </c>
      <c r="F1364">
        <v>0</v>
      </c>
      <c r="G1364">
        <v>10.3</v>
      </c>
      <c r="H1364" t="s">
        <v>151</v>
      </c>
      <c r="I1364" t="s">
        <v>153</v>
      </c>
      <c r="J1364">
        <v>0</v>
      </c>
      <c r="K1364">
        <v>0</v>
      </c>
      <c r="L1364" t="s">
        <v>1223</v>
      </c>
      <c r="M1364">
        <v>527.07000000000005</v>
      </c>
      <c r="N1364" t="s">
        <v>5023</v>
      </c>
      <c r="O1364" t="s">
        <v>5022</v>
      </c>
    </row>
    <row r="1365" spans="1:15" x14ac:dyDescent="0.2">
      <c r="A1365">
        <v>99</v>
      </c>
      <c r="B1365" t="s">
        <v>2117</v>
      </c>
      <c r="C1365" t="s">
        <v>5020</v>
      </c>
      <c r="D1365" t="s">
        <v>706</v>
      </c>
      <c r="E1365" t="s">
        <v>130</v>
      </c>
      <c r="F1365">
        <v>0.18</v>
      </c>
      <c r="G1365">
        <v>8</v>
      </c>
      <c r="H1365" t="s">
        <v>1052</v>
      </c>
      <c r="I1365" t="s">
        <v>153</v>
      </c>
      <c r="J1365">
        <v>1.44</v>
      </c>
      <c r="K1365">
        <v>758.98080000000004</v>
      </c>
      <c r="L1365" t="s">
        <v>1223</v>
      </c>
      <c r="M1365">
        <v>527.07000000000005</v>
      </c>
      <c r="N1365" t="s">
        <v>5024</v>
      </c>
      <c r="O1365" t="s">
        <v>5022</v>
      </c>
    </row>
    <row r="1366" spans="1:15" x14ac:dyDescent="0.2">
      <c r="A1366">
        <v>99</v>
      </c>
      <c r="B1366" t="s">
        <v>2117</v>
      </c>
      <c r="C1366" t="s">
        <v>5020</v>
      </c>
      <c r="D1366" t="s">
        <v>824</v>
      </c>
      <c r="E1366" t="s">
        <v>3418</v>
      </c>
      <c r="F1366">
        <v>0.16500000000000001</v>
      </c>
      <c r="G1366">
        <v>25</v>
      </c>
      <c r="H1366" t="s">
        <v>1152</v>
      </c>
      <c r="I1366" t="s">
        <v>153</v>
      </c>
      <c r="J1366">
        <v>4.125</v>
      </c>
      <c r="K1366">
        <v>2174.1637500000002</v>
      </c>
      <c r="L1366" t="s">
        <v>1223</v>
      </c>
      <c r="M1366">
        <v>527.07000000000005</v>
      </c>
      <c r="N1366" t="s">
        <v>5025</v>
      </c>
      <c r="O1366" t="s">
        <v>5022</v>
      </c>
    </row>
    <row r="1367" spans="1:15" x14ac:dyDescent="0.2">
      <c r="A1367">
        <v>99</v>
      </c>
      <c r="B1367" t="s">
        <v>2117</v>
      </c>
      <c r="C1367" t="s">
        <v>5020</v>
      </c>
      <c r="D1367" t="s">
        <v>498</v>
      </c>
      <c r="E1367" t="s">
        <v>773</v>
      </c>
      <c r="F1367">
        <v>1.2</v>
      </c>
      <c r="G1367">
        <v>0</v>
      </c>
      <c r="H1367" t="s">
        <v>84</v>
      </c>
      <c r="I1367" t="s">
        <v>153</v>
      </c>
      <c r="J1367">
        <v>0</v>
      </c>
      <c r="K1367">
        <v>0</v>
      </c>
      <c r="L1367" t="s">
        <v>1223</v>
      </c>
      <c r="M1367">
        <v>527.07000000000005</v>
      </c>
      <c r="N1367" t="s">
        <v>5026</v>
      </c>
      <c r="O1367" t="s">
        <v>5022</v>
      </c>
    </row>
    <row r="1368" spans="1:15" x14ac:dyDescent="0.2">
      <c r="A1368">
        <v>99</v>
      </c>
      <c r="B1368" t="s">
        <v>2117</v>
      </c>
      <c r="C1368" t="s">
        <v>5020</v>
      </c>
      <c r="D1368" t="s">
        <v>1006</v>
      </c>
      <c r="E1368" t="s">
        <v>699</v>
      </c>
      <c r="F1368">
        <v>0</v>
      </c>
      <c r="G1368">
        <v>28.988</v>
      </c>
      <c r="H1368" t="s">
        <v>151</v>
      </c>
      <c r="I1368" t="s">
        <v>153</v>
      </c>
      <c r="J1368">
        <v>0</v>
      </c>
      <c r="K1368">
        <v>0</v>
      </c>
      <c r="L1368" t="s">
        <v>1223</v>
      </c>
      <c r="M1368">
        <v>527.07000000000005</v>
      </c>
      <c r="N1368" t="s">
        <v>5027</v>
      </c>
      <c r="O1368" t="s">
        <v>5022</v>
      </c>
    </row>
    <row r="1369" spans="1:15" x14ac:dyDescent="0.2">
      <c r="A1369">
        <v>99</v>
      </c>
      <c r="B1369" t="s">
        <v>2117</v>
      </c>
      <c r="C1369" t="s">
        <v>5020</v>
      </c>
      <c r="D1369" t="s">
        <v>5028</v>
      </c>
      <c r="E1369" t="s">
        <v>5029</v>
      </c>
      <c r="F1369">
        <v>0.16500000000000001</v>
      </c>
      <c r="G1369">
        <v>850</v>
      </c>
      <c r="H1369" t="s">
        <v>1152</v>
      </c>
      <c r="I1369" t="s">
        <v>153</v>
      </c>
      <c r="J1369">
        <v>140.25</v>
      </c>
      <c r="K1369">
        <v>73921.567500000005</v>
      </c>
      <c r="L1369" t="s">
        <v>1223</v>
      </c>
      <c r="M1369">
        <v>527.07000000000005</v>
      </c>
      <c r="N1369" t="s">
        <v>5030</v>
      </c>
      <c r="O1369" t="s">
        <v>5022</v>
      </c>
    </row>
    <row r="1370" spans="1:15" x14ac:dyDescent="0.2">
      <c r="A1370">
        <v>99</v>
      </c>
      <c r="B1370" t="s">
        <v>2117</v>
      </c>
      <c r="C1370" t="s">
        <v>5020</v>
      </c>
      <c r="D1370" t="s">
        <v>946</v>
      </c>
      <c r="E1370" t="s">
        <v>1695</v>
      </c>
      <c r="F1370">
        <v>0.16500000000000001</v>
      </c>
      <c r="G1370">
        <v>40</v>
      </c>
      <c r="H1370" t="s">
        <v>1819</v>
      </c>
      <c r="I1370" t="s">
        <v>153</v>
      </c>
      <c r="J1370">
        <v>6.6</v>
      </c>
      <c r="K1370">
        <v>3478.6619999999998</v>
      </c>
      <c r="L1370" t="s">
        <v>1223</v>
      </c>
      <c r="M1370">
        <v>527.07000000000005</v>
      </c>
      <c r="N1370" t="s">
        <v>5031</v>
      </c>
      <c r="O1370" t="s">
        <v>5022</v>
      </c>
    </row>
    <row r="1371" spans="1:15" x14ac:dyDescent="0.2">
      <c r="A1371">
        <v>99</v>
      </c>
      <c r="B1371" t="s">
        <v>2117</v>
      </c>
      <c r="C1371" t="s">
        <v>5032</v>
      </c>
      <c r="D1371" t="s">
        <v>946</v>
      </c>
      <c r="E1371" t="s">
        <v>1695</v>
      </c>
      <c r="F1371">
        <v>1.1000000000000001</v>
      </c>
      <c r="G1371">
        <v>40</v>
      </c>
      <c r="H1371" t="s">
        <v>1819</v>
      </c>
      <c r="I1371" t="s">
        <v>1152</v>
      </c>
      <c r="J1371">
        <v>44</v>
      </c>
      <c r="K1371">
        <v>120813.44</v>
      </c>
      <c r="L1371" t="s">
        <v>1189</v>
      </c>
      <c r="M1371">
        <v>2745.76</v>
      </c>
      <c r="N1371" t="s">
        <v>5033</v>
      </c>
      <c r="O1371" t="s">
        <v>5034</v>
      </c>
    </row>
    <row r="1372" spans="1:15" x14ac:dyDescent="0.2">
      <c r="A1372">
        <v>99</v>
      </c>
      <c r="B1372" t="s">
        <v>2117</v>
      </c>
      <c r="C1372" t="s">
        <v>5032</v>
      </c>
      <c r="D1372" t="s">
        <v>903</v>
      </c>
      <c r="E1372" t="s">
        <v>864</v>
      </c>
      <c r="F1372">
        <v>1</v>
      </c>
      <c r="G1372">
        <v>3.5</v>
      </c>
      <c r="H1372" t="s">
        <v>1152</v>
      </c>
      <c r="I1372" t="s">
        <v>1152</v>
      </c>
      <c r="J1372">
        <v>3.5</v>
      </c>
      <c r="K1372">
        <v>9610.16</v>
      </c>
      <c r="L1372" t="s">
        <v>1189</v>
      </c>
      <c r="M1372">
        <v>2745.76</v>
      </c>
      <c r="N1372" t="s">
        <v>5035</v>
      </c>
      <c r="O1372" t="s">
        <v>5034</v>
      </c>
    </row>
    <row r="1373" spans="1:15" x14ac:dyDescent="0.2">
      <c r="A1373">
        <v>99</v>
      </c>
      <c r="B1373" t="s">
        <v>2117</v>
      </c>
      <c r="C1373" t="s">
        <v>5032</v>
      </c>
      <c r="D1373" t="s">
        <v>1006</v>
      </c>
      <c r="E1373" t="s">
        <v>699</v>
      </c>
      <c r="F1373">
        <v>0</v>
      </c>
      <c r="G1373">
        <v>28.988</v>
      </c>
      <c r="H1373" t="s">
        <v>151</v>
      </c>
      <c r="I1373" t="s">
        <v>1152</v>
      </c>
      <c r="J1373">
        <v>0</v>
      </c>
      <c r="K1373">
        <v>0</v>
      </c>
      <c r="L1373" t="s">
        <v>1189</v>
      </c>
      <c r="M1373">
        <v>2745.76</v>
      </c>
      <c r="N1373" t="s">
        <v>5036</v>
      </c>
      <c r="O1373" t="s">
        <v>5034</v>
      </c>
    </row>
    <row r="1374" spans="1:15" x14ac:dyDescent="0.2">
      <c r="A1374">
        <v>99</v>
      </c>
      <c r="B1374" t="s">
        <v>2117</v>
      </c>
      <c r="C1374" t="s">
        <v>5032</v>
      </c>
      <c r="D1374" t="s">
        <v>498</v>
      </c>
      <c r="E1374" t="s">
        <v>773</v>
      </c>
      <c r="F1374">
        <v>1.2</v>
      </c>
      <c r="G1374">
        <v>0</v>
      </c>
      <c r="H1374" t="s">
        <v>84</v>
      </c>
      <c r="I1374" t="s">
        <v>1152</v>
      </c>
      <c r="J1374">
        <v>0</v>
      </c>
      <c r="K1374">
        <v>0</v>
      </c>
      <c r="L1374" t="s">
        <v>1189</v>
      </c>
      <c r="M1374">
        <v>2745.76</v>
      </c>
      <c r="N1374" t="s">
        <v>5037</v>
      </c>
      <c r="O1374" t="s">
        <v>5034</v>
      </c>
    </row>
    <row r="1375" spans="1:15" x14ac:dyDescent="0.2">
      <c r="A1375">
        <v>99</v>
      </c>
      <c r="B1375" t="s">
        <v>2117</v>
      </c>
      <c r="C1375" t="s">
        <v>5032</v>
      </c>
      <c r="D1375" t="s">
        <v>824</v>
      </c>
      <c r="E1375" t="s">
        <v>3418</v>
      </c>
      <c r="F1375">
        <v>1.1000000000000001</v>
      </c>
      <c r="G1375">
        <v>25</v>
      </c>
      <c r="H1375" t="s">
        <v>1152</v>
      </c>
      <c r="I1375" t="s">
        <v>1152</v>
      </c>
      <c r="J1375">
        <v>27.5</v>
      </c>
      <c r="K1375">
        <v>75508.399999999994</v>
      </c>
      <c r="L1375" t="s">
        <v>1189</v>
      </c>
      <c r="M1375">
        <v>2745.76</v>
      </c>
      <c r="N1375" t="s">
        <v>5038</v>
      </c>
      <c r="O1375" t="s">
        <v>5034</v>
      </c>
    </row>
    <row r="1376" spans="1:15" x14ac:dyDescent="0.2">
      <c r="A1376">
        <v>99</v>
      </c>
      <c r="B1376" t="s">
        <v>2117</v>
      </c>
      <c r="C1376" t="s">
        <v>5032</v>
      </c>
      <c r="D1376" t="s">
        <v>1837</v>
      </c>
      <c r="E1376" t="s">
        <v>3631</v>
      </c>
      <c r="F1376">
        <v>1.1000000000000001</v>
      </c>
      <c r="G1376">
        <v>680</v>
      </c>
      <c r="H1376" t="s">
        <v>1152</v>
      </c>
      <c r="I1376" t="s">
        <v>1152</v>
      </c>
      <c r="J1376">
        <v>748</v>
      </c>
      <c r="K1376">
        <v>2053828.48</v>
      </c>
      <c r="L1376" t="s">
        <v>1189</v>
      </c>
      <c r="M1376">
        <v>2745.76</v>
      </c>
      <c r="N1376" t="s">
        <v>5039</v>
      </c>
      <c r="O1376" t="s">
        <v>5034</v>
      </c>
    </row>
    <row r="1377" spans="1:15" x14ac:dyDescent="0.2">
      <c r="A1377">
        <v>99</v>
      </c>
      <c r="B1377" t="s">
        <v>2117</v>
      </c>
      <c r="C1377" t="s">
        <v>5032</v>
      </c>
      <c r="D1377" t="s">
        <v>706</v>
      </c>
      <c r="E1377" t="s">
        <v>130</v>
      </c>
      <c r="F1377">
        <v>0.14000000000000001</v>
      </c>
      <c r="G1377">
        <v>8</v>
      </c>
      <c r="H1377" t="s">
        <v>1052</v>
      </c>
      <c r="I1377" t="s">
        <v>1152</v>
      </c>
      <c r="J1377">
        <v>1.1200000000000001</v>
      </c>
      <c r="K1377">
        <v>3075.2512000000002</v>
      </c>
      <c r="L1377" t="s">
        <v>1189</v>
      </c>
      <c r="M1377">
        <v>2745.76</v>
      </c>
      <c r="N1377" t="s">
        <v>5040</v>
      </c>
      <c r="O1377" t="s">
        <v>5034</v>
      </c>
    </row>
    <row r="1378" spans="1:15" x14ac:dyDescent="0.2">
      <c r="A1378">
        <v>99</v>
      </c>
      <c r="B1378" t="s">
        <v>2117</v>
      </c>
      <c r="C1378" t="s">
        <v>5032</v>
      </c>
      <c r="D1378" t="s">
        <v>801</v>
      </c>
      <c r="E1378" t="s">
        <v>402</v>
      </c>
      <c r="F1378">
        <v>0</v>
      </c>
      <c r="G1378">
        <v>10.3</v>
      </c>
      <c r="H1378" t="s">
        <v>151</v>
      </c>
      <c r="I1378" t="s">
        <v>1152</v>
      </c>
      <c r="J1378">
        <v>0</v>
      </c>
      <c r="K1378">
        <v>0</v>
      </c>
      <c r="L1378" t="s">
        <v>1189</v>
      </c>
      <c r="M1378">
        <v>2745.76</v>
      </c>
      <c r="N1378" t="s">
        <v>5041</v>
      </c>
      <c r="O1378" t="s">
        <v>5034</v>
      </c>
    </row>
    <row r="1379" spans="1:15" x14ac:dyDescent="0.2">
      <c r="A1379">
        <v>99</v>
      </c>
      <c r="B1379" t="s">
        <v>2117</v>
      </c>
      <c r="C1379" t="s">
        <v>5032</v>
      </c>
      <c r="D1379" t="s">
        <v>853</v>
      </c>
      <c r="E1379" t="s">
        <v>980</v>
      </c>
      <c r="F1379">
        <v>9.1300000000000008</v>
      </c>
      <c r="G1379">
        <v>0.9</v>
      </c>
      <c r="H1379" t="s">
        <v>1052</v>
      </c>
      <c r="I1379" t="s">
        <v>1152</v>
      </c>
      <c r="J1379">
        <v>8.2170000000000005</v>
      </c>
      <c r="K1379">
        <v>22561.909919999998</v>
      </c>
      <c r="L1379" t="s">
        <v>1189</v>
      </c>
      <c r="M1379">
        <v>2745.76</v>
      </c>
      <c r="N1379" t="s">
        <v>5042</v>
      </c>
      <c r="O1379" t="s">
        <v>5034</v>
      </c>
    </row>
    <row r="1380" spans="1:15" x14ac:dyDescent="0.2">
      <c r="A1380">
        <v>99</v>
      </c>
      <c r="B1380" t="s">
        <v>2117</v>
      </c>
      <c r="C1380" t="s">
        <v>5032</v>
      </c>
      <c r="D1380" t="s">
        <v>838</v>
      </c>
      <c r="E1380" t="s">
        <v>3419</v>
      </c>
      <c r="F1380">
        <v>1</v>
      </c>
      <c r="G1380">
        <v>90</v>
      </c>
      <c r="H1380" t="s">
        <v>1152</v>
      </c>
      <c r="I1380" t="s">
        <v>1152</v>
      </c>
      <c r="J1380">
        <v>90</v>
      </c>
      <c r="K1380">
        <v>247118.4</v>
      </c>
      <c r="L1380" t="s">
        <v>1189</v>
      </c>
      <c r="M1380">
        <v>2745.76</v>
      </c>
      <c r="N1380" t="s">
        <v>5043</v>
      </c>
      <c r="O1380" t="s">
        <v>5034</v>
      </c>
    </row>
    <row r="1381" spans="1:15" x14ac:dyDescent="0.2">
      <c r="A1381">
        <v>99</v>
      </c>
      <c r="B1381" t="s">
        <v>2117</v>
      </c>
      <c r="C1381" t="s">
        <v>1243</v>
      </c>
      <c r="D1381" t="s">
        <v>853</v>
      </c>
      <c r="E1381" t="s">
        <v>980</v>
      </c>
      <c r="F1381">
        <v>12.93</v>
      </c>
      <c r="G1381">
        <v>0.9</v>
      </c>
      <c r="H1381" t="s">
        <v>1052</v>
      </c>
      <c r="I1381" t="s">
        <v>1152</v>
      </c>
      <c r="J1381">
        <v>11.637</v>
      </c>
      <c r="K1381">
        <v>1431.2346299999999</v>
      </c>
      <c r="L1381" t="s">
        <v>1221</v>
      </c>
      <c r="M1381">
        <v>122.99</v>
      </c>
      <c r="N1381" t="s">
        <v>3685</v>
      </c>
      <c r="O1381" t="s">
        <v>3675</v>
      </c>
    </row>
    <row r="1382" spans="1:15" x14ac:dyDescent="0.2">
      <c r="A1382">
        <v>99</v>
      </c>
      <c r="B1382" t="s">
        <v>2117</v>
      </c>
      <c r="C1382" t="s">
        <v>1243</v>
      </c>
      <c r="D1382" t="s">
        <v>801</v>
      </c>
      <c r="E1382" t="s">
        <v>402</v>
      </c>
      <c r="F1382">
        <v>0</v>
      </c>
      <c r="G1382">
        <v>10.3</v>
      </c>
      <c r="H1382" t="s">
        <v>151</v>
      </c>
      <c r="I1382" t="s">
        <v>1152</v>
      </c>
      <c r="J1382">
        <v>0</v>
      </c>
      <c r="K1382">
        <v>0</v>
      </c>
      <c r="L1382" t="s">
        <v>1221</v>
      </c>
      <c r="M1382">
        <v>122.99</v>
      </c>
      <c r="N1382" t="s">
        <v>3680</v>
      </c>
      <c r="O1382" t="s">
        <v>3675</v>
      </c>
    </row>
    <row r="1383" spans="1:15" x14ac:dyDescent="0.2">
      <c r="A1383">
        <v>99</v>
      </c>
      <c r="B1383" t="s">
        <v>2117</v>
      </c>
      <c r="C1383" t="s">
        <v>1243</v>
      </c>
      <c r="D1383" t="s">
        <v>128</v>
      </c>
      <c r="E1383" t="s">
        <v>3677</v>
      </c>
      <c r="F1383">
        <v>1.1000000000000001</v>
      </c>
      <c r="G1383">
        <v>1000</v>
      </c>
      <c r="H1383" t="s">
        <v>1152</v>
      </c>
      <c r="I1383" t="s">
        <v>1152</v>
      </c>
      <c r="J1383">
        <v>1100</v>
      </c>
      <c r="K1383">
        <v>135289</v>
      </c>
      <c r="L1383" t="s">
        <v>1221</v>
      </c>
      <c r="M1383">
        <v>122.99</v>
      </c>
      <c r="N1383" t="s">
        <v>3678</v>
      </c>
      <c r="O1383" t="s">
        <v>3675</v>
      </c>
    </row>
    <row r="1384" spans="1:15" x14ac:dyDescent="0.2">
      <c r="A1384">
        <v>99</v>
      </c>
      <c r="B1384" t="s">
        <v>2117</v>
      </c>
      <c r="C1384" t="s">
        <v>1243</v>
      </c>
      <c r="D1384" t="s">
        <v>706</v>
      </c>
      <c r="E1384" t="s">
        <v>130</v>
      </c>
      <c r="F1384">
        <v>0.21</v>
      </c>
      <c r="G1384">
        <v>8</v>
      </c>
      <c r="H1384" t="s">
        <v>1052</v>
      </c>
      <c r="I1384" t="s">
        <v>1152</v>
      </c>
      <c r="J1384">
        <v>1.68</v>
      </c>
      <c r="K1384">
        <v>206.6232</v>
      </c>
      <c r="L1384" t="s">
        <v>1221</v>
      </c>
      <c r="M1384">
        <v>122.99</v>
      </c>
      <c r="N1384" t="s">
        <v>3686</v>
      </c>
      <c r="O1384" t="s">
        <v>3675</v>
      </c>
    </row>
    <row r="1385" spans="1:15" x14ac:dyDescent="0.2">
      <c r="A1385">
        <v>99</v>
      </c>
      <c r="B1385" t="s">
        <v>2117</v>
      </c>
      <c r="C1385" t="s">
        <v>1243</v>
      </c>
      <c r="D1385" t="s">
        <v>824</v>
      </c>
      <c r="E1385" t="s">
        <v>3418</v>
      </c>
      <c r="F1385">
        <v>1.1000000000000001</v>
      </c>
      <c r="G1385">
        <v>25</v>
      </c>
      <c r="H1385" t="s">
        <v>1152</v>
      </c>
      <c r="I1385" t="s">
        <v>1152</v>
      </c>
      <c r="J1385">
        <v>27.5</v>
      </c>
      <c r="K1385">
        <v>3382.2249999999999</v>
      </c>
      <c r="L1385" t="s">
        <v>1221</v>
      </c>
      <c r="M1385">
        <v>122.99</v>
      </c>
      <c r="N1385" t="s">
        <v>3681</v>
      </c>
      <c r="O1385" t="s">
        <v>3675</v>
      </c>
    </row>
    <row r="1386" spans="1:15" x14ac:dyDescent="0.2">
      <c r="A1386">
        <v>99</v>
      </c>
      <c r="B1386" t="s">
        <v>2117</v>
      </c>
      <c r="C1386" t="s">
        <v>1243</v>
      </c>
      <c r="D1386" t="s">
        <v>498</v>
      </c>
      <c r="E1386" t="s">
        <v>773</v>
      </c>
      <c r="F1386">
        <v>1.2</v>
      </c>
      <c r="G1386">
        <v>0</v>
      </c>
      <c r="H1386" t="s">
        <v>84</v>
      </c>
      <c r="I1386" t="s">
        <v>1152</v>
      </c>
      <c r="J1386">
        <v>0</v>
      </c>
      <c r="K1386">
        <v>0</v>
      </c>
      <c r="L1386" t="s">
        <v>1221</v>
      </c>
      <c r="M1386">
        <v>122.99</v>
      </c>
      <c r="N1386" t="s">
        <v>3674</v>
      </c>
      <c r="O1386" t="s">
        <v>3675</v>
      </c>
    </row>
    <row r="1387" spans="1:15" x14ac:dyDescent="0.2">
      <c r="A1387">
        <v>99</v>
      </c>
      <c r="B1387" t="s">
        <v>2117</v>
      </c>
      <c r="C1387" t="s">
        <v>1243</v>
      </c>
      <c r="D1387" t="s">
        <v>1006</v>
      </c>
      <c r="E1387" t="s">
        <v>699</v>
      </c>
      <c r="F1387">
        <v>0</v>
      </c>
      <c r="G1387">
        <v>28.988</v>
      </c>
      <c r="H1387" t="s">
        <v>151</v>
      </c>
      <c r="I1387" t="s">
        <v>1152</v>
      </c>
      <c r="J1387">
        <v>0</v>
      </c>
      <c r="K1387">
        <v>0</v>
      </c>
      <c r="L1387" t="s">
        <v>1221</v>
      </c>
      <c r="M1387">
        <v>122.99</v>
      </c>
      <c r="N1387" t="s">
        <v>3679</v>
      </c>
      <c r="O1387" t="s">
        <v>3675</v>
      </c>
    </row>
    <row r="1388" spans="1:15" x14ac:dyDescent="0.2">
      <c r="A1388">
        <v>99</v>
      </c>
      <c r="B1388" t="s">
        <v>2117</v>
      </c>
      <c r="C1388" t="s">
        <v>1243</v>
      </c>
      <c r="D1388" t="s">
        <v>903</v>
      </c>
      <c r="E1388" t="s">
        <v>864</v>
      </c>
      <c r="F1388">
        <v>1</v>
      </c>
      <c r="G1388">
        <v>3.5</v>
      </c>
      <c r="H1388" t="s">
        <v>1152</v>
      </c>
      <c r="I1388" t="s">
        <v>1152</v>
      </c>
      <c r="J1388">
        <v>3.5</v>
      </c>
      <c r="K1388">
        <v>430.46499999999997</v>
      </c>
      <c r="L1388" t="s">
        <v>1221</v>
      </c>
      <c r="M1388">
        <v>122.99</v>
      </c>
      <c r="N1388" t="s">
        <v>3682</v>
      </c>
      <c r="O1388" t="s">
        <v>3675</v>
      </c>
    </row>
    <row r="1389" spans="1:15" x14ac:dyDescent="0.2">
      <c r="A1389">
        <v>99</v>
      </c>
      <c r="B1389" t="s">
        <v>2117</v>
      </c>
      <c r="C1389" t="s">
        <v>1243</v>
      </c>
      <c r="D1389" t="s">
        <v>946</v>
      </c>
      <c r="E1389" t="s">
        <v>1695</v>
      </c>
      <c r="F1389">
        <v>1.1000000000000001</v>
      </c>
      <c r="G1389">
        <v>40</v>
      </c>
      <c r="H1389" t="s">
        <v>1819</v>
      </c>
      <c r="I1389" t="s">
        <v>1152</v>
      </c>
      <c r="J1389">
        <v>44</v>
      </c>
      <c r="K1389">
        <v>5411.56</v>
      </c>
      <c r="L1389" t="s">
        <v>1221</v>
      </c>
      <c r="M1389">
        <v>122.99</v>
      </c>
      <c r="N1389" t="s">
        <v>3676</v>
      </c>
      <c r="O1389" t="s">
        <v>3675</v>
      </c>
    </row>
    <row r="1390" spans="1:15" x14ac:dyDescent="0.2">
      <c r="A1390">
        <v>99</v>
      </c>
      <c r="B1390" t="s">
        <v>2117</v>
      </c>
      <c r="C1390" t="s">
        <v>1243</v>
      </c>
      <c r="D1390" t="s">
        <v>1042</v>
      </c>
      <c r="E1390" t="s">
        <v>3683</v>
      </c>
      <c r="F1390">
        <v>1</v>
      </c>
      <c r="G1390">
        <v>180</v>
      </c>
      <c r="H1390" t="s">
        <v>1152</v>
      </c>
      <c r="I1390" t="s">
        <v>1152</v>
      </c>
      <c r="J1390">
        <v>180</v>
      </c>
      <c r="K1390">
        <v>22138.2</v>
      </c>
      <c r="L1390" t="s">
        <v>1221</v>
      </c>
      <c r="M1390">
        <v>122.99</v>
      </c>
      <c r="N1390" t="s">
        <v>3684</v>
      </c>
      <c r="O1390" t="s">
        <v>3675</v>
      </c>
    </row>
    <row r="1391" spans="1:15" x14ac:dyDescent="0.2">
      <c r="A1391">
        <v>99</v>
      </c>
      <c r="B1391" t="s">
        <v>2117</v>
      </c>
      <c r="C1391" t="s">
        <v>5044</v>
      </c>
      <c r="D1391" t="s">
        <v>946</v>
      </c>
      <c r="E1391" t="s">
        <v>1695</v>
      </c>
      <c r="F1391">
        <v>1.1000000000000001</v>
      </c>
      <c r="G1391">
        <v>40</v>
      </c>
      <c r="H1391" t="s">
        <v>1819</v>
      </c>
      <c r="I1391" t="s">
        <v>1152</v>
      </c>
      <c r="J1391">
        <v>44</v>
      </c>
      <c r="K1391">
        <v>4000.92</v>
      </c>
      <c r="L1391" t="s">
        <v>521</v>
      </c>
      <c r="M1391">
        <v>90.93</v>
      </c>
      <c r="N1391" t="s">
        <v>5045</v>
      </c>
      <c r="O1391" t="s">
        <v>5046</v>
      </c>
    </row>
    <row r="1392" spans="1:15" x14ac:dyDescent="0.2">
      <c r="A1392">
        <v>99</v>
      </c>
      <c r="B1392" t="s">
        <v>2117</v>
      </c>
      <c r="C1392" t="s">
        <v>5044</v>
      </c>
      <c r="D1392" t="s">
        <v>903</v>
      </c>
      <c r="E1392" t="s">
        <v>864</v>
      </c>
      <c r="F1392">
        <v>1</v>
      </c>
      <c r="G1392">
        <v>3.5</v>
      </c>
      <c r="H1392" t="s">
        <v>1152</v>
      </c>
      <c r="I1392" t="s">
        <v>1152</v>
      </c>
      <c r="J1392">
        <v>3.5</v>
      </c>
      <c r="K1392">
        <v>318.255</v>
      </c>
      <c r="L1392" t="s">
        <v>521</v>
      </c>
      <c r="M1392">
        <v>90.93</v>
      </c>
      <c r="N1392" t="s">
        <v>5047</v>
      </c>
      <c r="O1392" t="s">
        <v>5046</v>
      </c>
    </row>
    <row r="1393" spans="1:15" x14ac:dyDescent="0.2">
      <c r="A1393">
        <v>99</v>
      </c>
      <c r="B1393" t="s">
        <v>2117</v>
      </c>
      <c r="C1393" t="s">
        <v>5044</v>
      </c>
      <c r="D1393" t="s">
        <v>1006</v>
      </c>
      <c r="E1393" t="s">
        <v>699</v>
      </c>
      <c r="F1393">
        <v>0</v>
      </c>
      <c r="G1393">
        <v>28.988</v>
      </c>
      <c r="H1393" t="s">
        <v>151</v>
      </c>
      <c r="I1393" t="s">
        <v>1152</v>
      </c>
      <c r="J1393">
        <v>0</v>
      </c>
      <c r="K1393">
        <v>0</v>
      </c>
      <c r="L1393" t="s">
        <v>521</v>
      </c>
      <c r="M1393">
        <v>90.93</v>
      </c>
      <c r="N1393" t="s">
        <v>5048</v>
      </c>
      <c r="O1393" t="s">
        <v>5046</v>
      </c>
    </row>
    <row r="1394" spans="1:15" x14ac:dyDescent="0.2">
      <c r="A1394">
        <v>99</v>
      </c>
      <c r="B1394" t="s">
        <v>2117</v>
      </c>
      <c r="C1394" t="s">
        <v>5044</v>
      </c>
      <c r="D1394" t="s">
        <v>498</v>
      </c>
      <c r="E1394" t="s">
        <v>773</v>
      </c>
      <c r="F1394">
        <v>1.2</v>
      </c>
      <c r="G1394">
        <v>0</v>
      </c>
      <c r="H1394" t="s">
        <v>84</v>
      </c>
      <c r="I1394" t="s">
        <v>1152</v>
      </c>
      <c r="J1394">
        <v>0</v>
      </c>
      <c r="K1394">
        <v>0</v>
      </c>
      <c r="L1394" t="s">
        <v>521</v>
      </c>
      <c r="M1394">
        <v>90.93</v>
      </c>
      <c r="N1394" t="s">
        <v>5049</v>
      </c>
      <c r="O1394" t="s">
        <v>5046</v>
      </c>
    </row>
    <row r="1395" spans="1:15" x14ac:dyDescent="0.2">
      <c r="A1395">
        <v>99</v>
      </c>
      <c r="B1395" t="s">
        <v>2117</v>
      </c>
      <c r="C1395" t="s">
        <v>5044</v>
      </c>
      <c r="D1395" t="s">
        <v>824</v>
      </c>
      <c r="E1395" t="s">
        <v>3418</v>
      </c>
      <c r="F1395">
        <v>1.1000000000000001</v>
      </c>
      <c r="G1395">
        <v>25</v>
      </c>
      <c r="H1395" t="s">
        <v>1152</v>
      </c>
      <c r="I1395" t="s">
        <v>1152</v>
      </c>
      <c r="J1395">
        <v>27.5</v>
      </c>
      <c r="K1395">
        <v>2500.5749999999998</v>
      </c>
      <c r="L1395" t="s">
        <v>521</v>
      </c>
      <c r="M1395">
        <v>90.93</v>
      </c>
      <c r="N1395" t="s">
        <v>5050</v>
      </c>
      <c r="O1395" t="s">
        <v>5046</v>
      </c>
    </row>
    <row r="1396" spans="1:15" x14ac:dyDescent="0.2">
      <c r="A1396">
        <v>99</v>
      </c>
      <c r="B1396" t="s">
        <v>2117</v>
      </c>
      <c r="C1396" t="s">
        <v>5044</v>
      </c>
      <c r="D1396" t="s">
        <v>706</v>
      </c>
      <c r="E1396" t="s">
        <v>130</v>
      </c>
      <c r="F1396">
        <v>0.14000000000000001</v>
      </c>
      <c r="G1396">
        <v>8</v>
      </c>
      <c r="H1396" t="s">
        <v>1052</v>
      </c>
      <c r="I1396" t="s">
        <v>1152</v>
      </c>
      <c r="J1396">
        <v>1.1200000000000001</v>
      </c>
      <c r="K1396">
        <v>101.8416</v>
      </c>
      <c r="L1396" t="s">
        <v>521</v>
      </c>
      <c r="M1396">
        <v>90.93</v>
      </c>
      <c r="N1396" t="s">
        <v>5051</v>
      </c>
      <c r="O1396" t="s">
        <v>5046</v>
      </c>
    </row>
    <row r="1397" spans="1:15" x14ac:dyDescent="0.2">
      <c r="A1397">
        <v>99</v>
      </c>
      <c r="B1397" t="s">
        <v>2117</v>
      </c>
      <c r="C1397" t="s">
        <v>5044</v>
      </c>
      <c r="D1397" t="s">
        <v>5052</v>
      </c>
      <c r="E1397" t="s">
        <v>5053</v>
      </c>
      <c r="F1397">
        <v>1.1000000000000001</v>
      </c>
      <c r="G1397">
        <v>800</v>
      </c>
      <c r="H1397" t="s">
        <v>1152</v>
      </c>
      <c r="I1397" t="s">
        <v>1152</v>
      </c>
      <c r="J1397">
        <v>880</v>
      </c>
      <c r="K1397">
        <v>80018.399999999994</v>
      </c>
      <c r="L1397" t="s">
        <v>521</v>
      </c>
      <c r="M1397">
        <v>90.93</v>
      </c>
      <c r="N1397" t="s">
        <v>5054</v>
      </c>
      <c r="O1397" t="s">
        <v>5046</v>
      </c>
    </row>
    <row r="1398" spans="1:15" x14ac:dyDescent="0.2">
      <c r="A1398">
        <v>99</v>
      </c>
      <c r="B1398" t="s">
        <v>2117</v>
      </c>
      <c r="C1398" t="s">
        <v>5044</v>
      </c>
      <c r="D1398" t="s">
        <v>801</v>
      </c>
      <c r="E1398" t="s">
        <v>402</v>
      </c>
      <c r="F1398">
        <v>0</v>
      </c>
      <c r="G1398">
        <v>10.3</v>
      </c>
      <c r="H1398" t="s">
        <v>151</v>
      </c>
      <c r="I1398" t="s">
        <v>1152</v>
      </c>
      <c r="J1398">
        <v>0</v>
      </c>
      <c r="K1398">
        <v>0</v>
      </c>
      <c r="L1398" t="s">
        <v>521</v>
      </c>
      <c r="M1398">
        <v>90.93</v>
      </c>
      <c r="N1398" t="s">
        <v>5055</v>
      </c>
      <c r="O1398" t="s">
        <v>5046</v>
      </c>
    </row>
    <row r="1399" spans="1:15" x14ac:dyDescent="0.2">
      <c r="A1399">
        <v>99</v>
      </c>
      <c r="B1399" t="s">
        <v>2117</v>
      </c>
      <c r="C1399" t="s">
        <v>5044</v>
      </c>
      <c r="D1399" t="s">
        <v>853</v>
      </c>
      <c r="E1399" t="s">
        <v>980</v>
      </c>
      <c r="F1399">
        <v>8.6199999999999992</v>
      </c>
      <c r="G1399">
        <v>0.9</v>
      </c>
      <c r="H1399" t="s">
        <v>1052</v>
      </c>
      <c r="I1399" t="s">
        <v>1152</v>
      </c>
      <c r="J1399">
        <v>7.758</v>
      </c>
      <c r="K1399">
        <v>705.43493999999998</v>
      </c>
      <c r="L1399" t="s">
        <v>521</v>
      </c>
      <c r="M1399">
        <v>90.93</v>
      </c>
      <c r="N1399" t="s">
        <v>5056</v>
      </c>
      <c r="O1399" t="s">
        <v>5046</v>
      </c>
    </row>
    <row r="1400" spans="1:15" x14ac:dyDescent="0.2">
      <c r="A1400">
        <v>99</v>
      </c>
      <c r="B1400" t="s">
        <v>2117</v>
      </c>
      <c r="C1400" t="s">
        <v>5044</v>
      </c>
      <c r="D1400" t="s">
        <v>838</v>
      </c>
      <c r="E1400" t="s">
        <v>3419</v>
      </c>
      <c r="F1400">
        <v>1</v>
      </c>
      <c r="G1400">
        <v>90</v>
      </c>
      <c r="H1400" t="s">
        <v>1152</v>
      </c>
      <c r="I1400" t="s">
        <v>1152</v>
      </c>
      <c r="J1400">
        <v>90</v>
      </c>
      <c r="K1400">
        <v>8183.7</v>
      </c>
      <c r="L1400" t="s">
        <v>521</v>
      </c>
      <c r="M1400">
        <v>90.93</v>
      </c>
      <c r="N1400" t="s">
        <v>5057</v>
      </c>
      <c r="O1400" t="s">
        <v>5046</v>
      </c>
    </row>
    <row r="1401" spans="1:15" x14ac:dyDescent="0.2">
      <c r="A1401">
        <v>99</v>
      </c>
      <c r="B1401" t="s">
        <v>2117</v>
      </c>
      <c r="C1401" t="s">
        <v>5058</v>
      </c>
      <c r="D1401" t="s">
        <v>838</v>
      </c>
      <c r="E1401" t="s">
        <v>3419</v>
      </c>
      <c r="F1401">
        <v>1</v>
      </c>
      <c r="G1401">
        <v>90</v>
      </c>
      <c r="H1401" t="s">
        <v>1152</v>
      </c>
      <c r="I1401" t="s">
        <v>1152</v>
      </c>
      <c r="J1401">
        <v>90</v>
      </c>
      <c r="K1401">
        <v>2539.8000000000002</v>
      </c>
      <c r="L1401" t="s">
        <v>1205</v>
      </c>
      <c r="M1401">
        <v>28.22</v>
      </c>
      <c r="N1401" t="s">
        <v>5059</v>
      </c>
      <c r="O1401" t="s">
        <v>5060</v>
      </c>
    </row>
    <row r="1402" spans="1:15" x14ac:dyDescent="0.2">
      <c r="A1402">
        <v>99</v>
      </c>
      <c r="B1402" t="s">
        <v>2117</v>
      </c>
      <c r="C1402" t="s">
        <v>5058</v>
      </c>
      <c r="D1402" t="s">
        <v>853</v>
      </c>
      <c r="E1402" t="s">
        <v>980</v>
      </c>
      <c r="F1402">
        <v>8.6199999999999992</v>
      </c>
      <c r="G1402">
        <v>0.9</v>
      </c>
      <c r="H1402" t="s">
        <v>1052</v>
      </c>
      <c r="I1402" t="s">
        <v>1152</v>
      </c>
      <c r="J1402">
        <v>7.758</v>
      </c>
      <c r="K1402">
        <v>218.93075999999999</v>
      </c>
      <c r="L1402" t="s">
        <v>1205</v>
      </c>
      <c r="M1402">
        <v>28.22</v>
      </c>
      <c r="N1402" t="s">
        <v>5061</v>
      </c>
      <c r="O1402" t="s">
        <v>5060</v>
      </c>
    </row>
    <row r="1403" spans="1:15" x14ac:dyDescent="0.2">
      <c r="A1403">
        <v>99</v>
      </c>
      <c r="B1403" t="s">
        <v>2117</v>
      </c>
      <c r="C1403" t="s">
        <v>5058</v>
      </c>
      <c r="D1403" t="s">
        <v>801</v>
      </c>
      <c r="E1403" t="s">
        <v>402</v>
      </c>
      <c r="F1403">
        <v>0</v>
      </c>
      <c r="G1403">
        <v>10.3</v>
      </c>
      <c r="H1403" t="s">
        <v>151</v>
      </c>
      <c r="I1403" t="s">
        <v>1152</v>
      </c>
      <c r="J1403">
        <v>0</v>
      </c>
      <c r="K1403">
        <v>0</v>
      </c>
      <c r="L1403" t="s">
        <v>1205</v>
      </c>
      <c r="M1403">
        <v>28.22</v>
      </c>
      <c r="N1403" t="s">
        <v>5062</v>
      </c>
      <c r="O1403" t="s">
        <v>5060</v>
      </c>
    </row>
    <row r="1404" spans="1:15" x14ac:dyDescent="0.2">
      <c r="A1404">
        <v>99</v>
      </c>
      <c r="B1404" t="s">
        <v>2117</v>
      </c>
      <c r="C1404" t="s">
        <v>5058</v>
      </c>
      <c r="D1404" t="s">
        <v>706</v>
      </c>
      <c r="E1404" t="s">
        <v>130</v>
      </c>
      <c r="F1404">
        <v>0.14000000000000001</v>
      </c>
      <c r="G1404">
        <v>8</v>
      </c>
      <c r="H1404" t="s">
        <v>1052</v>
      </c>
      <c r="I1404" t="s">
        <v>1152</v>
      </c>
      <c r="J1404">
        <v>1.1200000000000001</v>
      </c>
      <c r="K1404">
        <v>31.606400000000001</v>
      </c>
      <c r="L1404" t="s">
        <v>1205</v>
      </c>
      <c r="M1404">
        <v>28.22</v>
      </c>
      <c r="N1404" t="s">
        <v>5063</v>
      </c>
      <c r="O1404" t="s">
        <v>5060</v>
      </c>
    </row>
    <row r="1405" spans="1:15" x14ac:dyDescent="0.2">
      <c r="A1405">
        <v>99</v>
      </c>
      <c r="B1405" t="s">
        <v>2117</v>
      </c>
      <c r="C1405" t="s">
        <v>5058</v>
      </c>
      <c r="D1405" t="s">
        <v>824</v>
      </c>
      <c r="E1405" t="s">
        <v>3418</v>
      </c>
      <c r="F1405">
        <v>1.1000000000000001</v>
      </c>
      <c r="G1405">
        <v>25</v>
      </c>
      <c r="H1405" t="s">
        <v>1152</v>
      </c>
      <c r="I1405" t="s">
        <v>1152</v>
      </c>
      <c r="J1405">
        <v>27.5</v>
      </c>
      <c r="K1405">
        <v>776.05</v>
      </c>
      <c r="L1405" t="s">
        <v>1205</v>
      </c>
      <c r="M1405">
        <v>28.22</v>
      </c>
      <c r="N1405" t="s">
        <v>5064</v>
      </c>
      <c r="O1405" t="s">
        <v>5060</v>
      </c>
    </row>
    <row r="1406" spans="1:15" x14ac:dyDescent="0.2">
      <c r="A1406">
        <v>99</v>
      </c>
      <c r="B1406" t="s">
        <v>2117</v>
      </c>
      <c r="C1406" t="s">
        <v>5058</v>
      </c>
      <c r="D1406" t="s">
        <v>498</v>
      </c>
      <c r="E1406" t="s">
        <v>773</v>
      </c>
      <c r="F1406">
        <v>1.2</v>
      </c>
      <c r="G1406">
        <v>0</v>
      </c>
      <c r="H1406" t="s">
        <v>84</v>
      </c>
      <c r="I1406" t="s">
        <v>1152</v>
      </c>
      <c r="J1406">
        <v>0</v>
      </c>
      <c r="K1406">
        <v>0</v>
      </c>
      <c r="L1406" t="s">
        <v>1205</v>
      </c>
      <c r="M1406">
        <v>28.22</v>
      </c>
      <c r="N1406" t="s">
        <v>5065</v>
      </c>
      <c r="O1406" t="s">
        <v>5060</v>
      </c>
    </row>
    <row r="1407" spans="1:15" x14ac:dyDescent="0.2">
      <c r="A1407">
        <v>99</v>
      </c>
      <c r="B1407" t="s">
        <v>2117</v>
      </c>
      <c r="C1407" t="s">
        <v>5058</v>
      </c>
      <c r="D1407" t="s">
        <v>1006</v>
      </c>
      <c r="E1407" t="s">
        <v>699</v>
      </c>
      <c r="F1407">
        <v>0</v>
      </c>
      <c r="G1407">
        <v>28.988</v>
      </c>
      <c r="H1407" t="s">
        <v>151</v>
      </c>
      <c r="I1407" t="s">
        <v>1152</v>
      </c>
      <c r="J1407">
        <v>0</v>
      </c>
      <c r="K1407">
        <v>0</v>
      </c>
      <c r="L1407" t="s">
        <v>1205</v>
      </c>
      <c r="M1407">
        <v>28.22</v>
      </c>
      <c r="N1407" t="s">
        <v>5066</v>
      </c>
      <c r="O1407" t="s">
        <v>5060</v>
      </c>
    </row>
    <row r="1408" spans="1:15" x14ac:dyDescent="0.2">
      <c r="A1408">
        <v>99</v>
      </c>
      <c r="B1408" t="s">
        <v>2117</v>
      </c>
      <c r="C1408" t="s">
        <v>5058</v>
      </c>
      <c r="D1408" t="s">
        <v>903</v>
      </c>
      <c r="E1408" t="s">
        <v>864</v>
      </c>
      <c r="F1408">
        <v>1</v>
      </c>
      <c r="G1408">
        <v>3.5</v>
      </c>
      <c r="H1408" t="s">
        <v>1152</v>
      </c>
      <c r="I1408" t="s">
        <v>1152</v>
      </c>
      <c r="J1408">
        <v>3.5</v>
      </c>
      <c r="K1408">
        <v>98.77</v>
      </c>
      <c r="L1408" t="s">
        <v>1205</v>
      </c>
      <c r="M1408">
        <v>28.22</v>
      </c>
      <c r="N1408" t="s">
        <v>5067</v>
      </c>
      <c r="O1408" t="s">
        <v>5060</v>
      </c>
    </row>
    <row r="1409" spans="1:15" x14ac:dyDescent="0.2">
      <c r="A1409">
        <v>99</v>
      </c>
      <c r="B1409" t="s">
        <v>2117</v>
      </c>
      <c r="C1409" t="s">
        <v>5058</v>
      </c>
      <c r="D1409" t="s">
        <v>946</v>
      </c>
      <c r="E1409" t="s">
        <v>1695</v>
      </c>
      <c r="F1409">
        <v>1.1000000000000001</v>
      </c>
      <c r="G1409">
        <v>40</v>
      </c>
      <c r="H1409" t="s">
        <v>1819</v>
      </c>
      <c r="I1409" t="s">
        <v>1152</v>
      </c>
      <c r="J1409">
        <v>44</v>
      </c>
      <c r="K1409">
        <v>1241.68</v>
      </c>
      <c r="L1409" t="s">
        <v>1205</v>
      </c>
      <c r="M1409">
        <v>28.22</v>
      </c>
      <c r="N1409" t="s">
        <v>5068</v>
      </c>
      <c r="O1409" t="s">
        <v>5060</v>
      </c>
    </row>
    <row r="1410" spans="1:15" x14ac:dyDescent="0.2">
      <c r="A1410">
        <v>99</v>
      </c>
      <c r="B1410" t="s">
        <v>2117</v>
      </c>
      <c r="C1410" t="s">
        <v>5058</v>
      </c>
      <c r="D1410" t="s">
        <v>5069</v>
      </c>
      <c r="E1410" t="s">
        <v>5070</v>
      </c>
      <c r="F1410">
        <v>1.1000000000000001</v>
      </c>
      <c r="G1410">
        <v>1040</v>
      </c>
      <c r="H1410" t="s">
        <v>1152</v>
      </c>
      <c r="I1410" t="s">
        <v>1152</v>
      </c>
      <c r="J1410">
        <v>1144</v>
      </c>
      <c r="K1410">
        <v>32283.68</v>
      </c>
      <c r="L1410" t="s">
        <v>1205</v>
      </c>
      <c r="M1410">
        <v>28.22</v>
      </c>
      <c r="N1410" t="s">
        <v>5071</v>
      </c>
      <c r="O1410" t="s">
        <v>5060</v>
      </c>
    </row>
    <row r="1411" spans="1:15" x14ac:dyDescent="0.2">
      <c r="A1411">
        <v>99</v>
      </c>
      <c r="B1411" t="s">
        <v>2117</v>
      </c>
      <c r="C1411" t="s">
        <v>5072</v>
      </c>
      <c r="D1411" t="s">
        <v>5069</v>
      </c>
      <c r="E1411" t="s">
        <v>5070</v>
      </c>
      <c r="F1411">
        <v>1.1000000000000001</v>
      </c>
      <c r="G1411">
        <v>1040</v>
      </c>
      <c r="H1411" t="s">
        <v>1152</v>
      </c>
      <c r="I1411" t="s">
        <v>1152</v>
      </c>
      <c r="J1411">
        <v>1144</v>
      </c>
      <c r="K1411">
        <v>34320</v>
      </c>
      <c r="L1411" t="s">
        <v>532</v>
      </c>
      <c r="M1411">
        <v>30</v>
      </c>
      <c r="N1411" t="s">
        <v>5073</v>
      </c>
      <c r="O1411" t="s">
        <v>5074</v>
      </c>
    </row>
    <row r="1412" spans="1:15" x14ac:dyDescent="0.2">
      <c r="A1412">
        <v>99</v>
      </c>
      <c r="B1412" t="s">
        <v>2117</v>
      </c>
      <c r="C1412" t="s">
        <v>5072</v>
      </c>
      <c r="D1412" t="s">
        <v>946</v>
      </c>
      <c r="E1412" t="s">
        <v>1695</v>
      </c>
      <c r="F1412">
        <v>1.1000000000000001</v>
      </c>
      <c r="G1412">
        <v>40</v>
      </c>
      <c r="H1412" t="s">
        <v>1819</v>
      </c>
      <c r="I1412" t="s">
        <v>1152</v>
      </c>
      <c r="J1412">
        <v>44</v>
      </c>
      <c r="K1412">
        <v>1320</v>
      </c>
      <c r="L1412" t="s">
        <v>532</v>
      </c>
      <c r="M1412">
        <v>30</v>
      </c>
      <c r="N1412" t="s">
        <v>5075</v>
      </c>
      <c r="O1412" t="s">
        <v>5074</v>
      </c>
    </row>
    <row r="1413" spans="1:15" x14ac:dyDescent="0.2">
      <c r="A1413">
        <v>99</v>
      </c>
      <c r="B1413" t="s">
        <v>2117</v>
      </c>
      <c r="C1413" t="s">
        <v>5072</v>
      </c>
      <c r="D1413" t="s">
        <v>903</v>
      </c>
      <c r="E1413" t="s">
        <v>864</v>
      </c>
      <c r="F1413">
        <v>1</v>
      </c>
      <c r="G1413">
        <v>3.5</v>
      </c>
      <c r="H1413" t="s">
        <v>1152</v>
      </c>
      <c r="I1413" t="s">
        <v>1152</v>
      </c>
      <c r="J1413">
        <v>3.5</v>
      </c>
      <c r="K1413">
        <v>105</v>
      </c>
      <c r="L1413" t="s">
        <v>532</v>
      </c>
      <c r="M1413">
        <v>30</v>
      </c>
      <c r="N1413" t="s">
        <v>5076</v>
      </c>
      <c r="O1413" t="s">
        <v>5074</v>
      </c>
    </row>
    <row r="1414" spans="1:15" x14ac:dyDescent="0.2">
      <c r="A1414">
        <v>99</v>
      </c>
      <c r="B1414" t="s">
        <v>2117</v>
      </c>
      <c r="C1414" t="s">
        <v>5072</v>
      </c>
      <c r="D1414" t="s">
        <v>1006</v>
      </c>
      <c r="E1414" t="s">
        <v>699</v>
      </c>
      <c r="F1414">
        <v>0</v>
      </c>
      <c r="G1414">
        <v>28.988</v>
      </c>
      <c r="H1414" t="s">
        <v>151</v>
      </c>
      <c r="I1414" t="s">
        <v>1152</v>
      </c>
      <c r="J1414">
        <v>0</v>
      </c>
      <c r="K1414">
        <v>0</v>
      </c>
      <c r="L1414" t="s">
        <v>532</v>
      </c>
      <c r="M1414">
        <v>30</v>
      </c>
      <c r="N1414" t="s">
        <v>5077</v>
      </c>
      <c r="O1414" t="s">
        <v>5074</v>
      </c>
    </row>
    <row r="1415" spans="1:15" x14ac:dyDescent="0.2">
      <c r="A1415">
        <v>99</v>
      </c>
      <c r="B1415" t="s">
        <v>2117</v>
      </c>
      <c r="C1415" t="s">
        <v>5072</v>
      </c>
      <c r="D1415" t="s">
        <v>498</v>
      </c>
      <c r="E1415" t="s">
        <v>773</v>
      </c>
      <c r="F1415">
        <v>1.2</v>
      </c>
      <c r="G1415">
        <v>0</v>
      </c>
      <c r="H1415" t="s">
        <v>84</v>
      </c>
      <c r="I1415" t="s">
        <v>1152</v>
      </c>
      <c r="J1415">
        <v>0</v>
      </c>
      <c r="K1415">
        <v>0</v>
      </c>
      <c r="L1415" t="s">
        <v>532</v>
      </c>
      <c r="M1415">
        <v>30</v>
      </c>
      <c r="N1415" t="s">
        <v>5078</v>
      </c>
      <c r="O1415" t="s">
        <v>5074</v>
      </c>
    </row>
    <row r="1416" spans="1:15" x14ac:dyDescent="0.2">
      <c r="A1416">
        <v>99</v>
      </c>
      <c r="B1416" t="s">
        <v>2117</v>
      </c>
      <c r="C1416" t="s">
        <v>5072</v>
      </c>
      <c r="D1416" t="s">
        <v>824</v>
      </c>
      <c r="E1416" t="s">
        <v>3418</v>
      </c>
      <c r="F1416">
        <v>1.1000000000000001</v>
      </c>
      <c r="G1416">
        <v>25</v>
      </c>
      <c r="H1416" t="s">
        <v>1152</v>
      </c>
      <c r="I1416" t="s">
        <v>1152</v>
      </c>
      <c r="J1416">
        <v>27.5</v>
      </c>
      <c r="K1416">
        <v>825</v>
      </c>
      <c r="L1416" t="s">
        <v>532</v>
      </c>
      <c r="M1416">
        <v>30</v>
      </c>
      <c r="N1416" t="s">
        <v>5079</v>
      </c>
      <c r="O1416" t="s">
        <v>5074</v>
      </c>
    </row>
    <row r="1417" spans="1:15" x14ac:dyDescent="0.2">
      <c r="A1417">
        <v>99</v>
      </c>
      <c r="B1417" t="s">
        <v>2117</v>
      </c>
      <c r="C1417" t="s">
        <v>5072</v>
      </c>
      <c r="D1417" t="s">
        <v>706</v>
      </c>
      <c r="E1417" t="s">
        <v>130</v>
      </c>
      <c r="F1417">
        <v>0.14000000000000001</v>
      </c>
      <c r="G1417">
        <v>8</v>
      </c>
      <c r="H1417" t="s">
        <v>1052</v>
      </c>
      <c r="I1417" t="s">
        <v>1152</v>
      </c>
      <c r="J1417">
        <v>1.1200000000000001</v>
      </c>
      <c r="K1417">
        <v>33.6</v>
      </c>
      <c r="L1417" t="s">
        <v>532</v>
      </c>
      <c r="M1417">
        <v>30</v>
      </c>
      <c r="N1417" t="s">
        <v>5080</v>
      </c>
      <c r="O1417" t="s">
        <v>5074</v>
      </c>
    </row>
    <row r="1418" spans="1:15" x14ac:dyDescent="0.2">
      <c r="A1418">
        <v>99</v>
      </c>
      <c r="B1418" t="s">
        <v>2117</v>
      </c>
      <c r="C1418" t="s">
        <v>5072</v>
      </c>
      <c r="D1418" t="s">
        <v>801</v>
      </c>
      <c r="E1418" t="s">
        <v>402</v>
      </c>
      <c r="F1418">
        <v>0</v>
      </c>
      <c r="G1418">
        <v>10.3</v>
      </c>
      <c r="H1418" t="s">
        <v>151</v>
      </c>
      <c r="I1418" t="s">
        <v>1152</v>
      </c>
      <c r="J1418">
        <v>0</v>
      </c>
      <c r="K1418">
        <v>0</v>
      </c>
      <c r="L1418" t="s">
        <v>532</v>
      </c>
      <c r="M1418">
        <v>30</v>
      </c>
      <c r="N1418" t="s">
        <v>5081</v>
      </c>
      <c r="O1418" t="s">
        <v>5074</v>
      </c>
    </row>
    <row r="1419" spans="1:15" x14ac:dyDescent="0.2">
      <c r="A1419">
        <v>99</v>
      </c>
      <c r="B1419" t="s">
        <v>2117</v>
      </c>
      <c r="C1419" t="s">
        <v>5072</v>
      </c>
      <c r="D1419" t="s">
        <v>853</v>
      </c>
      <c r="E1419" t="s">
        <v>980</v>
      </c>
      <c r="F1419">
        <v>8.6199999999999992</v>
      </c>
      <c r="G1419">
        <v>0.9</v>
      </c>
      <c r="H1419" t="s">
        <v>1052</v>
      </c>
      <c r="I1419" t="s">
        <v>1152</v>
      </c>
      <c r="J1419">
        <v>7.758</v>
      </c>
      <c r="K1419">
        <v>232.74</v>
      </c>
      <c r="L1419" t="s">
        <v>532</v>
      </c>
      <c r="M1419">
        <v>30</v>
      </c>
      <c r="N1419" t="s">
        <v>5082</v>
      </c>
      <c r="O1419" t="s">
        <v>5074</v>
      </c>
    </row>
    <row r="1420" spans="1:15" x14ac:dyDescent="0.2">
      <c r="A1420">
        <v>99</v>
      </c>
      <c r="B1420" t="s">
        <v>2117</v>
      </c>
      <c r="C1420" t="s">
        <v>5072</v>
      </c>
      <c r="D1420" t="s">
        <v>838</v>
      </c>
      <c r="E1420" t="s">
        <v>3419</v>
      </c>
      <c r="F1420">
        <v>1</v>
      </c>
      <c r="G1420">
        <v>90</v>
      </c>
      <c r="H1420" t="s">
        <v>1152</v>
      </c>
      <c r="I1420" t="s">
        <v>1152</v>
      </c>
      <c r="J1420">
        <v>90</v>
      </c>
      <c r="K1420">
        <v>2700</v>
      </c>
      <c r="L1420" t="s">
        <v>532</v>
      </c>
      <c r="M1420">
        <v>30</v>
      </c>
      <c r="N1420" t="s">
        <v>5083</v>
      </c>
      <c r="O1420" t="s">
        <v>5074</v>
      </c>
    </row>
    <row r="1421" spans="1:15" x14ac:dyDescent="0.2">
      <c r="A1421">
        <v>99</v>
      </c>
      <c r="B1421" t="s">
        <v>2117</v>
      </c>
      <c r="C1421" t="s">
        <v>661</v>
      </c>
      <c r="D1421" t="s">
        <v>972</v>
      </c>
      <c r="E1421" t="s">
        <v>3692</v>
      </c>
      <c r="F1421">
        <v>1</v>
      </c>
      <c r="G1421">
        <v>50</v>
      </c>
      <c r="H1421" t="s">
        <v>1152</v>
      </c>
      <c r="I1421" t="s">
        <v>1152</v>
      </c>
      <c r="J1421">
        <v>50</v>
      </c>
      <c r="K1421">
        <v>3131</v>
      </c>
      <c r="L1421" t="s">
        <v>931</v>
      </c>
      <c r="M1421">
        <v>62.62</v>
      </c>
      <c r="N1421" t="s">
        <v>3693</v>
      </c>
      <c r="O1421" t="s">
        <v>3688</v>
      </c>
    </row>
    <row r="1422" spans="1:15" x14ac:dyDescent="0.2">
      <c r="A1422">
        <v>99</v>
      </c>
      <c r="B1422" t="s">
        <v>2117</v>
      </c>
      <c r="C1422" t="s">
        <v>661</v>
      </c>
      <c r="D1422" t="s">
        <v>801</v>
      </c>
      <c r="E1422" t="s">
        <v>402</v>
      </c>
      <c r="F1422">
        <v>0</v>
      </c>
      <c r="G1422">
        <v>10.3</v>
      </c>
      <c r="H1422" t="s">
        <v>151</v>
      </c>
      <c r="I1422" t="s">
        <v>1152</v>
      </c>
      <c r="J1422">
        <v>0</v>
      </c>
      <c r="K1422">
        <v>0</v>
      </c>
      <c r="L1422" t="s">
        <v>931</v>
      </c>
      <c r="M1422">
        <v>62.62</v>
      </c>
      <c r="N1422" t="s">
        <v>3691</v>
      </c>
      <c r="O1422" t="s">
        <v>3688</v>
      </c>
    </row>
    <row r="1423" spans="1:15" x14ac:dyDescent="0.2">
      <c r="A1423">
        <v>99</v>
      </c>
      <c r="B1423" t="s">
        <v>2117</v>
      </c>
      <c r="C1423" t="s">
        <v>661</v>
      </c>
      <c r="D1423" t="s">
        <v>1009</v>
      </c>
      <c r="E1423" t="s">
        <v>672</v>
      </c>
      <c r="F1423">
        <v>0</v>
      </c>
      <c r="G1423">
        <v>16.489999999999998</v>
      </c>
      <c r="H1423" t="s">
        <v>151</v>
      </c>
      <c r="I1423" t="s">
        <v>1152</v>
      </c>
      <c r="J1423">
        <v>0</v>
      </c>
      <c r="K1423">
        <v>0</v>
      </c>
      <c r="L1423" t="s">
        <v>931</v>
      </c>
      <c r="M1423">
        <v>62.62</v>
      </c>
      <c r="N1423" t="s">
        <v>3690</v>
      </c>
      <c r="O1423" t="s">
        <v>3688</v>
      </c>
    </row>
    <row r="1424" spans="1:15" x14ac:dyDescent="0.2">
      <c r="A1424">
        <v>99</v>
      </c>
      <c r="B1424" t="s">
        <v>2117</v>
      </c>
      <c r="C1424" t="s">
        <v>661</v>
      </c>
      <c r="D1424" t="s">
        <v>498</v>
      </c>
      <c r="E1424" t="s">
        <v>773</v>
      </c>
      <c r="F1424">
        <v>1.2</v>
      </c>
      <c r="G1424">
        <v>0</v>
      </c>
      <c r="H1424" t="s">
        <v>84</v>
      </c>
      <c r="I1424" t="s">
        <v>1152</v>
      </c>
      <c r="J1424">
        <v>0</v>
      </c>
      <c r="K1424">
        <v>0</v>
      </c>
      <c r="L1424" t="s">
        <v>931</v>
      </c>
      <c r="M1424">
        <v>62.62</v>
      </c>
      <c r="N1424" t="s">
        <v>3694</v>
      </c>
      <c r="O1424" t="s">
        <v>3688</v>
      </c>
    </row>
    <row r="1425" spans="1:15" x14ac:dyDescent="0.2">
      <c r="A1425">
        <v>99</v>
      </c>
      <c r="B1425" t="s">
        <v>2117</v>
      </c>
      <c r="C1425" t="s">
        <v>661</v>
      </c>
      <c r="D1425" t="s">
        <v>621</v>
      </c>
      <c r="E1425" t="s">
        <v>3444</v>
      </c>
      <c r="F1425">
        <v>9.5000000000000001E-2</v>
      </c>
      <c r="G1425">
        <v>49.59</v>
      </c>
      <c r="H1425" t="s">
        <v>1052</v>
      </c>
      <c r="I1425" t="s">
        <v>1152</v>
      </c>
      <c r="J1425">
        <v>4.7110500000000002</v>
      </c>
      <c r="K1425">
        <v>295.00595099999998</v>
      </c>
      <c r="L1425" t="s">
        <v>931</v>
      </c>
      <c r="M1425">
        <v>62.62</v>
      </c>
      <c r="N1425" t="s">
        <v>3689</v>
      </c>
      <c r="O1425" t="s">
        <v>3688</v>
      </c>
    </row>
    <row r="1426" spans="1:15" x14ac:dyDescent="0.2">
      <c r="A1426">
        <v>99</v>
      </c>
      <c r="B1426" t="s">
        <v>2117</v>
      </c>
      <c r="C1426" t="s">
        <v>661</v>
      </c>
      <c r="D1426" t="s">
        <v>1163</v>
      </c>
      <c r="E1426" t="s">
        <v>977</v>
      </c>
      <c r="F1426">
        <v>1.1000000000000001</v>
      </c>
      <c r="G1426">
        <v>130.88999999999999</v>
      </c>
      <c r="H1426" t="s">
        <v>1152</v>
      </c>
      <c r="I1426" t="s">
        <v>1152</v>
      </c>
      <c r="J1426">
        <v>143.97900000000001</v>
      </c>
      <c r="K1426">
        <v>9015.9649800000007</v>
      </c>
      <c r="L1426" t="s">
        <v>931</v>
      </c>
      <c r="M1426">
        <v>62.62</v>
      </c>
      <c r="N1426" t="s">
        <v>3687</v>
      </c>
      <c r="O1426" t="s">
        <v>3688</v>
      </c>
    </row>
    <row r="1427" spans="1:15" x14ac:dyDescent="0.2">
      <c r="A1427">
        <v>99</v>
      </c>
      <c r="B1427" t="s">
        <v>2117</v>
      </c>
      <c r="C1427" t="s">
        <v>666</v>
      </c>
      <c r="D1427" t="s">
        <v>1702</v>
      </c>
      <c r="E1427" t="s">
        <v>1289</v>
      </c>
      <c r="F1427">
        <v>1.1499999999999999</v>
      </c>
      <c r="G1427">
        <v>196.42</v>
      </c>
      <c r="H1427" t="s">
        <v>1152</v>
      </c>
      <c r="I1427" t="s">
        <v>1152</v>
      </c>
      <c r="J1427">
        <v>225.88300000000001</v>
      </c>
      <c r="K1427">
        <v>99975.815799999997</v>
      </c>
      <c r="L1427" t="s">
        <v>1313</v>
      </c>
      <c r="M1427">
        <v>442.6</v>
      </c>
      <c r="N1427" t="s">
        <v>3702</v>
      </c>
      <c r="O1427" t="s">
        <v>3697</v>
      </c>
    </row>
    <row r="1428" spans="1:15" x14ac:dyDescent="0.2">
      <c r="A1428">
        <v>99</v>
      </c>
      <c r="B1428" t="s">
        <v>2117</v>
      </c>
      <c r="C1428" t="s">
        <v>666</v>
      </c>
      <c r="D1428" t="s">
        <v>903</v>
      </c>
      <c r="E1428" t="s">
        <v>864</v>
      </c>
      <c r="F1428">
        <v>1</v>
      </c>
      <c r="G1428">
        <v>3.5</v>
      </c>
      <c r="H1428" t="s">
        <v>1152</v>
      </c>
      <c r="I1428" t="s">
        <v>1152</v>
      </c>
      <c r="J1428">
        <v>3.5</v>
      </c>
      <c r="K1428">
        <v>1549.1</v>
      </c>
      <c r="L1428" t="s">
        <v>1313</v>
      </c>
      <c r="M1428">
        <v>442.6</v>
      </c>
      <c r="N1428" t="s">
        <v>3705</v>
      </c>
      <c r="O1428" t="s">
        <v>3697</v>
      </c>
    </row>
    <row r="1429" spans="1:15" x14ac:dyDescent="0.2">
      <c r="A1429">
        <v>99</v>
      </c>
      <c r="B1429" t="s">
        <v>2117</v>
      </c>
      <c r="C1429" t="s">
        <v>666</v>
      </c>
      <c r="D1429" t="s">
        <v>498</v>
      </c>
      <c r="E1429" t="s">
        <v>773</v>
      </c>
      <c r="F1429">
        <v>1.2</v>
      </c>
      <c r="G1429">
        <v>0</v>
      </c>
      <c r="H1429" t="s">
        <v>84</v>
      </c>
      <c r="I1429" t="s">
        <v>1152</v>
      </c>
      <c r="J1429">
        <v>0</v>
      </c>
      <c r="K1429">
        <v>0</v>
      </c>
      <c r="L1429" t="s">
        <v>1313</v>
      </c>
      <c r="M1429">
        <v>442.6</v>
      </c>
      <c r="N1429" t="s">
        <v>3698</v>
      </c>
      <c r="O1429" t="s">
        <v>3697</v>
      </c>
    </row>
    <row r="1430" spans="1:15" x14ac:dyDescent="0.2">
      <c r="A1430">
        <v>99</v>
      </c>
      <c r="B1430" t="s">
        <v>2117</v>
      </c>
      <c r="C1430" t="s">
        <v>666</v>
      </c>
      <c r="D1430" t="s">
        <v>939</v>
      </c>
      <c r="E1430" t="s">
        <v>640</v>
      </c>
      <c r="F1430">
        <v>0</v>
      </c>
      <c r="G1430">
        <v>21.15</v>
      </c>
      <c r="H1430" t="s">
        <v>151</v>
      </c>
      <c r="I1430" t="s">
        <v>1152</v>
      </c>
      <c r="J1430">
        <v>0</v>
      </c>
      <c r="K1430">
        <v>0</v>
      </c>
      <c r="L1430" t="s">
        <v>1313</v>
      </c>
      <c r="M1430">
        <v>442.6</v>
      </c>
      <c r="N1430" t="s">
        <v>3703</v>
      </c>
      <c r="O1430" t="s">
        <v>3697</v>
      </c>
    </row>
    <row r="1431" spans="1:15" x14ac:dyDescent="0.2">
      <c r="A1431">
        <v>99</v>
      </c>
      <c r="B1431" t="s">
        <v>2117</v>
      </c>
      <c r="C1431" t="s">
        <v>666</v>
      </c>
      <c r="D1431" t="s">
        <v>941</v>
      </c>
      <c r="E1431" t="s">
        <v>1485</v>
      </c>
      <c r="F1431">
        <v>1.1499999999999999</v>
      </c>
      <c r="G1431">
        <v>8.4017999999999997</v>
      </c>
      <c r="H1431" t="s">
        <v>1819</v>
      </c>
      <c r="I1431" t="s">
        <v>1152</v>
      </c>
      <c r="J1431">
        <v>9.6620699999999999</v>
      </c>
      <c r="K1431">
        <v>4276.4321819999996</v>
      </c>
      <c r="L1431" t="s">
        <v>1313</v>
      </c>
      <c r="M1431">
        <v>442.6</v>
      </c>
      <c r="N1431" t="s">
        <v>3699</v>
      </c>
      <c r="O1431" t="s">
        <v>3697</v>
      </c>
    </row>
    <row r="1432" spans="1:15" x14ac:dyDescent="0.2">
      <c r="A1432">
        <v>99</v>
      </c>
      <c r="B1432" t="s">
        <v>2117</v>
      </c>
      <c r="C1432" t="s">
        <v>666</v>
      </c>
      <c r="D1432" t="s">
        <v>706</v>
      </c>
      <c r="E1432" t="s">
        <v>130</v>
      </c>
      <c r="F1432">
        <v>0.14099999999999999</v>
      </c>
      <c r="G1432">
        <v>8</v>
      </c>
      <c r="H1432" t="s">
        <v>1052</v>
      </c>
      <c r="I1432" t="s">
        <v>1152</v>
      </c>
      <c r="J1432">
        <v>1.1279999999999999</v>
      </c>
      <c r="K1432">
        <v>499.25279999999998</v>
      </c>
      <c r="L1432" t="s">
        <v>1313</v>
      </c>
      <c r="M1432">
        <v>442.6</v>
      </c>
      <c r="N1432" t="s">
        <v>3701</v>
      </c>
      <c r="O1432" t="s">
        <v>3697</v>
      </c>
    </row>
    <row r="1433" spans="1:15" x14ac:dyDescent="0.2">
      <c r="A1433">
        <v>99</v>
      </c>
      <c r="B1433" t="s">
        <v>2117</v>
      </c>
      <c r="C1433" t="s">
        <v>666</v>
      </c>
      <c r="D1433" t="s">
        <v>801</v>
      </c>
      <c r="E1433" t="s">
        <v>402</v>
      </c>
      <c r="F1433">
        <v>0</v>
      </c>
      <c r="G1433">
        <v>10.3</v>
      </c>
      <c r="H1433" t="s">
        <v>151</v>
      </c>
      <c r="I1433" t="s">
        <v>1152</v>
      </c>
      <c r="J1433">
        <v>0</v>
      </c>
      <c r="K1433">
        <v>0</v>
      </c>
      <c r="L1433" t="s">
        <v>1313</v>
      </c>
      <c r="M1433">
        <v>442.6</v>
      </c>
      <c r="N1433" t="s">
        <v>3704</v>
      </c>
      <c r="O1433" t="s">
        <v>3697</v>
      </c>
    </row>
    <row r="1434" spans="1:15" x14ac:dyDescent="0.2">
      <c r="A1434">
        <v>99</v>
      </c>
      <c r="B1434" t="s">
        <v>2117</v>
      </c>
      <c r="C1434" t="s">
        <v>666</v>
      </c>
      <c r="D1434" t="s">
        <v>1064</v>
      </c>
      <c r="E1434" t="s">
        <v>3695</v>
      </c>
      <c r="F1434">
        <v>1</v>
      </c>
      <c r="G1434">
        <v>90</v>
      </c>
      <c r="H1434" t="s">
        <v>1152</v>
      </c>
      <c r="I1434" t="s">
        <v>1152</v>
      </c>
      <c r="J1434">
        <v>90</v>
      </c>
      <c r="K1434">
        <v>39834</v>
      </c>
      <c r="L1434" t="s">
        <v>1313</v>
      </c>
      <c r="M1434">
        <v>442.6</v>
      </c>
      <c r="N1434" t="s">
        <v>3696</v>
      </c>
      <c r="O1434" t="s">
        <v>3697</v>
      </c>
    </row>
    <row r="1435" spans="1:15" x14ac:dyDescent="0.2">
      <c r="A1435">
        <v>99</v>
      </c>
      <c r="B1435" t="s">
        <v>2117</v>
      </c>
      <c r="C1435" t="s">
        <v>666</v>
      </c>
      <c r="D1435" t="s">
        <v>853</v>
      </c>
      <c r="E1435" t="s">
        <v>980</v>
      </c>
      <c r="F1435">
        <v>6.85</v>
      </c>
      <c r="G1435">
        <v>0.9</v>
      </c>
      <c r="H1435" t="s">
        <v>1052</v>
      </c>
      <c r="I1435" t="s">
        <v>1152</v>
      </c>
      <c r="J1435">
        <v>6.165</v>
      </c>
      <c r="K1435">
        <v>2728.6289999999999</v>
      </c>
      <c r="L1435" t="s">
        <v>1313</v>
      </c>
      <c r="M1435">
        <v>442.6</v>
      </c>
      <c r="N1435" t="s">
        <v>3700</v>
      </c>
      <c r="O1435" t="s">
        <v>3697</v>
      </c>
    </row>
    <row r="1436" spans="1:15" x14ac:dyDescent="0.2">
      <c r="A1436">
        <v>99</v>
      </c>
      <c r="B1436" t="s">
        <v>2117</v>
      </c>
      <c r="C1436" t="s">
        <v>671</v>
      </c>
      <c r="D1436" t="s">
        <v>801</v>
      </c>
      <c r="E1436" t="s">
        <v>402</v>
      </c>
      <c r="F1436">
        <v>0</v>
      </c>
      <c r="G1436">
        <v>10.3</v>
      </c>
      <c r="H1436" t="s">
        <v>151</v>
      </c>
      <c r="I1436" t="s">
        <v>1152</v>
      </c>
      <c r="J1436">
        <v>0</v>
      </c>
      <c r="K1436">
        <v>0</v>
      </c>
      <c r="L1436" t="s">
        <v>926</v>
      </c>
      <c r="M1436">
        <v>32.159999999999997</v>
      </c>
      <c r="N1436" t="s">
        <v>3710</v>
      </c>
      <c r="O1436" t="s">
        <v>3707</v>
      </c>
    </row>
    <row r="1437" spans="1:15" x14ac:dyDescent="0.2">
      <c r="A1437">
        <v>99</v>
      </c>
      <c r="B1437" t="s">
        <v>2117</v>
      </c>
      <c r="C1437" t="s">
        <v>671</v>
      </c>
      <c r="D1437" t="s">
        <v>871</v>
      </c>
      <c r="E1437" t="s">
        <v>704</v>
      </c>
      <c r="F1437">
        <v>1.1000000000000001</v>
      </c>
      <c r="G1437">
        <v>141.66409999999999</v>
      </c>
      <c r="H1437" t="s">
        <v>1152</v>
      </c>
      <c r="I1437" t="s">
        <v>1152</v>
      </c>
      <c r="J1437">
        <v>155.83051</v>
      </c>
      <c r="K1437">
        <v>5011.5092020000002</v>
      </c>
      <c r="L1437" t="s">
        <v>926</v>
      </c>
      <c r="M1437">
        <v>32.159999999999997</v>
      </c>
      <c r="N1437" t="s">
        <v>3706</v>
      </c>
      <c r="O1437" t="s">
        <v>3707</v>
      </c>
    </row>
    <row r="1438" spans="1:15" x14ac:dyDescent="0.2">
      <c r="A1438">
        <v>99</v>
      </c>
      <c r="B1438" t="s">
        <v>2117</v>
      </c>
      <c r="C1438" t="s">
        <v>671</v>
      </c>
      <c r="D1438" t="s">
        <v>1009</v>
      </c>
      <c r="E1438" t="s">
        <v>672</v>
      </c>
      <c r="F1438">
        <v>0</v>
      </c>
      <c r="G1438">
        <v>16.489999999999998</v>
      </c>
      <c r="H1438" t="s">
        <v>151</v>
      </c>
      <c r="I1438" t="s">
        <v>1152</v>
      </c>
      <c r="J1438">
        <v>0</v>
      </c>
      <c r="K1438">
        <v>0</v>
      </c>
      <c r="L1438" t="s">
        <v>926</v>
      </c>
      <c r="M1438">
        <v>32.159999999999997</v>
      </c>
      <c r="N1438" t="s">
        <v>3709</v>
      </c>
      <c r="O1438" t="s">
        <v>3707</v>
      </c>
    </row>
    <row r="1439" spans="1:15" x14ac:dyDescent="0.2">
      <c r="A1439">
        <v>99</v>
      </c>
      <c r="B1439" t="s">
        <v>2117</v>
      </c>
      <c r="C1439" t="s">
        <v>671</v>
      </c>
      <c r="D1439" t="s">
        <v>498</v>
      </c>
      <c r="E1439" t="s">
        <v>773</v>
      </c>
      <c r="F1439">
        <v>1.2</v>
      </c>
      <c r="G1439">
        <v>0</v>
      </c>
      <c r="H1439" t="s">
        <v>84</v>
      </c>
      <c r="I1439" t="s">
        <v>1152</v>
      </c>
      <c r="J1439">
        <v>0</v>
      </c>
      <c r="K1439">
        <v>0</v>
      </c>
      <c r="L1439" t="s">
        <v>926</v>
      </c>
      <c r="M1439">
        <v>32.159999999999997</v>
      </c>
      <c r="N1439" t="s">
        <v>3713</v>
      </c>
      <c r="O1439" t="s">
        <v>3707</v>
      </c>
    </row>
    <row r="1440" spans="1:15" x14ac:dyDescent="0.2">
      <c r="A1440">
        <v>99</v>
      </c>
      <c r="B1440" t="s">
        <v>2117</v>
      </c>
      <c r="C1440" t="s">
        <v>671</v>
      </c>
      <c r="D1440" t="s">
        <v>887</v>
      </c>
      <c r="E1440" t="s">
        <v>3711</v>
      </c>
      <c r="F1440">
        <v>1</v>
      </c>
      <c r="G1440">
        <v>15</v>
      </c>
      <c r="H1440" t="s">
        <v>1152</v>
      </c>
      <c r="I1440" t="s">
        <v>1152</v>
      </c>
      <c r="J1440">
        <v>15</v>
      </c>
      <c r="K1440">
        <v>482.4</v>
      </c>
      <c r="L1440" t="s">
        <v>926</v>
      </c>
      <c r="M1440">
        <v>32.159999999999997</v>
      </c>
      <c r="N1440" t="s">
        <v>3712</v>
      </c>
      <c r="O1440" t="s">
        <v>3707</v>
      </c>
    </row>
    <row r="1441" spans="1:15" x14ac:dyDescent="0.2">
      <c r="A1441">
        <v>99</v>
      </c>
      <c r="B1441" t="s">
        <v>2117</v>
      </c>
      <c r="C1441" t="s">
        <v>671</v>
      </c>
      <c r="D1441" t="s">
        <v>621</v>
      </c>
      <c r="E1441" t="s">
        <v>3444</v>
      </c>
      <c r="F1441">
        <v>0.56369999999999998</v>
      </c>
      <c r="G1441">
        <v>49.59</v>
      </c>
      <c r="H1441" t="s">
        <v>1052</v>
      </c>
      <c r="I1441" t="s">
        <v>1152</v>
      </c>
      <c r="J1441">
        <v>27.953883000000001</v>
      </c>
      <c r="K1441">
        <v>898.99687700000004</v>
      </c>
      <c r="L1441" t="s">
        <v>926</v>
      </c>
      <c r="M1441">
        <v>32.159999999999997</v>
      </c>
      <c r="N1441" t="s">
        <v>3708</v>
      </c>
      <c r="O1441" t="s">
        <v>3707</v>
      </c>
    </row>
    <row r="1442" spans="1:15" x14ac:dyDescent="0.2">
      <c r="A1442">
        <v>99</v>
      </c>
      <c r="B1442" t="s">
        <v>2117</v>
      </c>
      <c r="C1442" t="s">
        <v>676</v>
      </c>
      <c r="D1442" t="s">
        <v>903</v>
      </c>
      <c r="E1442" t="s">
        <v>864</v>
      </c>
      <c r="F1442">
        <v>1</v>
      </c>
      <c r="G1442">
        <v>3.5</v>
      </c>
      <c r="H1442" t="s">
        <v>1152</v>
      </c>
      <c r="I1442" t="s">
        <v>1152</v>
      </c>
      <c r="J1442">
        <v>3.5</v>
      </c>
      <c r="K1442">
        <v>1251.46</v>
      </c>
      <c r="L1442" t="s">
        <v>625</v>
      </c>
      <c r="M1442">
        <v>357.56</v>
      </c>
      <c r="N1442" t="s">
        <v>3722</v>
      </c>
      <c r="O1442" t="s">
        <v>3715</v>
      </c>
    </row>
    <row r="1443" spans="1:15" x14ac:dyDescent="0.2">
      <c r="A1443">
        <v>99</v>
      </c>
      <c r="B1443" t="s">
        <v>2117</v>
      </c>
      <c r="C1443" t="s">
        <v>676</v>
      </c>
      <c r="D1443" t="s">
        <v>1702</v>
      </c>
      <c r="E1443" t="s">
        <v>1289</v>
      </c>
      <c r="F1443">
        <v>1.1499999999999999</v>
      </c>
      <c r="G1443">
        <v>196.42</v>
      </c>
      <c r="H1443" t="s">
        <v>1152</v>
      </c>
      <c r="I1443" t="s">
        <v>1152</v>
      </c>
      <c r="J1443">
        <v>225.88300000000001</v>
      </c>
      <c r="K1443">
        <v>80766.725479999994</v>
      </c>
      <c r="L1443" t="s">
        <v>625</v>
      </c>
      <c r="M1443">
        <v>357.56</v>
      </c>
      <c r="N1443" t="s">
        <v>3719</v>
      </c>
      <c r="O1443" t="s">
        <v>3715</v>
      </c>
    </row>
    <row r="1444" spans="1:15" x14ac:dyDescent="0.2">
      <c r="A1444">
        <v>99</v>
      </c>
      <c r="B1444" t="s">
        <v>2117</v>
      </c>
      <c r="C1444" t="s">
        <v>676</v>
      </c>
      <c r="D1444" t="s">
        <v>498</v>
      </c>
      <c r="E1444" t="s">
        <v>773</v>
      </c>
      <c r="F1444">
        <v>1.2</v>
      </c>
      <c r="G1444">
        <v>0</v>
      </c>
      <c r="H1444" t="s">
        <v>84</v>
      </c>
      <c r="I1444" t="s">
        <v>1152</v>
      </c>
      <c r="J1444">
        <v>0</v>
      </c>
      <c r="K1444">
        <v>0</v>
      </c>
      <c r="L1444" t="s">
        <v>625</v>
      </c>
      <c r="M1444">
        <v>357.56</v>
      </c>
      <c r="N1444" t="s">
        <v>3716</v>
      </c>
      <c r="O1444" t="s">
        <v>3715</v>
      </c>
    </row>
    <row r="1445" spans="1:15" x14ac:dyDescent="0.2">
      <c r="A1445">
        <v>99</v>
      </c>
      <c r="B1445" t="s">
        <v>2117</v>
      </c>
      <c r="C1445" t="s">
        <v>676</v>
      </c>
      <c r="D1445" t="s">
        <v>939</v>
      </c>
      <c r="E1445" t="s">
        <v>640</v>
      </c>
      <c r="F1445">
        <v>0</v>
      </c>
      <c r="G1445">
        <v>21.15</v>
      </c>
      <c r="H1445" t="s">
        <v>151</v>
      </c>
      <c r="I1445" t="s">
        <v>1152</v>
      </c>
      <c r="J1445">
        <v>0</v>
      </c>
      <c r="K1445">
        <v>0</v>
      </c>
      <c r="L1445" t="s">
        <v>625</v>
      </c>
      <c r="M1445">
        <v>357.56</v>
      </c>
      <c r="N1445" t="s">
        <v>3720</v>
      </c>
      <c r="O1445" t="s">
        <v>3715</v>
      </c>
    </row>
    <row r="1446" spans="1:15" x14ac:dyDescent="0.2">
      <c r="A1446">
        <v>99</v>
      </c>
      <c r="B1446" t="s">
        <v>2117</v>
      </c>
      <c r="C1446" t="s">
        <v>676</v>
      </c>
      <c r="D1446" t="s">
        <v>706</v>
      </c>
      <c r="E1446" t="s">
        <v>130</v>
      </c>
      <c r="F1446">
        <v>0.14099999999999999</v>
      </c>
      <c r="G1446">
        <v>8</v>
      </c>
      <c r="H1446" t="s">
        <v>1052</v>
      </c>
      <c r="I1446" t="s">
        <v>1152</v>
      </c>
      <c r="J1446">
        <v>1.1279999999999999</v>
      </c>
      <c r="K1446">
        <v>403.32767999999999</v>
      </c>
      <c r="L1446" t="s">
        <v>625</v>
      </c>
      <c r="M1446">
        <v>357.56</v>
      </c>
      <c r="N1446" t="s">
        <v>3718</v>
      </c>
      <c r="O1446" t="s">
        <v>3715</v>
      </c>
    </row>
    <row r="1447" spans="1:15" x14ac:dyDescent="0.2">
      <c r="A1447">
        <v>99</v>
      </c>
      <c r="B1447" t="s">
        <v>2117</v>
      </c>
      <c r="C1447" t="s">
        <v>676</v>
      </c>
      <c r="D1447" t="s">
        <v>941</v>
      </c>
      <c r="E1447" t="s">
        <v>1485</v>
      </c>
      <c r="F1447">
        <v>1.1499999999999999</v>
      </c>
      <c r="G1447">
        <v>8.4017999999999997</v>
      </c>
      <c r="H1447" t="s">
        <v>1819</v>
      </c>
      <c r="I1447" t="s">
        <v>1152</v>
      </c>
      <c r="J1447">
        <v>9.6620699999999999</v>
      </c>
      <c r="K1447">
        <v>3454.769749</v>
      </c>
      <c r="L1447" t="s">
        <v>625</v>
      </c>
      <c r="M1447">
        <v>357.56</v>
      </c>
      <c r="N1447" t="s">
        <v>3717</v>
      </c>
      <c r="O1447" t="s">
        <v>3715</v>
      </c>
    </row>
    <row r="1448" spans="1:15" x14ac:dyDescent="0.2">
      <c r="A1448">
        <v>99</v>
      </c>
      <c r="B1448" t="s">
        <v>2117</v>
      </c>
      <c r="C1448" t="s">
        <v>676</v>
      </c>
      <c r="D1448" t="s">
        <v>801</v>
      </c>
      <c r="E1448" t="s">
        <v>402</v>
      </c>
      <c r="F1448">
        <v>0</v>
      </c>
      <c r="G1448">
        <v>10.3</v>
      </c>
      <c r="H1448" t="s">
        <v>151</v>
      </c>
      <c r="I1448" t="s">
        <v>1152</v>
      </c>
      <c r="J1448">
        <v>0</v>
      </c>
      <c r="K1448">
        <v>0</v>
      </c>
      <c r="L1448" t="s">
        <v>625</v>
      </c>
      <c r="M1448">
        <v>357.56</v>
      </c>
      <c r="N1448" t="s">
        <v>3721</v>
      </c>
      <c r="O1448" t="s">
        <v>3715</v>
      </c>
    </row>
    <row r="1449" spans="1:15" x14ac:dyDescent="0.2">
      <c r="A1449">
        <v>99</v>
      </c>
      <c r="B1449" t="s">
        <v>2117</v>
      </c>
      <c r="C1449" t="s">
        <v>676</v>
      </c>
      <c r="D1449" t="s">
        <v>853</v>
      </c>
      <c r="E1449" t="s">
        <v>980</v>
      </c>
      <c r="F1449">
        <v>6.85</v>
      </c>
      <c r="G1449">
        <v>0.9</v>
      </c>
      <c r="H1449" t="s">
        <v>1052</v>
      </c>
      <c r="I1449" t="s">
        <v>1152</v>
      </c>
      <c r="J1449">
        <v>6.165</v>
      </c>
      <c r="K1449">
        <v>2204.3573999999999</v>
      </c>
      <c r="L1449" t="s">
        <v>625</v>
      </c>
      <c r="M1449">
        <v>357.56</v>
      </c>
      <c r="N1449" t="s">
        <v>3714</v>
      </c>
      <c r="O1449" t="s">
        <v>3715</v>
      </c>
    </row>
    <row r="1450" spans="1:15" x14ac:dyDescent="0.2">
      <c r="A1450">
        <v>99</v>
      </c>
      <c r="B1450" t="s">
        <v>2117</v>
      </c>
      <c r="C1450" t="s">
        <v>676</v>
      </c>
      <c r="D1450" t="s">
        <v>1064</v>
      </c>
      <c r="E1450" t="s">
        <v>3695</v>
      </c>
      <c r="F1450">
        <v>1</v>
      </c>
      <c r="G1450">
        <v>90</v>
      </c>
      <c r="H1450" t="s">
        <v>1152</v>
      </c>
      <c r="I1450" t="s">
        <v>1152</v>
      </c>
      <c r="J1450">
        <v>90</v>
      </c>
      <c r="K1450">
        <v>32180.400000000001</v>
      </c>
      <c r="L1450" t="s">
        <v>625</v>
      </c>
      <c r="M1450">
        <v>357.56</v>
      </c>
      <c r="N1450" t="s">
        <v>3723</v>
      </c>
      <c r="O1450" t="s">
        <v>3715</v>
      </c>
    </row>
    <row r="1451" spans="1:15" x14ac:dyDescent="0.2">
      <c r="A1451">
        <v>99</v>
      </c>
      <c r="B1451" t="s">
        <v>2117</v>
      </c>
      <c r="C1451" t="s">
        <v>713</v>
      </c>
      <c r="D1451" t="s">
        <v>853</v>
      </c>
      <c r="E1451" t="s">
        <v>980</v>
      </c>
      <c r="F1451">
        <v>0.91310000000000002</v>
      </c>
      <c r="G1451">
        <v>0.9</v>
      </c>
      <c r="H1451" t="s">
        <v>1052</v>
      </c>
      <c r="I1451" t="s">
        <v>153</v>
      </c>
      <c r="J1451">
        <v>0.82179000000000002</v>
      </c>
      <c r="K1451">
        <v>178.54209499999999</v>
      </c>
      <c r="L1451" t="s">
        <v>1318</v>
      </c>
      <c r="M1451">
        <v>217.26</v>
      </c>
      <c r="N1451" t="s">
        <v>3724</v>
      </c>
      <c r="O1451" t="s">
        <v>3725</v>
      </c>
    </row>
    <row r="1452" spans="1:15" x14ac:dyDescent="0.2">
      <c r="A1452">
        <v>99</v>
      </c>
      <c r="B1452" t="s">
        <v>2117</v>
      </c>
      <c r="C1452" t="s">
        <v>713</v>
      </c>
      <c r="D1452" t="s">
        <v>801</v>
      </c>
      <c r="E1452" t="s">
        <v>402</v>
      </c>
      <c r="F1452">
        <v>0</v>
      </c>
      <c r="G1452">
        <v>10.3</v>
      </c>
      <c r="H1452" t="s">
        <v>151</v>
      </c>
      <c r="I1452" t="s">
        <v>153</v>
      </c>
      <c r="J1452">
        <v>0</v>
      </c>
      <c r="K1452">
        <v>0</v>
      </c>
      <c r="L1452" t="s">
        <v>1318</v>
      </c>
      <c r="M1452">
        <v>217.26</v>
      </c>
      <c r="N1452" t="s">
        <v>3729</v>
      </c>
      <c r="O1452" t="s">
        <v>3725</v>
      </c>
    </row>
    <row r="1453" spans="1:15" x14ac:dyDescent="0.2">
      <c r="A1453">
        <v>99</v>
      </c>
      <c r="B1453" t="s">
        <v>2117</v>
      </c>
      <c r="C1453" t="s">
        <v>713</v>
      </c>
      <c r="D1453" t="s">
        <v>941</v>
      </c>
      <c r="E1453" t="s">
        <v>1485</v>
      </c>
      <c r="F1453">
        <v>0.33760000000000001</v>
      </c>
      <c r="G1453">
        <v>8.4017999999999997</v>
      </c>
      <c r="H1453" t="s">
        <v>1819</v>
      </c>
      <c r="I1453" t="s">
        <v>153</v>
      </c>
      <c r="J1453">
        <v>2.83644768</v>
      </c>
      <c r="K1453">
        <v>616.246623</v>
      </c>
      <c r="L1453" t="s">
        <v>1318</v>
      </c>
      <c r="M1453">
        <v>217.26</v>
      </c>
      <c r="N1453" t="s">
        <v>3731</v>
      </c>
      <c r="O1453" t="s">
        <v>3725</v>
      </c>
    </row>
    <row r="1454" spans="1:15" x14ac:dyDescent="0.2">
      <c r="A1454">
        <v>99</v>
      </c>
      <c r="B1454" t="s">
        <v>2117</v>
      </c>
      <c r="C1454" t="s">
        <v>713</v>
      </c>
      <c r="D1454" t="s">
        <v>706</v>
      </c>
      <c r="E1454" t="s">
        <v>130</v>
      </c>
      <c r="F1454">
        <v>0.18809999999999999</v>
      </c>
      <c r="G1454">
        <v>8</v>
      </c>
      <c r="H1454" t="s">
        <v>1052</v>
      </c>
      <c r="I1454" t="s">
        <v>153</v>
      </c>
      <c r="J1454">
        <v>1.5047999999999999</v>
      </c>
      <c r="K1454">
        <v>326.93284799999998</v>
      </c>
      <c r="L1454" t="s">
        <v>1318</v>
      </c>
      <c r="M1454">
        <v>217.26</v>
      </c>
      <c r="N1454" t="s">
        <v>3726</v>
      </c>
      <c r="O1454" t="s">
        <v>3725</v>
      </c>
    </row>
    <row r="1455" spans="1:15" x14ac:dyDescent="0.2">
      <c r="A1455">
        <v>99</v>
      </c>
      <c r="B1455" t="s">
        <v>2117</v>
      </c>
      <c r="C1455" t="s">
        <v>713</v>
      </c>
      <c r="D1455" t="s">
        <v>939</v>
      </c>
      <c r="E1455" t="s">
        <v>640</v>
      </c>
      <c r="F1455">
        <v>0</v>
      </c>
      <c r="G1455">
        <v>21.15</v>
      </c>
      <c r="H1455" t="s">
        <v>151</v>
      </c>
      <c r="I1455" t="s">
        <v>153</v>
      </c>
      <c r="J1455">
        <v>0</v>
      </c>
      <c r="K1455">
        <v>0</v>
      </c>
      <c r="L1455" t="s">
        <v>1318</v>
      </c>
      <c r="M1455">
        <v>217.26</v>
      </c>
      <c r="N1455" t="s">
        <v>3728</v>
      </c>
      <c r="O1455" t="s">
        <v>3725</v>
      </c>
    </row>
    <row r="1456" spans="1:15" x14ac:dyDescent="0.2">
      <c r="A1456">
        <v>99</v>
      </c>
      <c r="B1456" t="s">
        <v>2117</v>
      </c>
      <c r="C1456" t="s">
        <v>713</v>
      </c>
      <c r="D1456" t="s">
        <v>498</v>
      </c>
      <c r="E1456" t="s">
        <v>773</v>
      </c>
      <c r="F1456">
        <v>1.2</v>
      </c>
      <c r="G1456">
        <v>0</v>
      </c>
      <c r="H1456" t="s">
        <v>84</v>
      </c>
      <c r="I1456" t="s">
        <v>153</v>
      </c>
      <c r="J1456">
        <v>0</v>
      </c>
      <c r="K1456">
        <v>0</v>
      </c>
      <c r="L1456" t="s">
        <v>1318</v>
      </c>
      <c r="M1456">
        <v>217.26</v>
      </c>
      <c r="N1456" t="s">
        <v>3730</v>
      </c>
      <c r="O1456" t="s">
        <v>3725</v>
      </c>
    </row>
    <row r="1457" spans="1:15" x14ac:dyDescent="0.2">
      <c r="A1457">
        <v>99</v>
      </c>
      <c r="B1457" t="s">
        <v>2117</v>
      </c>
      <c r="C1457" t="s">
        <v>713</v>
      </c>
      <c r="D1457" t="s">
        <v>1702</v>
      </c>
      <c r="E1457" t="s">
        <v>1289</v>
      </c>
      <c r="F1457">
        <v>0.33760000000000001</v>
      </c>
      <c r="G1457">
        <v>196.42</v>
      </c>
      <c r="H1457" t="s">
        <v>1152</v>
      </c>
      <c r="I1457" t="s">
        <v>153</v>
      </c>
      <c r="J1457">
        <v>66.311391999999998</v>
      </c>
      <c r="K1457">
        <v>14406.813026</v>
      </c>
      <c r="L1457" t="s">
        <v>1318</v>
      </c>
      <c r="M1457">
        <v>217.26</v>
      </c>
      <c r="N1457" t="s">
        <v>3727</v>
      </c>
      <c r="O1457" t="s">
        <v>3725</v>
      </c>
    </row>
    <row r="1458" spans="1:15" x14ac:dyDescent="0.2">
      <c r="A1458">
        <v>99</v>
      </c>
      <c r="B1458" t="s">
        <v>2117</v>
      </c>
      <c r="C1458" t="s">
        <v>716</v>
      </c>
      <c r="D1458" t="s">
        <v>621</v>
      </c>
      <c r="E1458" t="s">
        <v>3444</v>
      </c>
      <c r="F1458">
        <v>0.99</v>
      </c>
      <c r="G1458">
        <v>49.59</v>
      </c>
      <c r="H1458" t="s">
        <v>1052</v>
      </c>
      <c r="I1458" t="s">
        <v>153</v>
      </c>
      <c r="J1458">
        <v>49.094099999999997</v>
      </c>
      <c r="K1458">
        <v>8120.1641399999999</v>
      </c>
      <c r="L1458" t="s">
        <v>928</v>
      </c>
      <c r="M1458">
        <v>165.4</v>
      </c>
      <c r="N1458" t="s">
        <v>3735</v>
      </c>
      <c r="O1458" t="s">
        <v>3734</v>
      </c>
    </row>
    <row r="1459" spans="1:15" x14ac:dyDescent="0.2">
      <c r="A1459">
        <v>99</v>
      </c>
      <c r="B1459" t="s">
        <v>2117</v>
      </c>
      <c r="C1459" t="s">
        <v>716</v>
      </c>
      <c r="D1459" t="s">
        <v>498</v>
      </c>
      <c r="E1459" t="s">
        <v>773</v>
      </c>
      <c r="F1459">
        <v>1.2</v>
      </c>
      <c r="G1459">
        <v>0</v>
      </c>
      <c r="H1459" t="s">
        <v>84</v>
      </c>
      <c r="I1459" t="s">
        <v>153</v>
      </c>
      <c r="J1459">
        <v>0</v>
      </c>
      <c r="K1459">
        <v>0</v>
      </c>
      <c r="L1459" t="s">
        <v>928</v>
      </c>
      <c r="M1459">
        <v>165.4</v>
      </c>
      <c r="N1459" t="s">
        <v>3739</v>
      </c>
      <c r="O1459" t="s">
        <v>3734</v>
      </c>
    </row>
    <row r="1460" spans="1:15" x14ac:dyDescent="0.2">
      <c r="A1460">
        <v>99</v>
      </c>
      <c r="B1460" t="s">
        <v>2117</v>
      </c>
      <c r="C1460" t="s">
        <v>716</v>
      </c>
      <c r="D1460" t="s">
        <v>1009</v>
      </c>
      <c r="E1460" t="s">
        <v>672</v>
      </c>
      <c r="F1460">
        <v>0</v>
      </c>
      <c r="G1460">
        <v>16.489999999999998</v>
      </c>
      <c r="H1460" t="s">
        <v>151</v>
      </c>
      <c r="I1460" t="s">
        <v>153</v>
      </c>
      <c r="J1460">
        <v>0</v>
      </c>
      <c r="K1460">
        <v>0</v>
      </c>
      <c r="L1460" t="s">
        <v>928</v>
      </c>
      <c r="M1460">
        <v>165.4</v>
      </c>
      <c r="N1460" t="s">
        <v>3736</v>
      </c>
      <c r="O1460" t="s">
        <v>3734</v>
      </c>
    </row>
    <row r="1461" spans="1:15" x14ac:dyDescent="0.2">
      <c r="A1461">
        <v>99</v>
      </c>
      <c r="B1461" t="s">
        <v>2117</v>
      </c>
      <c r="C1461" t="s">
        <v>716</v>
      </c>
      <c r="D1461" t="s">
        <v>801</v>
      </c>
      <c r="E1461" t="s">
        <v>402</v>
      </c>
      <c r="F1461">
        <v>0</v>
      </c>
      <c r="G1461">
        <v>10.3</v>
      </c>
      <c r="H1461" t="s">
        <v>151</v>
      </c>
      <c r="I1461" t="s">
        <v>153</v>
      </c>
      <c r="J1461">
        <v>0</v>
      </c>
      <c r="K1461">
        <v>0</v>
      </c>
      <c r="L1461" t="s">
        <v>928</v>
      </c>
      <c r="M1461">
        <v>165.4</v>
      </c>
      <c r="N1461" t="s">
        <v>3737</v>
      </c>
      <c r="O1461" t="s">
        <v>3734</v>
      </c>
    </row>
    <row r="1462" spans="1:15" x14ac:dyDescent="0.2">
      <c r="A1462">
        <v>99</v>
      </c>
      <c r="B1462" t="s">
        <v>2117</v>
      </c>
      <c r="C1462" t="s">
        <v>716</v>
      </c>
      <c r="D1462" t="s">
        <v>968</v>
      </c>
      <c r="E1462" t="s">
        <v>3448</v>
      </c>
      <c r="F1462">
        <v>1</v>
      </c>
      <c r="G1462">
        <v>35</v>
      </c>
      <c r="H1462" t="s">
        <v>153</v>
      </c>
      <c r="I1462" t="s">
        <v>153</v>
      </c>
      <c r="J1462">
        <v>35</v>
      </c>
      <c r="K1462">
        <v>5789</v>
      </c>
      <c r="L1462" t="s">
        <v>928</v>
      </c>
      <c r="M1462">
        <v>165.4</v>
      </c>
      <c r="N1462" t="s">
        <v>3738</v>
      </c>
      <c r="O1462" t="s">
        <v>3734</v>
      </c>
    </row>
    <row r="1463" spans="1:15" x14ac:dyDescent="0.2">
      <c r="A1463">
        <v>99</v>
      </c>
      <c r="B1463" t="s">
        <v>2117</v>
      </c>
      <c r="C1463" t="s">
        <v>716</v>
      </c>
      <c r="D1463" t="s">
        <v>1514</v>
      </c>
      <c r="E1463" t="s">
        <v>3732</v>
      </c>
      <c r="F1463">
        <v>1.34</v>
      </c>
      <c r="G1463">
        <v>50</v>
      </c>
      <c r="H1463" t="s">
        <v>153</v>
      </c>
      <c r="I1463" t="s">
        <v>153</v>
      </c>
      <c r="J1463">
        <v>67</v>
      </c>
      <c r="K1463">
        <v>11081.8</v>
      </c>
      <c r="L1463" t="s">
        <v>928</v>
      </c>
      <c r="M1463">
        <v>165.4</v>
      </c>
      <c r="N1463" t="s">
        <v>3733</v>
      </c>
      <c r="O1463" t="s">
        <v>3734</v>
      </c>
    </row>
    <row r="1464" spans="1:15" x14ac:dyDescent="0.2">
      <c r="A1464">
        <v>99</v>
      </c>
      <c r="B1464" t="s">
        <v>2117</v>
      </c>
      <c r="C1464" t="s">
        <v>719</v>
      </c>
      <c r="D1464" t="s">
        <v>1262</v>
      </c>
      <c r="E1464" t="s">
        <v>930</v>
      </c>
      <c r="F1464">
        <v>1</v>
      </c>
      <c r="G1464">
        <v>450</v>
      </c>
      <c r="H1464" t="s">
        <v>1152</v>
      </c>
      <c r="I1464" t="s">
        <v>1152</v>
      </c>
      <c r="J1464">
        <v>450</v>
      </c>
      <c r="K1464">
        <v>1383417</v>
      </c>
      <c r="L1464" t="s">
        <v>419</v>
      </c>
      <c r="M1464">
        <v>3074.26</v>
      </c>
      <c r="N1464" t="s">
        <v>3742</v>
      </c>
      <c r="O1464" t="s">
        <v>3741</v>
      </c>
    </row>
    <row r="1465" spans="1:15" x14ac:dyDescent="0.2">
      <c r="A1465">
        <v>99</v>
      </c>
      <c r="B1465" t="s">
        <v>2117</v>
      </c>
      <c r="C1465" t="s">
        <v>719</v>
      </c>
      <c r="D1465" t="s">
        <v>1259</v>
      </c>
      <c r="E1465" t="s">
        <v>1353</v>
      </c>
      <c r="F1465">
        <v>1</v>
      </c>
      <c r="G1465">
        <v>850</v>
      </c>
      <c r="H1465" t="s">
        <v>1152</v>
      </c>
      <c r="I1465" t="s">
        <v>1152</v>
      </c>
      <c r="J1465">
        <v>850</v>
      </c>
      <c r="K1465">
        <v>2613121</v>
      </c>
      <c r="L1465" t="s">
        <v>419</v>
      </c>
      <c r="M1465">
        <v>3074.26</v>
      </c>
      <c r="N1465" t="s">
        <v>3740</v>
      </c>
      <c r="O1465" t="s">
        <v>3741</v>
      </c>
    </row>
    <row r="1466" spans="1:15" x14ac:dyDescent="0.2">
      <c r="A1466">
        <v>99</v>
      </c>
      <c r="B1466" t="s">
        <v>2117</v>
      </c>
      <c r="C1466" t="s">
        <v>723</v>
      </c>
      <c r="D1466" t="s">
        <v>1375</v>
      </c>
      <c r="E1466" t="s">
        <v>1255</v>
      </c>
      <c r="F1466">
        <v>1</v>
      </c>
      <c r="G1466">
        <v>643.70000000000005</v>
      </c>
      <c r="H1466" t="s">
        <v>1152</v>
      </c>
      <c r="I1466" t="s">
        <v>1152</v>
      </c>
      <c r="J1466">
        <v>643.70000000000005</v>
      </c>
      <c r="K1466">
        <v>2561.9259999999999</v>
      </c>
      <c r="L1466" t="s">
        <v>421</v>
      </c>
      <c r="M1466">
        <v>3.98</v>
      </c>
      <c r="N1466" t="s">
        <v>3743</v>
      </c>
      <c r="O1466" t="s">
        <v>3744</v>
      </c>
    </row>
    <row r="1467" spans="1:15" x14ac:dyDescent="0.2">
      <c r="A1467">
        <v>99</v>
      </c>
      <c r="B1467" t="s">
        <v>2117</v>
      </c>
      <c r="C1467" t="s">
        <v>723</v>
      </c>
      <c r="D1467" t="s">
        <v>1378</v>
      </c>
      <c r="E1467" t="s">
        <v>807</v>
      </c>
      <c r="F1467">
        <v>1</v>
      </c>
      <c r="G1467">
        <v>287.52</v>
      </c>
      <c r="H1467" t="s">
        <v>1152</v>
      </c>
      <c r="I1467" t="s">
        <v>1152</v>
      </c>
      <c r="J1467">
        <v>287.52</v>
      </c>
      <c r="K1467">
        <v>1144.3296</v>
      </c>
      <c r="L1467" t="s">
        <v>421</v>
      </c>
      <c r="M1467">
        <v>3.98</v>
      </c>
      <c r="N1467" t="s">
        <v>3745</v>
      </c>
      <c r="O1467" t="s">
        <v>3744</v>
      </c>
    </row>
    <row r="1468" spans="1:15" x14ac:dyDescent="0.2">
      <c r="A1468">
        <v>99</v>
      </c>
      <c r="B1468" t="s">
        <v>2117</v>
      </c>
      <c r="C1468" t="s">
        <v>725</v>
      </c>
      <c r="D1468" t="s">
        <v>1244</v>
      </c>
      <c r="E1468" t="s">
        <v>3749</v>
      </c>
      <c r="F1468">
        <v>0.04</v>
      </c>
      <c r="G1468">
        <v>11.62</v>
      </c>
      <c r="H1468" t="s">
        <v>152</v>
      </c>
      <c r="I1468" t="s">
        <v>1152</v>
      </c>
      <c r="J1468">
        <v>0.46479999999999999</v>
      </c>
      <c r="K1468">
        <v>21.092624000000001</v>
      </c>
      <c r="L1468" t="s">
        <v>1215</v>
      </c>
      <c r="M1468">
        <v>45.38</v>
      </c>
      <c r="N1468" t="s">
        <v>3750</v>
      </c>
      <c r="O1468" t="s">
        <v>3747</v>
      </c>
    </row>
    <row r="1469" spans="1:15" x14ac:dyDescent="0.2">
      <c r="A1469">
        <v>99</v>
      </c>
      <c r="B1469" t="s">
        <v>2117</v>
      </c>
      <c r="C1469" t="s">
        <v>725</v>
      </c>
      <c r="D1469" t="s">
        <v>1655</v>
      </c>
      <c r="E1469" t="s">
        <v>1276</v>
      </c>
      <c r="F1469">
        <v>10</v>
      </c>
      <c r="G1469">
        <v>3.88</v>
      </c>
      <c r="H1469" t="s">
        <v>1052</v>
      </c>
      <c r="I1469" t="s">
        <v>1152</v>
      </c>
      <c r="J1469">
        <v>38.799999999999997</v>
      </c>
      <c r="K1469">
        <v>1760.7439999999999</v>
      </c>
      <c r="L1469" t="s">
        <v>1215</v>
      </c>
      <c r="M1469">
        <v>45.38</v>
      </c>
      <c r="N1469" t="s">
        <v>3746</v>
      </c>
      <c r="O1469" t="s">
        <v>3747</v>
      </c>
    </row>
    <row r="1470" spans="1:15" x14ac:dyDescent="0.2">
      <c r="A1470">
        <v>99</v>
      </c>
      <c r="B1470" t="s">
        <v>2117</v>
      </c>
      <c r="C1470" t="s">
        <v>725</v>
      </c>
      <c r="D1470" t="s">
        <v>1846</v>
      </c>
      <c r="E1470" t="s">
        <v>1802</v>
      </c>
      <c r="F1470">
        <v>20</v>
      </c>
      <c r="G1470">
        <v>0.72</v>
      </c>
      <c r="H1470" t="s">
        <v>1052</v>
      </c>
      <c r="I1470" t="s">
        <v>1152</v>
      </c>
      <c r="J1470">
        <v>14.4</v>
      </c>
      <c r="K1470">
        <v>653.47199999999998</v>
      </c>
      <c r="L1470" t="s">
        <v>1215</v>
      </c>
      <c r="M1470">
        <v>45.38</v>
      </c>
      <c r="N1470" t="s">
        <v>3748</v>
      </c>
      <c r="O1470" t="s">
        <v>3747</v>
      </c>
    </row>
    <row r="1471" spans="1:15" x14ac:dyDescent="0.2">
      <c r="A1471">
        <v>99</v>
      </c>
      <c r="B1471" t="s">
        <v>2117</v>
      </c>
      <c r="C1471" t="s">
        <v>725</v>
      </c>
      <c r="D1471" t="s">
        <v>1974</v>
      </c>
      <c r="E1471" t="s">
        <v>1647</v>
      </c>
      <c r="F1471">
        <v>0</v>
      </c>
      <c r="G1471">
        <v>3.1</v>
      </c>
      <c r="H1471" t="s">
        <v>764</v>
      </c>
      <c r="I1471" t="s">
        <v>1152</v>
      </c>
      <c r="J1471">
        <v>0</v>
      </c>
      <c r="K1471">
        <v>0</v>
      </c>
      <c r="L1471" t="s">
        <v>1215</v>
      </c>
      <c r="M1471">
        <v>45.38</v>
      </c>
      <c r="N1471" t="s">
        <v>3760</v>
      </c>
      <c r="O1471" t="s">
        <v>3747</v>
      </c>
    </row>
    <row r="1472" spans="1:15" x14ac:dyDescent="0.2">
      <c r="A1472">
        <v>99</v>
      </c>
      <c r="B1472" t="s">
        <v>2117</v>
      </c>
      <c r="C1472" t="s">
        <v>725</v>
      </c>
      <c r="D1472" t="s">
        <v>44</v>
      </c>
      <c r="E1472" t="s">
        <v>1634</v>
      </c>
      <c r="F1472">
        <v>0</v>
      </c>
      <c r="G1472">
        <v>0.67</v>
      </c>
      <c r="H1472" t="s">
        <v>742</v>
      </c>
      <c r="I1472" t="s">
        <v>1152</v>
      </c>
      <c r="J1472">
        <v>0</v>
      </c>
      <c r="K1472">
        <v>0</v>
      </c>
      <c r="L1472" t="s">
        <v>1215</v>
      </c>
      <c r="M1472">
        <v>45.38</v>
      </c>
      <c r="N1472" t="s">
        <v>3761</v>
      </c>
      <c r="O1472" t="s">
        <v>3747</v>
      </c>
    </row>
    <row r="1473" spans="1:15" x14ac:dyDescent="0.2">
      <c r="A1473">
        <v>99</v>
      </c>
      <c r="B1473" t="s">
        <v>2117</v>
      </c>
      <c r="C1473" t="s">
        <v>725</v>
      </c>
      <c r="D1473" t="s">
        <v>684</v>
      </c>
      <c r="E1473" t="s">
        <v>3752</v>
      </c>
      <c r="F1473">
        <v>1.67</v>
      </c>
      <c r="G1473">
        <v>1.33</v>
      </c>
      <c r="H1473" t="s">
        <v>153</v>
      </c>
      <c r="I1473" t="s">
        <v>1152</v>
      </c>
      <c r="J1473">
        <v>2.2210999999999999</v>
      </c>
      <c r="K1473">
        <v>100.79351800000001</v>
      </c>
      <c r="L1473" t="s">
        <v>1215</v>
      </c>
      <c r="M1473">
        <v>45.38</v>
      </c>
      <c r="N1473" t="s">
        <v>3753</v>
      </c>
      <c r="O1473" t="s">
        <v>3747</v>
      </c>
    </row>
    <row r="1474" spans="1:15" x14ac:dyDescent="0.2">
      <c r="A1474">
        <v>99</v>
      </c>
      <c r="B1474" t="s">
        <v>2117</v>
      </c>
      <c r="C1474" t="s">
        <v>725</v>
      </c>
      <c r="D1474" t="s">
        <v>1006</v>
      </c>
      <c r="E1474" t="s">
        <v>699</v>
      </c>
      <c r="F1474">
        <v>0</v>
      </c>
      <c r="G1474">
        <v>28.988</v>
      </c>
      <c r="H1474" t="s">
        <v>151</v>
      </c>
      <c r="I1474" t="s">
        <v>1152</v>
      </c>
      <c r="J1474">
        <v>0</v>
      </c>
      <c r="K1474">
        <v>0</v>
      </c>
      <c r="L1474" t="s">
        <v>1215</v>
      </c>
      <c r="M1474">
        <v>45.38</v>
      </c>
      <c r="N1474" t="s">
        <v>3754</v>
      </c>
      <c r="O1474" t="s">
        <v>3747</v>
      </c>
    </row>
    <row r="1475" spans="1:15" x14ac:dyDescent="0.2">
      <c r="A1475">
        <v>99</v>
      </c>
      <c r="B1475" t="s">
        <v>2117</v>
      </c>
      <c r="C1475" t="s">
        <v>725</v>
      </c>
      <c r="D1475" t="s">
        <v>66</v>
      </c>
      <c r="E1475" t="s">
        <v>617</v>
      </c>
      <c r="F1475">
        <v>0</v>
      </c>
      <c r="G1475">
        <v>5.45</v>
      </c>
      <c r="H1475" t="s">
        <v>764</v>
      </c>
      <c r="I1475" t="s">
        <v>1152</v>
      </c>
      <c r="J1475">
        <v>0</v>
      </c>
      <c r="K1475">
        <v>0</v>
      </c>
      <c r="L1475" t="s">
        <v>1215</v>
      </c>
      <c r="M1475">
        <v>45.38</v>
      </c>
      <c r="N1475" t="s">
        <v>3762</v>
      </c>
      <c r="O1475" t="s">
        <v>3747</v>
      </c>
    </row>
    <row r="1476" spans="1:15" x14ac:dyDescent="0.2">
      <c r="A1476">
        <v>99</v>
      </c>
      <c r="B1476" t="s">
        <v>2117</v>
      </c>
      <c r="C1476" t="s">
        <v>725</v>
      </c>
      <c r="D1476" t="s">
        <v>498</v>
      </c>
      <c r="E1476" t="s">
        <v>773</v>
      </c>
      <c r="F1476">
        <v>1.2</v>
      </c>
      <c r="G1476">
        <v>0</v>
      </c>
      <c r="H1476" t="s">
        <v>84</v>
      </c>
      <c r="I1476" t="s">
        <v>1152</v>
      </c>
      <c r="J1476">
        <v>0</v>
      </c>
      <c r="K1476">
        <v>0</v>
      </c>
      <c r="L1476" t="s">
        <v>1215</v>
      </c>
      <c r="M1476">
        <v>45.38</v>
      </c>
      <c r="N1476" t="s">
        <v>3759</v>
      </c>
      <c r="O1476" t="s">
        <v>3747</v>
      </c>
    </row>
    <row r="1477" spans="1:15" x14ac:dyDescent="0.2">
      <c r="A1477">
        <v>99</v>
      </c>
      <c r="B1477" t="s">
        <v>2117</v>
      </c>
      <c r="C1477" t="s">
        <v>725</v>
      </c>
      <c r="D1477" t="s">
        <v>1118</v>
      </c>
      <c r="E1477" t="s">
        <v>3757</v>
      </c>
      <c r="F1477">
        <v>1</v>
      </c>
      <c r="G1477">
        <v>90</v>
      </c>
      <c r="H1477" t="s">
        <v>1152</v>
      </c>
      <c r="I1477" t="s">
        <v>1152</v>
      </c>
      <c r="J1477">
        <v>90</v>
      </c>
      <c r="K1477">
        <v>4084.2</v>
      </c>
      <c r="L1477" t="s">
        <v>1215</v>
      </c>
      <c r="M1477">
        <v>45.38</v>
      </c>
      <c r="N1477" t="s">
        <v>3758</v>
      </c>
      <c r="O1477" t="s">
        <v>3747</v>
      </c>
    </row>
    <row r="1478" spans="1:15" x14ac:dyDescent="0.2">
      <c r="A1478">
        <v>99</v>
      </c>
      <c r="B1478" t="s">
        <v>2117</v>
      </c>
      <c r="C1478" t="s">
        <v>725</v>
      </c>
      <c r="D1478" t="s">
        <v>801</v>
      </c>
      <c r="E1478" t="s">
        <v>402</v>
      </c>
      <c r="F1478">
        <v>0</v>
      </c>
      <c r="G1478">
        <v>10.3</v>
      </c>
      <c r="H1478" t="s">
        <v>151</v>
      </c>
      <c r="I1478" t="s">
        <v>1152</v>
      </c>
      <c r="J1478">
        <v>0</v>
      </c>
      <c r="K1478">
        <v>0</v>
      </c>
      <c r="L1478" t="s">
        <v>1215</v>
      </c>
      <c r="M1478">
        <v>45.38</v>
      </c>
      <c r="N1478" t="s">
        <v>3756</v>
      </c>
      <c r="O1478" t="s">
        <v>3747</v>
      </c>
    </row>
    <row r="1479" spans="1:15" x14ac:dyDescent="0.2">
      <c r="A1479">
        <v>99</v>
      </c>
      <c r="B1479" t="s">
        <v>2117</v>
      </c>
      <c r="C1479" t="s">
        <v>725</v>
      </c>
      <c r="D1479" t="s">
        <v>1911</v>
      </c>
      <c r="E1479" t="s">
        <v>1525</v>
      </c>
      <c r="F1479">
        <v>1.2500000000000001E-2</v>
      </c>
      <c r="G1479">
        <v>23.59</v>
      </c>
      <c r="H1479" t="s">
        <v>152</v>
      </c>
      <c r="I1479" t="s">
        <v>1152</v>
      </c>
      <c r="J1479">
        <v>0.294875</v>
      </c>
      <c r="K1479">
        <v>13.381428</v>
      </c>
      <c r="L1479" t="s">
        <v>1215</v>
      </c>
      <c r="M1479">
        <v>45.38</v>
      </c>
      <c r="N1479" t="s">
        <v>3751</v>
      </c>
      <c r="O1479" t="s">
        <v>3747</v>
      </c>
    </row>
    <row r="1480" spans="1:15" x14ac:dyDescent="0.2">
      <c r="A1480">
        <v>99</v>
      </c>
      <c r="B1480" t="s">
        <v>2117</v>
      </c>
      <c r="C1480" t="s">
        <v>725</v>
      </c>
      <c r="D1480" t="s">
        <v>120</v>
      </c>
      <c r="E1480" t="s">
        <v>597</v>
      </c>
      <c r="F1480">
        <v>0</v>
      </c>
      <c r="G1480">
        <v>1.52</v>
      </c>
      <c r="H1480" t="s">
        <v>742</v>
      </c>
      <c r="I1480" t="s">
        <v>1152</v>
      </c>
      <c r="J1480">
        <v>0</v>
      </c>
      <c r="K1480">
        <v>0</v>
      </c>
      <c r="L1480" t="s">
        <v>1215</v>
      </c>
      <c r="M1480">
        <v>45.38</v>
      </c>
      <c r="N1480" t="s">
        <v>3755</v>
      </c>
      <c r="O1480" t="s">
        <v>3747</v>
      </c>
    </row>
    <row r="1481" spans="1:15" x14ac:dyDescent="0.2">
      <c r="A1481">
        <v>99</v>
      </c>
      <c r="B1481" t="s">
        <v>2117</v>
      </c>
      <c r="C1481" t="s">
        <v>862</v>
      </c>
      <c r="D1481" t="s">
        <v>120</v>
      </c>
      <c r="E1481" t="s">
        <v>597</v>
      </c>
      <c r="F1481">
        <v>0</v>
      </c>
      <c r="G1481">
        <v>1.52</v>
      </c>
      <c r="H1481" t="s">
        <v>742</v>
      </c>
      <c r="I1481" t="s">
        <v>153</v>
      </c>
      <c r="J1481">
        <v>0</v>
      </c>
      <c r="K1481">
        <v>0</v>
      </c>
      <c r="L1481" t="s">
        <v>1263</v>
      </c>
      <c r="M1481">
        <v>14.4</v>
      </c>
      <c r="N1481" t="s">
        <v>3772</v>
      </c>
      <c r="O1481" t="s">
        <v>3764</v>
      </c>
    </row>
    <row r="1482" spans="1:15" x14ac:dyDescent="0.2">
      <c r="A1482">
        <v>99</v>
      </c>
      <c r="B1482" t="s">
        <v>2117</v>
      </c>
      <c r="C1482" t="s">
        <v>862</v>
      </c>
      <c r="D1482" t="s">
        <v>801</v>
      </c>
      <c r="E1482" t="s">
        <v>402</v>
      </c>
      <c r="F1482">
        <v>0</v>
      </c>
      <c r="G1482">
        <v>10.3</v>
      </c>
      <c r="H1482" t="s">
        <v>151</v>
      </c>
      <c r="I1482" t="s">
        <v>153</v>
      </c>
      <c r="J1482">
        <v>0</v>
      </c>
      <c r="K1482">
        <v>0</v>
      </c>
      <c r="L1482" t="s">
        <v>1263</v>
      </c>
      <c r="M1482">
        <v>14.4</v>
      </c>
      <c r="N1482" t="s">
        <v>3768</v>
      </c>
      <c r="O1482" t="s">
        <v>3764</v>
      </c>
    </row>
    <row r="1483" spans="1:15" x14ac:dyDescent="0.2">
      <c r="A1483">
        <v>99</v>
      </c>
      <c r="B1483" t="s">
        <v>2117</v>
      </c>
      <c r="C1483" t="s">
        <v>862</v>
      </c>
      <c r="D1483" t="s">
        <v>1654</v>
      </c>
      <c r="E1483" t="s">
        <v>1551</v>
      </c>
      <c r="F1483">
        <v>0.97509999999999997</v>
      </c>
      <c r="G1483">
        <v>0.7974</v>
      </c>
      <c r="H1483" t="s">
        <v>1052</v>
      </c>
      <c r="I1483" t="s">
        <v>153</v>
      </c>
      <c r="J1483">
        <v>0.77754473999999996</v>
      </c>
      <c r="K1483">
        <v>11.196643999999999</v>
      </c>
      <c r="L1483" t="s">
        <v>1263</v>
      </c>
      <c r="M1483">
        <v>14.4</v>
      </c>
      <c r="N1483" t="s">
        <v>3763</v>
      </c>
      <c r="O1483" t="s">
        <v>3764</v>
      </c>
    </row>
    <row r="1484" spans="1:15" x14ac:dyDescent="0.2">
      <c r="A1484">
        <v>99</v>
      </c>
      <c r="B1484" t="s">
        <v>2117</v>
      </c>
      <c r="C1484" t="s">
        <v>862</v>
      </c>
      <c r="D1484" t="s">
        <v>1258</v>
      </c>
      <c r="E1484" t="s">
        <v>1526</v>
      </c>
      <c r="F1484">
        <v>2.2000000000000001E-3</v>
      </c>
      <c r="G1484">
        <v>148</v>
      </c>
      <c r="H1484" t="s">
        <v>1153</v>
      </c>
      <c r="I1484" t="s">
        <v>153</v>
      </c>
      <c r="J1484">
        <v>0.3256</v>
      </c>
      <c r="K1484">
        <v>4.6886400000000004</v>
      </c>
      <c r="L1484" t="s">
        <v>1263</v>
      </c>
      <c r="M1484">
        <v>14.4</v>
      </c>
      <c r="N1484" t="s">
        <v>3765</v>
      </c>
      <c r="O1484" t="s">
        <v>3764</v>
      </c>
    </row>
    <row r="1485" spans="1:15" x14ac:dyDescent="0.2">
      <c r="A1485">
        <v>99</v>
      </c>
      <c r="B1485" t="s">
        <v>2117</v>
      </c>
      <c r="C1485" t="s">
        <v>862</v>
      </c>
      <c r="D1485" t="s">
        <v>498</v>
      </c>
      <c r="E1485" t="s">
        <v>773</v>
      </c>
      <c r="F1485">
        <v>1.2</v>
      </c>
      <c r="G1485">
        <v>0</v>
      </c>
      <c r="H1485" t="s">
        <v>84</v>
      </c>
      <c r="I1485" t="s">
        <v>153</v>
      </c>
      <c r="J1485">
        <v>0</v>
      </c>
      <c r="K1485">
        <v>0</v>
      </c>
      <c r="L1485" t="s">
        <v>1263</v>
      </c>
      <c r="M1485">
        <v>14.4</v>
      </c>
      <c r="N1485" t="s">
        <v>3770</v>
      </c>
      <c r="O1485" t="s">
        <v>3764</v>
      </c>
    </row>
    <row r="1486" spans="1:15" x14ac:dyDescent="0.2">
      <c r="A1486">
        <v>99</v>
      </c>
      <c r="B1486" t="s">
        <v>2117</v>
      </c>
      <c r="C1486" t="s">
        <v>862</v>
      </c>
      <c r="D1486" t="s">
        <v>66</v>
      </c>
      <c r="E1486" t="s">
        <v>617</v>
      </c>
      <c r="F1486">
        <v>0</v>
      </c>
      <c r="G1486">
        <v>5.45</v>
      </c>
      <c r="H1486" t="s">
        <v>764</v>
      </c>
      <c r="I1486" t="s">
        <v>153</v>
      </c>
      <c r="J1486">
        <v>0</v>
      </c>
      <c r="K1486">
        <v>0</v>
      </c>
      <c r="L1486" t="s">
        <v>1263</v>
      </c>
      <c r="M1486">
        <v>14.4</v>
      </c>
      <c r="N1486" t="s">
        <v>3771</v>
      </c>
      <c r="O1486" t="s">
        <v>3764</v>
      </c>
    </row>
    <row r="1487" spans="1:15" x14ac:dyDescent="0.2">
      <c r="A1487">
        <v>99</v>
      </c>
      <c r="B1487" t="s">
        <v>2117</v>
      </c>
      <c r="C1487" t="s">
        <v>862</v>
      </c>
      <c r="D1487" t="s">
        <v>1006</v>
      </c>
      <c r="E1487" t="s">
        <v>699</v>
      </c>
      <c r="F1487">
        <v>0</v>
      </c>
      <c r="G1487">
        <v>28.988</v>
      </c>
      <c r="H1487" t="s">
        <v>151</v>
      </c>
      <c r="I1487" t="s">
        <v>153</v>
      </c>
      <c r="J1487">
        <v>0</v>
      </c>
      <c r="K1487">
        <v>0</v>
      </c>
      <c r="L1487" t="s">
        <v>1263</v>
      </c>
      <c r="M1487">
        <v>14.4</v>
      </c>
      <c r="N1487" t="s">
        <v>3767</v>
      </c>
      <c r="O1487" t="s">
        <v>3764</v>
      </c>
    </row>
    <row r="1488" spans="1:15" x14ac:dyDescent="0.2">
      <c r="A1488">
        <v>99</v>
      </c>
      <c r="B1488" t="s">
        <v>2117</v>
      </c>
      <c r="C1488" t="s">
        <v>862</v>
      </c>
      <c r="D1488" t="s">
        <v>1846</v>
      </c>
      <c r="E1488" t="s">
        <v>1802</v>
      </c>
      <c r="F1488">
        <v>2.3239999999999998</v>
      </c>
      <c r="G1488">
        <v>0.72</v>
      </c>
      <c r="H1488" t="s">
        <v>1052</v>
      </c>
      <c r="I1488" t="s">
        <v>153</v>
      </c>
      <c r="J1488">
        <v>1.6732800000000001</v>
      </c>
      <c r="K1488">
        <v>24.095231999999999</v>
      </c>
      <c r="L1488" t="s">
        <v>1263</v>
      </c>
      <c r="M1488">
        <v>14.4</v>
      </c>
      <c r="N1488" t="s">
        <v>3766</v>
      </c>
      <c r="O1488" t="s">
        <v>3764</v>
      </c>
    </row>
    <row r="1489" spans="1:15" x14ac:dyDescent="0.2">
      <c r="A1489">
        <v>99</v>
      </c>
      <c r="B1489" t="s">
        <v>2117</v>
      </c>
      <c r="C1489" t="s">
        <v>862</v>
      </c>
      <c r="D1489" t="s">
        <v>547</v>
      </c>
      <c r="E1489" t="s">
        <v>2320</v>
      </c>
      <c r="F1489">
        <v>0</v>
      </c>
      <c r="G1489">
        <v>13.51</v>
      </c>
      <c r="H1489" t="s">
        <v>151</v>
      </c>
      <c r="I1489" t="s">
        <v>153</v>
      </c>
      <c r="J1489">
        <v>0</v>
      </c>
      <c r="K1489">
        <v>0</v>
      </c>
      <c r="L1489" t="s">
        <v>1263</v>
      </c>
      <c r="M1489">
        <v>14.4</v>
      </c>
      <c r="N1489" t="s">
        <v>3769</v>
      </c>
      <c r="O1489" t="s">
        <v>3764</v>
      </c>
    </row>
    <row r="1490" spans="1:15" x14ac:dyDescent="0.2">
      <c r="A1490">
        <v>99</v>
      </c>
      <c r="B1490" t="s">
        <v>2117</v>
      </c>
      <c r="C1490" t="s">
        <v>5084</v>
      </c>
      <c r="D1490" t="s">
        <v>1030</v>
      </c>
      <c r="E1490" t="s">
        <v>1564</v>
      </c>
      <c r="F1490">
        <v>1.1499999999999999</v>
      </c>
      <c r="G1490">
        <v>129</v>
      </c>
      <c r="H1490" t="s">
        <v>1152</v>
      </c>
      <c r="I1490" t="s">
        <v>1152</v>
      </c>
      <c r="J1490">
        <v>148.35</v>
      </c>
      <c r="K1490">
        <v>1343196.504</v>
      </c>
      <c r="L1490" t="s">
        <v>5085</v>
      </c>
      <c r="M1490">
        <v>9054.24</v>
      </c>
      <c r="N1490" t="s">
        <v>5086</v>
      </c>
      <c r="O1490" t="s">
        <v>5087</v>
      </c>
    </row>
    <row r="1491" spans="1:15" x14ac:dyDescent="0.2">
      <c r="A1491">
        <v>99</v>
      </c>
      <c r="B1491" t="s">
        <v>2117</v>
      </c>
      <c r="C1491" t="s">
        <v>5084</v>
      </c>
      <c r="D1491" t="s">
        <v>939</v>
      </c>
      <c r="E1491" t="s">
        <v>640</v>
      </c>
      <c r="F1491">
        <v>0</v>
      </c>
      <c r="G1491">
        <v>21.15</v>
      </c>
      <c r="H1491" t="s">
        <v>151</v>
      </c>
      <c r="I1491" t="s">
        <v>1152</v>
      </c>
      <c r="J1491">
        <v>0</v>
      </c>
      <c r="K1491">
        <v>0</v>
      </c>
      <c r="L1491" t="s">
        <v>5085</v>
      </c>
      <c r="M1491">
        <v>9054.24</v>
      </c>
      <c r="N1491" t="s">
        <v>5088</v>
      </c>
      <c r="O1491" t="s">
        <v>5087</v>
      </c>
    </row>
    <row r="1492" spans="1:15" x14ac:dyDescent="0.2">
      <c r="A1492">
        <v>99</v>
      </c>
      <c r="B1492" t="s">
        <v>2117</v>
      </c>
      <c r="C1492" t="s">
        <v>5084</v>
      </c>
      <c r="D1492" t="s">
        <v>498</v>
      </c>
      <c r="E1492" t="s">
        <v>773</v>
      </c>
      <c r="F1492">
        <v>1.2</v>
      </c>
      <c r="G1492">
        <v>0</v>
      </c>
      <c r="H1492" t="s">
        <v>84</v>
      </c>
      <c r="I1492" t="s">
        <v>1152</v>
      </c>
      <c r="J1492">
        <v>0</v>
      </c>
      <c r="K1492">
        <v>0</v>
      </c>
      <c r="L1492" t="s">
        <v>5085</v>
      </c>
      <c r="M1492">
        <v>9054.24</v>
      </c>
      <c r="N1492" t="s">
        <v>5089</v>
      </c>
      <c r="O1492" t="s">
        <v>5087</v>
      </c>
    </row>
    <row r="1493" spans="1:15" x14ac:dyDescent="0.2">
      <c r="A1493">
        <v>99</v>
      </c>
      <c r="B1493" t="s">
        <v>2117</v>
      </c>
      <c r="C1493" t="s">
        <v>5084</v>
      </c>
      <c r="D1493" t="s">
        <v>706</v>
      </c>
      <c r="E1493" t="s">
        <v>130</v>
      </c>
      <c r="F1493">
        <v>0.14000000000000001</v>
      </c>
      <c r="G1493">
        <v>8</v>
      </c>
      <c r="H1493" t="s">
        <v>1052</v>
      </c>
      <c r="I1493" t="s">
        <v>1152</v>
      </c>
      <c r="J1493">
        <v>1.1200000000000001</v>
      </c>
      <c r="K1493">
        <v>10140.748799999999</v>
      </c>
      <c r="L1493" t="s">
        <v>5085</v>
      </c>
      <c r="M1493">
        <v>9054.24</v>
      </c>
      <c r="N1493" t="s">
        <v>5090</v>
      </c>
      <c r="O1493" t="s">
        <v>5087</v>
      </c>
    </row>
    <row r="1494" spans="1:15" x14ac:dyDescent="0.2">
      <c r="A1494">
        <v>99</v>
      </c>
      <c r="B1494" t="s">
        <v>2117</v>
      </c>
      <c r="C1494" t="s">
        <v>5084</v>
      </c>
      <c r="D1494" t="s">
        <v>853</v>
      </c>
      <c r="E1494" t="s">
        <v>980</v>
      </c>
      <c r="F1494">
        <v>9.1300000000000008</v>
      </c>
      <c r="G1494">
        <v>0.9</v>
      </c>
      <c r="H1494" t="s">
        <v>1052</v>
      </c>
      <c r="I1494" t="s">
        <v>1152</v>
      </c>
      <c r="J1494">
        <v>8.2170000000000005</v>
      </c>
      <c r="K1494">
        <v>74398.69008</v>
      </c>
      <c r="L1494" t="s">
        <v>5085</v>
      </c>
      <c r="M1494">
        <v>9054.24</v>
      </c>
      <c r="N1494" t="s">
        <v>5091</v>
      </c>
      <c r="O1494" t="s">
        <v>5087</v>
      </c>
    </row>
    <row r="1495" spans="1:15" x14ac:dyDescent="0.2">
      <c r="A1495">
        <v>99</v>
      </c>
      <c r="B1495" t="s">
        <v>2117</v>
      </c>
      <c r="C1495" t="s">
        <v>5084</v>
      </c>
      <c r="D1495" t="s">
        <v>898</v>
      </c>
      <c r="E1495" t="s">
        <v>3450</v>
      </c>
      <c r="F1495">
        <v>1</v>
      </c>
      <c r="G1495">
        <v>90</v>
      </c>
      <c r="H1495" t="s">
        <v>1152</v>
      </c>
      <c r="I1495" t="s">
        <v>1152</v>
      </c>
      <c r="J1495">
        <v>90</v>
      </c>
      <c r="K1495">
        <v>814881.6</v>
      </c>
      <c r="L1495" t="s">
        <v>5085</v>
      </c>
      <c r="M1495">
        <v>9054.24</v>
      </c>
      <c r="N1495" t="s">
        <v>5092</v>
      </c>
      <c r="O1495" t="s">
        <v>5087</v>
      </c>
    </row>
    <row r="1496" spans="1:15" x14ac:dyDescent="0.2">
      <c r="A1496">
        <v>99</v>
      </c>
      <c r="B1496" t="s">
        <v>2117</v>
      </c>
      <c r="C1496" t="s">
        <v>5084</v>
      </c>
      <c r="D1496" t="s">
        <v>801</v>
      </c>
      <c r="E1496" t="s">
        <v>402</v>
      </c>
      <c r="F1496">
        <v>0</v>
      </c>
      <c r="G1496">
        <v>10.3</v>
      </c>
      <c r="H1496" t="s">
        <v>151</v>
      </c>
      <c r="I1496" t="s">
        <v>1152</v>
      </c>
      <c r="J1496">
        <v>0</v>
      </c>
      <c r="K1496">
        <v>0</v>
      </c>
      <c r="L1496" t="s">
        <v>5085</v>
      </c>
      <c r="M1496">
        <v>9054.24</v>
      </c>
      <c r="N1496" t="s">
        <v>5093</v>
      </c>
      <c r="O1496" t="s">
        <v>5087</v>
      </c>
    </row>
    <row r="1497" spans="1:15" x14ac:dyDescent="0.2">
      <c r="A1497">
        <v>99</v>
      </c>
      <c r="B1497" t="s">
        <v>2117</v>
      </c>
      <c r="C1497" t="s">
        <v>5084</v>
      </c>
      <c r="D1497" t="s">
        <v>863</v>
      </c>
      <c r="E1497" t="s">
        <v>1369</v>
      </c>
      <c r="F1497">
        <v>1.1499999999999999</v>
      </c>
      <c r="G1497">
        <v>25</v>
      </c>
      <c r="H1497" t="s">
        <v>1819</v>
      </c>
      <c r="I1497" t="s">
        <v>1152</v>
      </c>
      <c r="J1497">
        <v>28.75</v>
      </c>
      <c r="K1497">
        <v>260309.4</v>
      </c>
      <c r="L1497" t="s">
        <v>5085</v>
      </c>
      <c r="M1497">
        <v>9054.24</v>
      </c>
      <c r="N1497" t="s">
        <v>5094</v>
      </c>
      <c r="O1497" t="s">
        <v>5087</v>
      </c>
    </row>
    <row r="1498" spans="1:15" x14ac:dyDescent="0.2">
      <c r="A1498">
        <v>99</v>
      </c>
      <c r="B1498" t="s">
        <v>2117</v>
      </c>
      <c r="C1498" t="s">
        <v>551</v>
      </c>
      <c r="D1498" t="s">
        <v>842</v>
      </c>
      <c r="E1498" t="s">
        <v>3477</v>
      </c>
      <c r="F1498">
        <v>1</v>
      </c>
      <c r="G1498">
        <v>450</v>
      </c>
      <c r="H1498" t="s">
        <v>1152</v>
      </c>
      <c r="I1498" t="s">
        <v>1152</v>
      </c>
      <c r="J1498">
        <v>450</v>
      </c>
      <c r="K1498">
        <v>9094.5</v>
      </c>
      <c r="L1498" t="s">
        <v>811</v>
      </c>
      <c r="M1498">
        <v>20.21</v>
      </c>
      <c r="N1498" t="s">
        <v>3783</v>
      </c>
      <c r="O1498" t="s">
        <v>3774</v>
      </c>
    </row>
    <row r="1499" spans="1:15" x14ac:dyDescent="0.2">
      <c r="A1499">
        <v>99</v>
      </c>
      <c r="B1499" t="s">
        <v>2117</v>
      </c>
      <c r="C1499" t="s">
        <v>551</v>
      </c>
      <c r="D1499" t="s">
        <v>801</v>
      </c>
      <c r="E1499" t="s">
        <v>402</v>
      </c>
      <c r="F1499">
        <v>0</v>
      </c>
      <c r="G1499">
        <v>10.3</v>
      </c>
      <c r="H1499" t="s">
        <v>151</v>
      </c>
      <c r="I1499" t="s">
        <v>1152</v>
      </c>
      <c r="J1499">
        <v>0</v>
      </c>
      <c r="K1499">
        <v>0</v>
      </c>
      <c r="L1499" t="s">
        <v>811</v>
      </c>
      <c r="M1499">
        <v>20.21</v>
      </c>
      <c r="N1499" t="s">
        <v>3781</v>
      </c>
      <c r="O1499" t="s">
        <v>3774</v>
      </c>
    </row>
    <row r="1500" spans="1:15" x14ac:dyDescent="0.2">
      <c r="A1500">
        <v>99</v>
      </c>
      <c r="B1500" t="s">
        <v>2117</v>
      </c>
      <c r="C1500" t="s">
        <v>551</v>
      </c>
      <c r="D1500" t="s">
        <v>877</v>
      </c>
      <c r="E1500" t="s">
        <v>2332</v>
      </c>
      <c r="F1500">
        <v>6</v>
      </c>
      <c r="G1500">
        <v>0.55000000000000004</v>
      </c>
      <c r="H1500" t="s">
        <v>1781</v>
      </c>
      <c r="I1500" t="s">
        <v>1152</v>
      </c>
      <c r="J1500">
        <v>3.3</v>
      </c>
      <c r="K1500">
        <v>66.692999999999998</v>
      </c>
      <c r="L1500" t="s">
        <v>811</v>
      </c>
      <c r="M1500">
        <v>20.21</v>
      </c>
      <c r="N1500" t="s">
        <v>3777</v>
      </c>
      <c r="O1500" t="s">
        <v>3774</v>
      </c>
    </row>
    <row r="1501" spans="1:15" x14ac:dyDescent="0.2">
      <c r="A1501">
        <v>99</v>
      </c>
      <c r="B1501" t="s">
        <v>2117</v>
      </c>
      <c r="C1501" t="s">
        <v>551</v>
      </c>
      <c r="D1501" t="s">
        <v>824</v>
      </c>
      <c r="E1501" t="s">
        <v>3418</v>
      </c>
      <c r="F1501">
        <v>1.05</v>
      </c>
      <c r="G1501">
        <v>25</v>
      </c>
      <c r="H1501" t="s">
        <v>1152</v>
      </c>
      <c r="I1501" t="s">
        <v>1152</v>
      </c>
      <c r="J1501">
        <v>26.25</v>
      </c>
      <c r="K1501">
        <v>530.51250000000005</v>
      </c>
      <c r="L1501" t="s">
        <v>811</v>
      </c>
      <c r="M1501">
        <v>20.21</v>
      </c>
      <c r="N1501" t="s">
        <v>3782</v>
      </c>
      <c r="O1501" t="s">
        <v>3774</v>
      </c>
    </row>
    <row r="1502" spans="1:15" x14ac:dyDescent="0.2">
      <c r="A1502">
        <v>99</v>
      </c>
      <c r="B1502" t="s">
        <v>2117</v>
      </c>
      <c r="C1502" t="s">
        <v>551</v>
      </c>
      <c r="D1502" t="s">
        <v>498</v>
      </c>
      <c r="E1502" t="s">
        <v>773</v>
      </c>
      <c r="F1502">
        <v>1.2</v>
      </c>
      <c r="G1502">
        <v>0</v>
      </c>
      <c r="H1502" t="s">
        <v>84</v>
      </c>
      <c r="I1502" t="s">
        <v>1152</v>
      </c>
      <c r="J1502">
        <v>0</v>
      </c>
      <c r="K1502">
        <v>0</v>
      </c>
      <c r="L1502" t="s">
        <v>811</v>
      </c>
      <c r="M1502">
        <v>20.21</v>
      </c>
      <c r="N1502" t="s">
        <v>3784</v>
      </c>
      <c r="O1502" t="s">
        <v>3774</v>
      </c>
    </row>
    <row r="1503" spans="1:15" x14ac:dyDescent="0.2">
      <c r="A1503">
        <v>99</v>
      </c>
      <c r="B1503" t="s">
        <v>2117</v>
      </c>
      <c r="C1503" t="s">
        <v>551</v>
      </c>
      <c r="D1503" t="s">
        <v>1006</v>
      </c>
      <c r="E1503" t="s">
        <v>699</v>
      </c>
      <c r="F1503">
        <v>0</v>
      </c>
      <c r="G1503">
        <v>28.988</v>
      </c>
      <c r="H1503" t="s">
        <v>151</v>
      </c>
      <c r="I1503" t="s">
        <v>1152</v>
      </c>
      <c r="J1503">
        <v>0</v>
      </c>
      <c r="K1503">
        <v>0</v>
      </c>
      <c r="L1503" t="s">
        <v>811</v>
      </c>
      <c r="M1503">
        <v>20.21</v>
      </c>
      <c r="N1503" t="s">
        <v>3780</v>
      </c>
      <c r="O1503" t="s">
        <v>3774</v>
      </c>
    </row>
    <row r="1504" spans="1:15" x14ac:dyDescent="0.2">
      <c r="A1504">
        <v>99</v>
      </c>
      <c r="B1504" t="s">
        <v>2117</v>
      </c>
      <c r="C1504" t="s">
        <v>551</v>
      </c>
      <c r="D1504" t="s">
        <v>708</v>
      </c>
      <c r="E1504" t="s">
        <v>865</v>
      </c>
      <c r="F1504">
        <v>2.3400000000000001E-2</v>
      </c>
      <c r="G1504">
        <v>13.32</v>
      </c>
      <c r="H1504" t="s">
        <v>1052</v>
      </c>
      <c r="I1504" t="s">
        <v>1152</v>
      </c>
      <c r="J1504">
        <v>0.31168800000000002</v>
      </c>
      <c r="K1504">
        <v>6.2992140000000001</v>
      </c>
      <c r="L1504" t="s">
        <v>811</v>
      </c>
      <c r="M1504">
        <v>20.21</v>
      </c>
      <c r="N1504" t="s">
        <v>3773</v>
      </c>
      <c r="O1504" t="s">
        <v>3774</v>
      </c>
    </row>
    <row r="1505" spans="1:15" x14ac:dyDescent="0.2">
      <c r="A1505">
        <v>99</v>
      </c>
      <c r="B1505" t="s">
        <v>2117</v>
      </c>
      <c r="C1505" t="s">
        <v>551</v>
      </c>
      <c r="D1505" t="s">
        <v>637</v>
      </c>
      <c r="E1505" t="s">
        <v>1256</v>
      </c>
      <c r="F1505">
        <v>0.58089999999999997</v>
      </c>
      <c r="G1505">
        <v>35</v>
      </c>
      <c r="H1505" t="s">
        <v>1052</v>
      </c>
      <c r="I1505" t="s">
        <v>1152</v>
      </c>
      <c r="J1505">
        <v>20.331499999999998</v>
      </c>
      <c r="K1505">
        <v>410.89961499999998</v>
      </c>
      <c r="L1505" t="s">
        <v>811</v>
      </c>
      <c r="M1505">
        <v>20.21</v>
      </c>
      <c r="N1505" t="s">
        <v>3778</v>
      </c>
      <c r="O1505" t="s">
        <v>3774</v>
      </c>
    </row>
    <row r="1506" spans="1:15" x14ac:dyDescent="0.2">
      <c r="A1506">
        <v>99</v>
      </c>
      <c r="B1506" t="s">
        <v>2117</v>
      </c>
      <c r="C1506" t="s">
        <v>551</v>
      </c>
      <c r="D1506" t="s">
        <v>518</v>
      </c>
      <c r="E1506" t="s">
        <v>3457</v>
      </c>
      <c r="F1506">
        <v>2</v>
      </c>
      <c r="G1506">
        <v>16.86</v>
      </c>
      <c r="H1506" t="s">
        <v>1781</v>
      </c>
      <c r="I1506" t="s">
        <v>1152</v>
      </c>
      <c r="J1506">
        <v>33.72</v>
      </c>
      <c r="K1506">
        <v>681.48119999999994</v>
      </c>
      <c r="L1506" t="s">
        <v>811</v>
      </c>
      <c r="M1506">
        <v>20.21</v>
      </c>
      <c r="N1506" t="s">
        <v>3779</v>
      </c>
      <c r="O1506" t="s">
        <v>3774</v>
      </c>
    </row>
    <row r="1507" spans="1:15" x14ac:dyDescent="0.2">
      <c r="A1507">
        <v>99</v>
      </c>
      <c r="B1507" t="s">
        <v>2117</v>
      </c>
      <c r="C1507" t="s">
        <v>551</v>
      </c>
      <c r="D1507" t="s">
        <v>946</v>
      </c>
      <c r="E1507" t="s">
        <v>1695</v>
      </c>
      <c r="F1507">
        <v>1.05</v>
      </c>
      <c r="G1507">
        <v>40</v>
      </c>
      <c r="H1507" t="s">
        <v>1819</v>
      </c>
      <c r="I1507" t="s">
        <v>1152</v>
      </c>
      <c r="J1507">
        <v>42</v>
      </c>
      <c r="K1507">
        <v>848.82</v>
      </c>
      <c r="L1507" t="s">
        <v>811</v>
      </c>
      <c r="M1507">
        <v>20.21</v>
      </c>
      <c r="N1507" t="s">
        <v>3785</v>
      </c>
      <c r="O1507" t="s">
        <v>3774</v>
      </c>
    </row>
    <row r="1508" spans="1:15" x14ac:dyDescent="0.2">
      <c r="A1508">
        <v>99</v>
      </c>
      <c r="B1508" t="s">
        <v>2117</v>
      </c>
      <c r="C1508" t="s">
        <v>551</v>
      </c>
      <c r="D1508" t="s">
        <v>493</v>
      </c>
      <c r="E1508" t="s">
        <v>3775</v>
      </c>
      <c r="F1508">
        <v>1.05</v>
      </c>
      <c r="G1508">
        <v>545</v>
      </c>
      <c r="H1508" t="s">
        <v>1152</v>
      </c>
      <c r="I1508" t="s">
        <v>1152</v>
      </c>
      <c r="J1508">
        <v>572.25</v>
      </c>
      <c r="K1508">
        <v>11565.172500000001</v>
      </c>
      <c r="L1508" t="s">
        <v>811</v>
      </c>
      <c r="M1508">
        <v>20.21</v>
      </c>
      <c r="N1508" t="s">
        <v>3776</v>
      </c>
      <c r="O1508" t="s">
        <v>3774</v>
      </c>
    </row>
    <row r="1509" spans="1:15" x14ac:dyDescent="0.2">
      <c r="A1509">
        <v>99</v>
      </c>
      <c r="B1509" t="s">
        <v>2117</v>
      </c>
      <c r="C1509" t="s">
        <v>5095</v>
      </c>
      <c r="D1509" t="s">
        <v>946</v>
      </c>
      <c r="E1509" t="s">
        <v>1695</v>
      </c>
      <c r="F1509">
        <v>1.05</v>
      </c>
      <c r="G1509">
        <v>40</v>
      </c>
      <c r="H1509" t="s">
        <v>1819</v>
      </c>
      <c r="I1509" t="s">
        <v>1152</v>
      </c>
      <c r="J1509">
        <v>42</v>
      </c>
      <c r="K1509">
        <v>454.86</v>
      </c>
      <c r="L1509" t="s">
        <v>822</v>
      </c>
      <c r="M1509">
        <v>10.83</v>
      </c>
      <c r="N1509" t="s">
        <v>5096</v>
      </c>
      <c r="O1509" t="s">
        <v>5097</v>
      </c>
    </row>
    <row r="1510" spans="1:15" x14ac:dyDescent="0.2">
      <c r="A1510">
        <v>99</v>
      </c>
      <c r="B1510" t="s">
        <v>2117</v>
      </c>
      <c r="C1510" t="s">
        <v>5095</v>
      </c>
      <c r="D1510" t="s">
        <v>518</v>
      </c>
      <c r="E1510" t="s">
        <v>3457</v>
      </c>
      <c r="F1510">
        <v>13</v>
      </c>
      <c r="G1510">
        <v>16.86</v>
      </c>
      <c r="H1510" t="s">
        <v>1781</v>
      </c>
      <c r="I1510" t="s">
        <v>1152</v>
      </c>
      <c r="J1510">
        <v>219.18</v>
      </c>
      <c r="K1510">
        <v>2373.7194</v>
      </c>
      <c r="L1510" t="s">
        <v>822</v>
      </c>
      <c r="M1510">
        <v>10.83</v>
      </c>
      <c r="N1510" t="s">
        <v>5098</v>
      </c>
      <c r="O1510" t="s">
        <v>5097</v>
      </c>
    </row>
    <row r="1511" spans="1:15" x14ac:dyDescent="0.2">
      <c r="A1511">
        <v>99</v>
      </c>
      <c r="B1511" t="s">
        <v>2117</v>
      </c>
      <c r="C1511" t="s">
        <v>5095</v>
      </c>
      <c r="D1511" t="s">
        <v>5099</v>
      </c>
      <c r="E1511" t="s">
        <v>5100</v>
      </c>
      <c r="F1511">
        <v>1.05</v>
      </c>
      <c r="G1511">
        <v>545</v>
      </c>
      <c r="H1511" t="s">
        <v>1152</v>
      </c>
      <c r="I1511" t="s">
        <v>1152</v>
      </c>
      <c r="J1511">
        <v>572.25</v>
      </c>
      <c r="K1511">
        <v>6197.4674999999997</v>
      </c>
      <c r="L1511" t="s">
        <v>822</v>
      </c>
      <c r="M1511">
        <v>10.83</v>
      </c>
      <c r="N1511" t="s">
        <v>5101</v>
      </c>
      <c r="O1511" t="s">
        <v>5097</v>
      </c>
    </row>
    <row r="1512" spans="1:15" x14ac:dyDescent="0.2">
      <c r="A1512">
        <v>99</v>
      </c>
      <c r="B1512" t="s">
        <v>2117</v>
      </c>
      <c r="C1512" t="s">
        <v>5095</v>
      </c>
      <c r="D1512" t="s">
        <v>637</v>
      </c>
      <c r="E1512" t="s">
        <v>1256</v>
      </c>
      <c r="F1512">
        <v>1.2813000000000001</v>
      </c>
      <c r="G1512">
        <v>35</v>
      </c>
      <c r="H1512" t="s">
        <v>1052</v>
      </c>
      <c r="I1512" t="s">
        <v>1152</v>
      </c>
      <c r="J1512">
        <v>44.845500000000001</v>
      </c>
      <c r="K1512">
        <v>485.67676499999999</v>
      </c>
      <c r="L1512" t="s">
        <v>822</v>
      </c>
      <c r="M1512">
        <v>10.83</v>
      </c>
      <c r="N1512" t="s">
        <v>5102</v>
      </c>
      <c r="O1512" t="s">
        <v>5097</v>
      </c>
    </row>
    <row r="1513" spans="1:15" x14ac:dyDescent="0.2">
      <c r="A1513">
        <v>99</v>
      </c>
      <c r="B1513" t="s">
        <v>2117</v>
      </c>
      <c r="C1513" t="s">
        <v>5095</v>
      </c>
      <c r="D1513" t="s">
        <v>708</v>
      </c>
      <c r="E1513" t="s">
        <v>865</v>
      </c>
      <c r="F1513">
        <v>5.1299999999999998E-2</v>
      </c>
      <c r="G1513">
        <v>13.32</v>
      </c>
      <c r="H1513" t="s">
        <v>1052</v>
      </c>
      <c r="I1513" t="s">
        <v>1152</v>
      </c>
      <c r="J1513">
        <v>0.68331600000000003</v>
      </c>
      <c r="K1513">
        <v>7.4003119999999996</v>
      </c>
      <c r="L1513" t="s">
        <v>822</v>
      </c>
      <c r="M1513">
        <v>10.83</v>
      </c>
      <c r="N1513" t="s">
        <v>5103</v>
      </c>
      <c r="O1513" t="s">
        <v>5097</v>
      </c>
    </row>
    <row r="1514" spans="1:15" x14ac:dyDescent="0.2">
      <c r="A1514">
        <v>99</v>
      </c>
      <c r="B1514" t="s">
        <v>2117</v>
      </c>
      <c r="C1514" t="s">
        <v>5095</v>
      </c>
      <c r="D1514" t="s">
        <v>1006</v>
      </c>
      <c r="E1514" t="s">
        <v>699</v>
      </c>
      <c r="F1514">
        <v>0</v>
      </c>
      <c r="G1514">
        <v>28.988</v>
      </c>
      <c r="H1514" t="s">
        <v>151</v>
      </c>
      <c r="I1514" t="s">
        <v>1152</v>
      </c>
      <c r="J1514">
        <v>0</v>
      </c>
      <c r="K1514">
        <v>0</v>
      </c>
      <c r="L1514" t="s">
        <v>822</v>
      </c>
      <c r="M1514">
        <v>10.83</v>
      </c>
      <c r="N1514" t="s">
        <v>5104</v>
      </c>
      <c r="O1514" t="s">
        <v>5097</v>
      </c>
    </row>
    <row r="1515" spans="1:15" x14ac:dyDescent="0.2">
      <c r="A1515">
        <v>99</v>
      </c>
      <c r="B1515" t="s">
        <v>2117</v>
      </c>
      <c r="C1515" t="s">
        <v>5095</v>
      </c>
      <c r="D1515" t="s">
        <v>498</v>
      </c>
      <c r="E1515" t="s">
        <v>773</v>
      </c>
      <c r="F1515">
        <v>1.2</v>
      </c>
      <c r="G1515">
        <v>0</v>
      </c>
      <c r="H1515" t="s">
        <v>84</v>
      </c>
      <c r="I1515" t="s">
        <v>1152</v>
      </c>
      <c r="J1515">
        <v>0</v>
      </c>
      <c r="K1515">
        <v>0</v>
      </c>
      <c r="L1515" t="s">
        <v>822</v>
      </c>
      <c r="M1515">
        <v>10.83</v>
      </c>
      <c r="N1515" t="s">
        <v>5105</v>
      </c>
      <c r="O1515" t="s">
        <v>5097</v>
      </c>
    </row>
    <row r="1516" spans="1:15" x14ac:dyDescent="0.2">
      <c r="A1516">
        <v>99</v>
      </c>
      <c r="B1516" t="s">
        <v>2117</v>
      </c>
      <c r="C1516" t="s">
        <v>5095</v>
      </c>
      <c r="D1516" t="s">
        <v>824</v>
      </c>
      <c r="E1516" t="s">
        <v>3418</v>
      </c>
      <c r="F1516">
        <v>1.05</v>
      </c>
      <c r="G1516">
        <v>25</v>
      </c>
      <c r="H1516" t="s">
        <v>1152</v>
      </c>
      <c r="I1516" t="s">
        <v>1152</v>
      </c>
      <c r="J1516">
        <v>26.25</v>
      </c>
      <c r="K1516">
        <v>284.28750000000002</v>
      </c>
      <c r="L1516" t="s">
        <v>822</v>
      </c>
      <c r="M1516">
        <v>10.83</v>
      </c>
      <c r="N1516" t="s">
        <v>5106</v>
      </c>
      <c r="O1516" t="s">
        <v>5097</v>
      </c>
    </row>
    <row r="1517" spans="1:15" x14ac:dyDescent="0.2">
      <c r="A1517">
        <v>99</v>
      </c>
      <c r="B1517" t="s">
        <v>2117</v>
      </c>
      <c r="C1517" t="s">
        <v>5095</v>
      </c>
      <c r="D1517" t="s">
        <v>877</v>
      </c>
      <c r="E1517" t="s">
        <v>2332</v>
      </c>
      <c r="F1517">
        <v>20</v>
      </c>
      <c r="G1517">
        <v>0.55000000000000004</v>
      </c>
      <c r="H1517" t="s">
        <v>1781</v>
      </c>
      <c r="I1517" t="s">
        <v>1152</v>
      </c>
      <c r="J1517">
        <v>11</v>
      </c>
      <c r="K1517">
        <v>119.13</v>
      </c>
      <c r="L1517" t="s">
        <v>822</v>
      </c>
      <c r="M1517">
        <v>10.83</v>
      </c>
      <c r="N1517" t="s">
        <v>5107</v>
      </c>
      <c r="O1517" t="s">
        <v>5097</v>
      </c>
    </row>
    <row r="1518" spans="1:15" x14ac:dyDescent="0.2">
      <c r="A1518">
        <v>99</v>
      </c>
      <c r="B1518" t="s">
        <v>2117</v>
      </c>
      <c r="C1518" t="s">
        <v>5095</v>
      </c>
      <c r="D1518" t="s">
        <v>801</v>
      </c>
      <c r="E1518" t="s">
        <v>402</v>
      </c>
      <c r="F1518">
        <v>0</v>
      </c>
      <c r="G1518">
        <v>10.3</v>
      </c>
      <c r="H1518" t="s">
        <v>151</v>
      </c>
      <c r="I1518" t="s">
        <v>1152</v>
      </c>
      <c r="J1518">
        <v>0</v>
      </c>
      <c r="K1518">
        <v>0</v>
      </c>
      <c r="L1518" t="s">
        <v>822</v>
      </c>
      <c r="M1518">
        <v>10.83</v>
      </c>
      <c r="N1518" t="s">
        <v>5108</v>
      </c>
      <c r="O1518" t="s">
        <v>5097</v>
      </c>
    </row>
    <row r="1519" spans="1:15" x14ac:dyDescent="0.2">
      <c r="A1519">
        <v>99</v>
      </c>
      <c r="B1519" t="s">
        <v>2117</v>
      </c>
      <c r="C1519" t="s">
        <v>5095</v>
      </c>
      <c r="D1519" t="s">
        <v>1039</v>
      </c>
      <c r="E1519" t="s">
        <v>3462</v>
      </c>
      <c r="F1519">
        <v>1</v>
      </c>
      <c r="G1519">
        <v>400</v>
      </c>
      <c r="H1519" t="s">
        <v>1152</v>
      </c>
      <c r="I1519" t="s">
        <v>1152</v>
      </c>
      <c r="J1519">
        <v>400</v>
      </c>
      <c r="K1519">
        <v>4332</v>
      </c>
      <c r="L1519" t="s">
        <v>822</v>
      </c>
      <c r="M1519">
        <v>10.83</v>
      </c>
      <c r="N1519" t="s">
        <v>5109</v>
      </c>
      <c r="O1519" t="s">
        <v>5097</v>
      </c>
    </row>
    <row r="1520" spans="1:15" x14ac:dyDescent="0.2">
      <c r="A1520">
        <v>99</v>
      </c>
      <c r="B1520" t="s">
        <v>2117</v>
      </c>
      <c r="C1520" t="s">
        <v>614</v>
      </c>
      <c r="D1520" t="s">
        <v>842</v>
      </c>
      <c r="E1520" t="s">
        <v>3477</v>
      </c>
      <c r="F1520">
        <v>1</v>
      </c>
      <c r="G1520">
        <v>450</v>
      </c>
      <c r="H1520" t="s">
        <v>1152</v>
      </c>
      <c r="I1520" t="s">
        <v>1152</v>
      </c>
      <c r="J1520">
        <v>450</v>
      </c>
      <c r="K1520">
        <v>6529.5</v>
      </c>
      <c r="L1520" t="s">
        <v>753</v>
      </c>
      <c r="M1520">
        <v>14.51</v>
      </c>
      <c r="N1520" t="s">
        <v>3796</v>
      </c>
      <c r="O1520" t="s">
        <v>3787</v>
      </c>
    </row>
    <row r="1521" spans="1:15" x14ac:dyDescent="0.2">
      <c r="A1521">
        <v>99</v>
      </c>
      <c r="B1521" t="s">
        <v>2117</v>
      </c>
      <c r="C1521" t="s">
        <v>614</v>
      </c>
      <c r="D1521" t="s">
        <v>801</v>
      </c>
      <c r="E1521" t="s">
        <v>402</v>
      </c>
      <c r="F1521">
        <v>0</v>
      </c>
      <c r="G1521">
        <v>10.3</v>
      </c>
      <c r="H1521" t="s">
        <v>151</v>
      </c>
      <c r="I1521" t="s">
        <v>1152</v>
      </c>
      <c r="J1521">
        <v>0</v>
      </c>
      <c r="K1521">
        <v>0</v>
      </c>
      <c r="L1521" t="s">
        <v>753</v>
      </c>
      <c r="M1521">
        <v>14.51</v>
      </c>
      <c r="N1521" t="s">
        <v>3794</v>
      </c>
      <c r="O1521" t="s">
        <v>3787</v>
      </c>
    </row>
    <row r="1522" spans="1:15" x14ac:dyDescent="0.2">
      <c r="A1522">
        <v>99</v>
      </c>
      <c r="B1522" t="s">
        <v>2117</v>
      </c>
      <c r="C1522" t="s">
        <v>614</v>
      </c>
      <c r="D1522" t="s">
        <v>554</v>
      </c>
      <c r="E1522" t="s">
        <v>3788</v>
      </c>
      <c r="F1522">
        <v>1.05</v>
      </c>
      <c r="G1522">
        <v>1350</v>
      </c>
      <c r="H1522" t="s">
        <v>1152</v>
      </c>
      <c r="I1522" t="s">
        <v>1152</v>
      </c>
      <c r="J1522">
        <v>1417.5</v>
      </c>
      <c r="K1522">
        <v>20567.924999999999</v>
      </c>
      <c r="L1522" t="s">
        <v>753</v>
      </c>
      <c r="M1522">
        <v>14.51</v>
      </c>
      <c r="N1522" t="s">
        <v>3789</v>
      </c>
      <c r="O1522" t="s">
        <v>3787</v>
      </c>
    </row>
    <row r="1523" spans="1:15" x14ac:dyDescent="0.2">
      <c r="A1523">
        <v>99</v>
      </c>
      <c r="B1523" t="s">
        <v>2117</v>
      </c>
      <c r="C1523" t="s">
        <v>614</v>
      </c>
      <c r="D1523" t="s">
        <v>877</v>
      </c>
      <c r="E1523" t="s">
        <v>2332</v>
      </c>
      <c r="F1523">
        <v>6</v>
      </c>
      <c r="G1523">
        <v>0.55000000000000004</v>
      </c>
      <c r="H1523" t="s">
        <v>1781</v>
      </c>
      <c r="I1523" t="s">
        <v>1152</v>
      </c>
      <c r="J1523">
        <v>3.3</v>
      </c>
      <c r="K1523">
        <v>47.883000000000003</v>
      </c>
      <c r="L1523" t="s">
        <v>753</v>
      </c>
      <c r="M1523">
        <v>14.51</v>
      </c>
      <c r="N1523" t="s">
        <v>3790</v>
      </c>
      <c r="O1523" t="s">
        <v>3787</v>
      </c>
    </row>
    <row r="1524" spans="1:15" x14ac:dyDescent="0.2">
      <c r="A1524">
        <v>99</v>
      </c>
      <c r="B1524" t="s">
        <v>2117</v>
      </c>
      <c r="C1524" t="s">
        <v>614</v>
      </c>
      <c r="D1524" t="s">
        <v>824</v>
      </c>
      <c r="E1524" t="s">
        <v>3418</v>
      </c>
      <c r="F1524">
        <v>1.05</v>
      </c>
      <c r="G1524">
        <v>25</v>
      </c>
      <c r="H1524" t="s">
        <v>1152</v>
      </c>
      <c r="I1524" t="s">
        <v>1152</v>
      </c>
      <c r="J1524">
        <v>26.25</v>
      </c>
      <c r="K1524">
        <v>380.88749999999999</v>
      </c>
      <c r="L1524" t="s">
        <v>753</v>
      </c>
      <c r="M1524">
        <v>14.51</v>
      </c>
      <c r="N1524" t="s">
        <v>3795</v>
      </c>
      <c r="O1524" t="s">
        <v>3787</v>
      </c>
    </row>
    <row r="1525" spans="1:15" x14ac:dyDescent="0.2">
      <c r="A1525">
        <v>99</v>
      </c>
      <c r="B1525" t="s">
        <v>2117</v>
      </c>
      <c r="C1525" t="s">
        <v>614</v>
      </c>
      <c r="D1525" t="s">
        <v>498</v>
      </c>
      <c r="E1525" t="s">
        <v>773</v>
      </c>
      <c r="F1525">
        <v>1.2</v>
      </c>
      <c r="G1525">
        <v>0</v>
      </c>
      <c r="H1525" t="s">
        <v>84</v>
      </c>
      <c r="I1525" t="s">
        <v>1152</v>
      </c>
      <c r="J1525">
        <v>0</v>
      </c>
      <c r="K1525">
        <v>0</v>
      </c>
      <c r="L1525" t="s">
        <v>753</v>
      </c>
      <c r="M1525">
        <v>14.51</v>
      </c>
      <c r="N1525" t="s">
        <v>3797</v>
      </c>
      <c r="O1525" t="s">
        <v>3787</v>
      </c>
    </row>
    <row r="1526" spans="1:15" x14ac:dyDescent="0.2">
      <c r="A1526">
        <v>99</v>
      </c>
      <c r="B1526" t="s">
        <v>2117</v>
      </c>
      <c r="C1526" t="s">
        <v>614</v>
      </c>
      <c r="D1526" t="s">
        <v>1006</v>
      </c>
      <c r="E1526" t="s">
        <v>699</v>
      </c>
      <c r="F1526">
        <v>0</v>
      </c>
      <c r="G1526">
        <v>28.988</v>
      </c>
      <c r="H1526" t="s">
        <v>151</v>
      </c>
      <c r="I1526" t="s">
        <v>1152</v>
      </c>
      <c r="J1526">
        <v>0</v>
      </c>
      <c r="K1526">
        <v>0</v>
      </c>
      <c r="L1526" t="s">
        <v>753</v>
      </c>
      <c r="M1526">
        <v>14.51</v>
      </c>
      <c r="N1526" t="s">
        <v>3793</v>
      </c>
      <c r="O1526" t="s">
        <v>3787</v>
      </c>
    </row>
    <row r="1527" spans="1:15" x14ac:dyDescent="0.2">
      <c r="A1527">
        <v>99</v>
      </c>
      <c r="B1527" t="s">
        <v>2117</v>
      </c>
      <c r="C1527" t="s">
        <v>614</v>
      </c>
      <c r="D1527" t="s">
        <v>708</v>
      </c>
      <c r="E1527" t="s">
        <v>865</v>
      </c>
      <c r="F1527">
        <v>2.3400000000000001E-2</v>
      </c>
      <c r="G1527">
        <v>13.32</v>
      </c>
      <c r="H1527" t="s">
        <v>1052</v>
      </c>
      <c r="I1527" t="s">
        <v>1152</v>
      </c>
      <c r="J1527">
        <v>0.31168800000000002</v>
      </c>
      <c r="K1527">
        <v>4.5225929999999996</v>
      </c>
      <c r="L1527" t="s">
        <v>753</v>
      </c>
      <c r="M1527">
        <v>14.51</v>
      </c>
      <c r="N1527" t="s">
        <v>3786</v>
      </c>
      <c r="O1527" t="s">
        <v>3787</v>
      </c>
    </row>
    <row r="1528" spans="1:15" x14ac:dyDescent="0.2">
      <c r="A1528">
        <v>99</v>
      </c>
      <c r="B1528" t="s">
        <v>2117</v>
      </c>
      <c r="C1528" t="s">
        <v>614</v>
      </c>
      <c r="D1528" t="s">
        <v>637</v>
      </c>
      <c r="E1528" t="s">
        <v>1256</v>
      </c>
      <c r="F1528">
        <v>0.58089999999999997</v>
      </c>
      <c r="G1528">
        <v>35</v>
      </c>
      <c r="H1528" t="s">
        <v>1052</v>
      </c>
      <c r="I1528" t="s">
        <v>1152</v>
      </c>
      <c r="J1528">
        <v>20.331499999999998</v>
      </c>
      <c r="K1528">
        <v>295.010065</v>
      </c>
      <c r="L1528" t="s">
        <v>753</v>
      </c>
      <c r="M1528">
        <v>14.51</v>
      </c>
      <c r="N1528" t="s">
        <v>3791</v>
      </c>
      <c r="O1528" t="s">
        <v>3787</v>
      </c>
    </row>
    <row r="1529" spans="1:15" x14ac:dyDescent="0.2">
      <c r="A1529">
        <v>99</v>
      </c>
      <c r="B1529" t="s">
        <v>2117</v>
      </c>
      <c r="C1529" t="s">
        <v>614</v>
      </c>
      <c r="D1529" t="s">
        <v>518</v>
      </c>
      <c r="E1529" t="s">
        <v>3457</v>
      </c>
      <c r="F1529">
        <v>2</v>
      </c>
      <c r="G1529">
        <v>16.86</v>
      </c>
      <c r="H1529" t="s">
        <v>1781</v>
      </c>
      <c r="I1529" t="s">
        <v>1152</v>
      </c>
      <c r="J1529">
        <v>33.72</v>
      </c>
      <c r="K1529">
        <v>489.27719999999999</v>
      </c>
      <c r="L1529" t="s">
        <v>753</v>
      </c>
      <c r="M1529">
        <v>14.51</v>
      </c>
      <c r="N1529" t="s">
        <v>3792</v>
      </c>
      <c r="O1529" t="s">
        <v>3787</v>
      </c>
    </row>
    <row r="1530" spans="1:15" x14ac:dyDescent="0.2">
      <c r="A1530">
        <v>99</v>
      </c>
      <c r="B1530" t="s">
        <v>2117</v>
      </c>
      <c r="C1530" t="s">
        <v>614</v>
      </c>
      <c r="D1530" t="s">
        <v>946</v>
      </c>
      <c r="E1530" t="s">
        <v>1695</v>
      </c>
      <c r="F1530">
        <v>1.05</v>
      </c>
      <c r="G1530">
        <v>40</v>
      </c>
      <c r="H1530" t="s">
        <v>1819</v>
      </c>
      <c r="I1530" t="s">
        <v>1152</v>
      </c>
      <c r="J1530">
        <v>42</v>
      </c>
      <c r="K1530">
        <v>609.41999999999996</v>
      </c>
      <c r="L1530" t="s">
        <v>753</v>
      </c>
      <c r="M1530">
        <v>14.51</v>
      </c>
      <c r="N1530" t="s">
        <v>3798</v>
      </c>
      <c r="O1530" t="s">
        <v>3787</v>
      </c>
    </row>
    <row r="1531" spans="1:15" x14ac:dyDescent="0.2">
      <c r="A1531">
        <v>99</v>
      </c>
      <c r="B1531" t="s">
        <v>2117</v>
      </c>
      <c r="C1531" t="s">
        <v>673</v>
      </c>
      <c r="D1531" t="s">
        <v>946</v>
      </c>
      <c r="E1531" t="s">
        <v>1695</v>
      </c>
      <c r="F1531">
        <v>1.05</v>
      </c>
      <c r="G1531">
        <v>40</v>
      </c>
      <c r="H1531" t="s">
        <v>1819</v>
      </c>
      <c r="I1531" t="s">
        <v>1152</v>
      </c>
      <c r="J1531">
        <v>42</v>
      </c>
      <c r="K1531">
        <v>921.06</v>
      </c>
      <c r="L1531" t="s">
        <v>749</v>
      </c>
      <c r="M1531">
        <v>21.93</v>
      </c>
      <c r="N1531" t="s">
        <v>3811</v>
      </c>
      <c r="O1531" t="s">
        <v>3800</v>
      </c>
    </row>
    <row r="1532" spans="1:15" x14ac:dyDescent="0.2">
      <c r="A1532">
        <v>99</v>
      </c>
      <c r="B1532" t="s">
        <v>2117</v>
      </c>
      <c r="C1532" t="s">
        <v>673</v>
      </c>
      <c r="D1532" t="s">
        <v>518</v>
      </c>
      <c r="E1532" t="s">
        <v>3457</v>
      </c>
      <c r="F1532">
        <v>2</v>
      </c>
      <c r="G1532">
        <v>16.86</v>
      </c>
      <c r="H1532" t="s">
        <v>1781</v>
      </c>
      <c r="I1532" t="s">
        <v>1152</v>
      </c>
      <c r="J1532">
        <v>33.72</v>
      </c>
      <c r="K1532">
        <v>739.4796</v>
      </c>
      <c r="L1532" t="s">
        <v>749</v>
      </c>
      <c r="M1532">
        <v>21.93</v>
      </c>
      <c r="N1532" t="s">
        <v>3805</v>
      </c>
      <c r="O1532" t="s">
        <v>3800</v>
      </c>
    </row>
    <row r="1533" spans="1:15" x14ac:dyDescent="0.2">
      <c r="A1533">
        <v>99</v>
      </c>
      <c r="B1533" t="s">
        <v>2117</v>
      </c>
      <c r="C1533" t="s">
        <v>673</v>
      </c>
      <c r="D1533" t="s">
        <v>557</v>
      </c>
      <c r="E1533" t="s">
        <v>3801</v>
      </c>
      <c r="F1533">
        <v>1.05</v>
      </c>
      <c r="G1533">
        <v>850</v>
      </c>
      <c r="H1533" t="s">
        <v>1152</v>
      </c>
      <c r="I1533" t="s">
        <v>1152</v>
      </c>
      <c r="J1533">
        <v>892.5</v>
      </c>
      <c r="K1533">
        <v>19572.525000000001</v>
      </c>
      <c r="L1533" t="s">
        <v>749</v>
      </c>
      <c r="M1533">
        <v>21.93</v>
      </c>
      <c r="N1533" t="s">
        <v>3802</v>
      </c>
      <c r="O1533" t="s">
        <v>3800</v>
      </c>
    </row>
    <row r="1534" spans="1:15" x14ac:dyDescent="0.2">
      <c r="A1534">
        <v>99</v>
      </c>
      <c r="B1534" t="s">
        <v>2117</v>
      </c>
      <c r="C1534" t="s">
        <v>673</v>
      </c>
      <c r="D1534" t="s">
        <v>637</v>
      </c>
      <c r="E1534" t="s">
        <v>1256</v>
      </c>
      <c r="F1534">
        <v>0.58089999999999997</v>
      </c>
      <c r="G1534">
        <v>35</v>
      </c>
      <c r="H1534" t="s">
        <v>1052</v>
      </c>
      <c r="I1534" t="s">
        <v>1152</v>
      </c>
      <c r="J1534">
        <v>20.331499999999998</v>
      </c>
      <c r="K1534">
        <v>445.86979500000001</v>
      </c>
      <c r="L1534" t="s">
        <v>749</v>
      </c>
      <c r="M1534">
        <v>21.93</v>
      </c>
      <c r="N1534" t="s">
        <v>3804</v>
      </c>
      <c r="O1534" t="s">
        <v>3800</v>
      </c>
    </row>
    <row r="1535" spans="1:15" x14ac:dyDescent="0.2">
      <c r="A1535">
        <v>99</v>
      </c>
      <c r="B1535" t="s">
        <v>2117</v>
      </c>
      <c r="C1535" t="s">
        <v>673</v>
      </c>
      <c r="D1535" t="s">
        <v>708</v>
      </c>
      <c r="E1535" t="s">
        <v>865</v>
      </c>
      <c r="F1535">
        <v>2.3400000000000001E-2</v>
      </c>
      <c r="G1535">
        <v>13.32</v>
      </c>
      <c r="H1535" t="s">
        <v>1052</v>
      </c>
      <c r="I1535" t="s">
        <v>1152</v>
      </c>
      <c r="J1535">
        <v>0.31168800000000002</v>
      </c>
      <c r="K1535">
        <v>6.835318</v>
      </c>
      <c r="L1535" t="s">
        <v>749</v>
      </c>
      <c r="M1535">
        <v>21.93</v>
      </c>
      <c r="N1535" t="s">
        <v>3799</v>
      </c>
      <c r="O1535" t="s">
        <v>3800</v>
      </c>
    </row>
    <row r="1536" spans="1:15" x14ac:dyDescent="0.2">
      <c r="A1536">
        <v>99</v>
      </c>
      <c r="B1536" t="s">
        <v>2117</v>
      </c>
      <c r="C1536" t="s">
        <v>673</v>
      </c>
      <c r="D1536" t="s">
        <v>1006</v>
      </c>
      <c r="E1536" t="s">
        <v>699</v>
      </c>
      <c r="F1536">
        <v>0</v>
      </c>
      <c r="G1536">
        <v>28.988</v>
      </c>
      <c r="H1536" t="s">
        <v>151</v>
      </c>
      <c r="I1536" t="s">
        <v>1152</v>
      </c>
      <c r="J1536">
        <v>0</v>
      </c>
      <c r="K1536">
        <v>0</v>
      </c>
      <c r="L1536" t="s">
        <v>749</v>
      </c>
      <c r="M1536">
        <v>21.93</v>
      </c>
      <c r="N1536" t="s">
        <v>3806</v>
      </c>
      <c r="O1536" t="s">
        <v>3800</v>
      </c>
    </row>
    <row r="1537" spans="1:15" x14ac:dyDescent="0.2">
      <c r="A1537">
        <v>99</v>
      </c>
      <c r="B1537" t="s">
        <v>2117</v>
      </c>
      <c r="C1537" t="s">
        <v>673</v>
      </c>
      <c r="D1537" t="s">
        <v>498</v>
      </c>
      <c r="E1537" t="s">
        <v>773</v>
      </c>
      <c r="F1537">
        <v>1.2</v>
      </c>
      <c r="G1537">
        <v>0</v>
      </c>
      <c r="H1537" t="s">
        <v>84</v>
      </c>
      <c r="I1537" t="s">
        <v>1152</v>
      </c>
      <c r="J1537">
        <v>0</v>
      </c>
      <c r="K1537">
        <v>0</v>
      </c>
      <c r="L1537" t="s">
        <v>749</v>
      </c>
      <c r="M1537">
        <v>21.93</v>
      </c>
      <c r="N1537" t="s">
        <v>3810</v>
      </c>
      <c r="O1537" t="s">
        <v>3800</v>
      </c>
    </row>
    <row r="1538" spans="1:15" x14ac:dyDescent="0.2">
      <c r="A1538">
        <v>99</v>
      </c>
      <c r="B1538" t="s">
        <v>2117</v>
      </c>
      <c r="C1538" t="s">
        <v>673</v>
      </c>
      <c r="D1538" t="s">
        <v>824</v>
      </c>
      <c r="E1538" t="s">
        <v>3418</v>
      </c>
      <c r="F1538">
        <v>1.05</v>
      </c>
      <c r="G1538">
        <v>25</v>
      </c>
      <c r="H1538" t="s">
        <v>1152</v>
      </c>
      <c r="I1538" t="s">
        <v>1152</v>
      </c>
      <c r="J1538">
        <v>26.25</v>
      </c>
      <c r="K1538">
        <v>575.66250000000002</v>
      </c>
      <c r="L1538" t="s">
        <v>749</v>
      </c>
      <c r="M1538">
        <v>21.93</v>
      </c>
      <c r="N1538" t="s">
        <v>3808</v>
      </c>
      <c r="O1538" t="s">
        <v>3800</v>
      </c>
    </row>
    <row r="1539" spans="1:15" x14ac:dyDescent="0.2">
      <c r="A1539">
        <v>99</v>
      </c>
      <c r="B1539" t="s">
        <v>2117</v>
      </c>
      <c r="C1539" t="s">
        <v>673</v>
      </c>
      <c r="D1539" t="s">
        <v>877</v>
      </c>
      <c r="E1539" t="s">
        <v>2332</v>
      </c>
      <c r="F1539">
        <v>6</v>
      </c>
      <c r="G1539">
        <v>0.55000000000000004</v>
      </c>
      <c r="H1539" t="s">
        <v>1781</v>
      </c>
      <c r="I1539" t="s">
        <v>1152</v>
      </c>
      <c r="J1539">
        <v>3.3</v>
      </c>
      <c r="K1539">
        <v>72.369</v>
      </c>
      <c r="L1539" t="s">
        <v>749</v>
      </c>
      <c r="M1539">
        <v>21.93</v>
      </c>
      <c r="N1539" t="s">
        <v>3803</v>
      </c>
      <c r="O1539" t="s">
        <v>3800</v>
      </c>
    </row>
    <row r="1540" spans="1:15" x14ac:dyDescent="0.2">
      <c r="A1540">
        <v>99</v>
      </c>
      <c r="B1540" t="s">
        <v>2117</v>
      </c>
      <c r="C1540" t="s">
        <v>673</v>
      </c>
      <c r="D1540" t="s">
        <v>801</v>
      </c>
      <c r="E1540" t="s">
        <v>402</v>
      </c>
      <c r="F1540">
        <v>0</v>
      </c>
      <c r="G1540">
        <v>10.3</v>
      </c>
      <c r="H1540" t="s">
        <v>151</v>
      </c>
      <c r="I1540" t="s">
        <v>1152</v>
      </c>
      <c r="J1540">
        <v>0</v>
      </c>
      <c r="K1540">
        <v>0</v>
      </c>
      <c r="L1540" t="s">
        <v>749</v>
      </c>
      <c r="M1540">
        <v>21.93</v>
      </c>
      <c r="N1540" t="s">
        <v>3807</v>
      </c>
      <c r="O1540" t="s">
        <v>3800</v>
      </c>
    </row>
    <row r="1541" spans="1:15" x14ac:dyDescent="0.2">
      <c r="A1541">
        <v>99</v>
      </c>
      <c r="B1541" t="s">
        <v>2117</v>
      </c>
      <c r="C1541" t="s">
        <v>673</v>
      </c>
      <c r="D1541" t="s">
        <v>842</v>
      </c>
      <c r="E1541" t="s">
        <v>3477</v>
      </c>
      <c r="F1541">
        <v>1</v>
      </c>
      <c r="G1541">
        <v>450</v>
      </c>
      <c r="H1541" t="s">
        <v>1152</v>
      </c>
      <c r="I1541" t="s">
        <v>1152</v>
      </c>
      <c r="J1541">
        <v>450</v>
      </c>
      <c r="K1541">
        <v>9868.5</v>
      </c>
      <c r="L1541" t="s">
        <v>749</v>
      </c>
      <c r="M1541">
        <v>21.93</v>
      </c>
      <c r="N1541" t="s">
        <v>3809</v>
      </c>
      <c r="O1541" t="s">
        <v>3800</v>
      </c>
    </row>
    <row r="1542" spans="1:15" x14ac:dyDescent="0.2">
      <c r="A1542">
        <v>99</v>
      </c>
      <c r="B1542" t="s">
        <v>2117</v>
      </c>
      <c r="C1542" t="s">
        <v>5110</v>
      </c>
      <c r="D1542" t="s">
        <v>842</v>
      </c>
      <c r="E1542" t="s">
        <v>3477</v>
      </c>
      <c r="F1542">
        <v>1</v>
      </c>
      <c r="G1542">
        <v>450</v>
      </c>
      <c r="H1542" t="s">
        <v>1152</v>
      </c>
      <c r="I1542" t="s">
        <v>1152</v>
      </c>
      <c r="J1542">
        <v>450</v>
      </c>
      <c r="K1542">
        <v>11821.5</v>
      </c>
      <c r="L1542" t="s">
        <v>819</v>
      </c>
      <c r="M1542">
        <v>26.27</v>
      </c>
      <c r="N1542" t="s">
        <v>5111</v>
      </c>
      <c r="O1542" t="s">
        <v>5112</v>
      </c>
    </row>
    <row r="1543" spans="1:15" x14ac:dyDescent="0.2">
      <c r="A1543">
        <v>99</v>
      </c>
      <c r="B1543" t="s">
        <v>2117</v>
      </c>
      <c r="C1543" t="s">
        <v>5110</v>
      </c>
      <c r="D1543" t="s">
        <v>801</v>
      </c>
      <c r="E1543" t="s">
        <v>402</v>
      </c>
      <c r="F1543">
        <v>0</v>
      </c>
      <c r="G1543">
        <v>10.3</v>
      </c>
      <c r="H1543" t="s">
        <v>151</v>
      </c>
      <c r="I1543" t="s">
        <v>1152</v>
      </c>
      <c r="J1543">
        <v>0</v>
      </c>
      <c r="K1543">
        <v>0</v>
      </c>
      <c r="L1543" t="s">
        <v>819</v>
      </c>
      <c r="M1543">
        <v>26.27</v>
      </c>
      <c r="N1543" t="s">
        <v>5113</v>
      </c>
      <c r="O1543" t="s">
        <v>5112</v>
      </c>
    </row>
    <row r="1544" spans="1:15" x14ac:dyDescent="0.2">
      <c r="A1544">
        <v>99</v>
      </c>
      <c r="B1544" t="s">
        <v>2117</v>
      </c>
      <c r="C1544" t="s">
        <v>5110</v>
      </c>
      <c r="D1544" t="s">
        <v>877</v>
      </c>
      <c r="E1544" t="s">
        <v>2332</v>
      </c>
      <c r="F1544">
        <v>6</v>
      </c>
      <c r="G1544">
        <v>0.55000000000000004</v>
      </c>
      <c r="H1544" t="s">
        <v>1781</v>
      </c>
      <c r="I1544" t="s">
        <v>1152</v>
      </c>
      <c r="J1544">
        <v>3.3</v>
      </c>
      <c r="K1544">
        <v>86.691000000000003</v>
      </c>
      <c r="L1544" t="s">
        <v>819</v>
      </c>
      <c r="M1544">
        <v>26.27</v>
      </c>
      <c r="N1544" t="s">
        <v>5114</v>
      </c>
      <c r="O1544" t="s">
        <v>5112</v>
      </c>
    </row>
    <row r="1545" spans="1:15" x14ac:dyDescent="0.2">
      <c r="A1545">
        <v>99</v>
      </c>
      <c r="B1545" t="s">
        <v>2117</v>
      </c>
      <c r="C1545" t="s">
        <v>5110</v>
      </c>
      <c r="D1545" t="s">
        <v>824</v>
      </c>
      <c r="E1545" t="s">
        <v>3418</v>
      </c>
      <c r="F1545">
        <v>1.05</v>
      </c>
      <c r="G1545">
        <v>25</v>
      </c>
      <c r="H1545" t="s">
        <v>1152</v>
      </c>
      <c r="I1545" t="s">
        <v>1152</v>
      </c>
      <c r="J1545">
        <v>26.25</v>
      </c>
      <c r="K1545">
        <v>689.58749999999998</v>
      </c>
      <c r="L1545" t="s">
        <v>819</v>
      </c>
      <c r="M1545">
        <v>26.27</v>
      </c>
      <c r="N1545" t="s">
        <v>5115</v>
      </c>
      <c r="O1545" t="s">
        <v>5112</v>
      </c>
    </row>
    <row r="1546" spans="1:15" x14ac:dyDescent="0.2">
      <c r="A1546">
        <v>99</v>
      </c>
      <c r="B1546" t="s">
        <v>2117</v>
      </c>
      <c r="C1546" t="s">
        <v>5110</v>
      </c>
      <c r="D1546" t="s">
        <v>498</v>
      </c>
      <c r="E1546" t="s">
        <v>773</v>
      </c>
      <c r="F1546">
        <v>1.2</v>
      </c>
      <c r="G1546">
        <v>0</v>
      </c>
      <c r="H1546" t="s">
        <v>84</v>
      </c>
      <c r="I1546" t="s">
        <v>1152</v>
      </c>
      <c r="J1546">
        <v>0</v>
      </c>
      <c r="K1546">
        <v>0</v>
      </c>
      <c r="L1546" t="s">
        <v>819</v>
      </c>
      <c r="M1546">
        <v>26.27</v>
      </c>
      <c r="N1546" t="s">
        <v>5116</v>
      </c>
      <c r="O1546" t="s">
        <v>5112</v>
      </c>
    </row>
    <row r="1547" spans="1:15" x14ac:dyDescent="0.2">
      <c r="A1547">
        <v>99</v>
      </c>
      <c r="B1547" t="s">
        <v>2117</v>
      </c>
      <c r="C1547" t="s">
        <v>5110</v>
      </c>
      <c r="D1547" t="s">
        <v>1006</v>
      </c>
      <c r="E1547" t="s">
        <v>699</v>
      </c>
      <c r="F1547">
        <v>0</v>
      </c>
      <c r="G1547">
        <v>28.988</v>
      </c>
      <c r="H1547" t="s">
        <v>151</v>
      </c>
      <c r="I1547" t="s">
        <v>1152</v>
      </c>
      <c r="J1547">
        <v>0</v>
      </c>
      <c r="K1547">
        <v>0</v>
      </c>
      <c r="L1547" t="s">
        <v>819</v>
      </c>
      <c r="M1547">
        <v>26.27</v>
      </c>
      <c r="N1547" t="s">
        <v>5117</v>
      </c>
      <c r="O1547" t="s">
        <v>5112</v>
      </c>
    </row>
    <row r="1548" spans="1:15" x14ac:dyDescent="0.2">
      <c r="A1548">
        <v>99</v>
      </c>
      <c r="B1548" t="s">
        <v>2117</v>
      </c>
      <c r="C1548" t="s">
        <v>5110</v>
      </c>
      <c r="D1548" t="s">
        <v>708</v>
      </c>
      <c r="E1548" t="s">
        <v>865</v>
      </c>
      <c r="F1548">
        <v>2.3400000000000001E-2</v>
      </c>
      <c r="G1548">
        <v>13.32</v>
      </c>
      <c r="H1548" t="s">
        <v>1052</v>
      </c>
      <c r="I1548" t="s">
        <v>1152</v>
      </c>
      <c r="J1548">
        <v>0.31168800000000002</v>
      </c>
      <c r="K1548">
        <v>8.1880439999999997</v>
      </c>
      <c r="L1548" t="s">
        <v>819</v>
      </c>
      <c r="M1548">
        <v>26.27</v>
      </c>
      <c r="N1548" t="s">
        <v>5118</v>
      </c>
      <c r="O1548" t="s">
        <v>5112</v>
      </c>
    </row>
    <row r="1549" spans="1:15" x14ac:dyDescent="0.2">
      <c r="A1549">
        <v>99</v>
      </c>
      <c r="B1549" t="s">
        <v>2117</v>
      </c>
      <c r="C1549" t="s">
        <v>5110</v>
      </c>
      <c r="D1549" t="s">
        <v>637</v>
      </c>
      <c r="E1549" t="s">
        <v>1256</v>
      </c>
      <c r="F1549">
        <v>0.58089999999999997</v>
      </c>
      <c r="G1549">
        <v>35</v>
      </c>
      <c r="H1549" t="s">
        <v>1052</v>
      </c>
      <c r="I1549" t="s">
        <v>1152</v>
      </c>
      <c r="J1549">
        <v>20.331499999999998</v>
      </c>
      <c r="K1549">
        <v>534.10850500000004</v>
      </c>
      <c r="L1549" t="s">
        <v>819</v>
      </c>
      <c r="M1549">
        <v>26.27</v>
      </c>
      <c r="N1549" t="s">
        <v>5119</v>
      </c>
      <c r="O1549" t="s">
        <v>5112</v>
      </c>
    </row>
    <row r="1550" spans="1:15" x14ac:dyDescent="0.2">
      <c r="A1550">
        <v>99</v>
      </c>
      <c r="B1550" t="s">
        <v>2117</v>
      </c>
      <c r="C1550" t="s">
        <v>5110</v>
      </c>
      <c r="D1550" t="s">
        <v>557</v>
      </c>
      <c r="E1550" t="s">
        <v>3801</v>
      </c>
      <c r="F1550">
        <v>1.05</v>
      </c>
      <c r="G1550">
        <v>850</v>
      </c>
      <c r="H1550" t="s">
        <v>1152</v>
      </c>
      <c r="I1550" t="s">
        <v>1152</v>
      </c>
      <c r="J1550">
        <v>892.5</v>
      </c>
      <c r="K1550">
        <v>23445.974999999999</v>
      </c>
      <c r="L1550" t="s">
        <v>819</v>
      </c>
      <c r="M1550">
        <v>26.27</v>
      </c>
      <c r="N1550" t="s">
        <v>5120</v>
      </c>
      <c r="O1550" t="s">
        <v>5112</v>
      </c>
    </row>
    <row r="1551" spans="1:15" x14ac:dyDescent="0.2">
      <c r="A1551">
        <v>99</v>
      </c>
      <c r="B1551" t="s">
        <v>2117</v>
      </c>
      <c r="C1551" t="s">
        <v>5110</v>
      </c>
      <c r="D1551" t="s">
        <v>518</v>
      </c>
      <c r="E1551" t="s">
        <v>3457</v>
      </c>
      <c r="F1551">
        <v>2</v>
      </c>
      <c r="G1551">
        <v>16.86</v>
      </c>
      <c r="H1551" t="s">
        <v>1781</v>
      </c>
      <c r="I1551" t="s">
        <v>1152</v>
      </c>
      <c r="J1551">
        <v>33.72</v>
      </c>
      <c r="K1551">
        <v>885.82439999999997</v>
      </c>
      <c r="L1551" t="s">
        <v>819</v>
      </c>
      <c r="M1551">
        <v>26.27</v>
      </c>
      <c r="N1551" t="s">
        <v>5121</v>
      </c>
      <c r="O1551" t="s">
        <v>5112</v>
      </c>
    </row>
    <row r="1552" spans="1:15" x14ac:dyDescent="0.2">
      <c r="A1552">
        <v>99</v>
      </c>
      <c r="B1552" t="s">
        <v>2117</v>
      </c>
      <c r="C1552" t="s">
        <v>5110</v>
      </c>
      <c r="D1552" t="s">
        <v>946</v>
      </c>
      <c r="E1552" t="s">
        <v>1695</v>
      </c>
      <c r="F1552">
        <v>1.05</v>
      </c>
      <c r="G1552">
        <v>40</v>
      </c>
      <c r="H1552" t="s">
        <v>1819</v>
      </c>
      <c r="I1552" t="s">
        <v>1152</v>
      </c>
      <c r="J1552">
        <v>42</v>
      </c>
      <c r="K1552">
        <v>1103.3399999999999</v>
      </c>
      <c r="L1552" t="s">
        <v>819</v>
      </c>
      <c r="M1552">
        <v>26.27</v>
      </c>
      <c r="N1552" t="s">
        <v>5122</v>
      </c>
      <c r="O1552" t="s">
        <v>5112</v>
      </c>
    </row>
    <row r="1553" spans="1:15" x14ac:dyDescent="0.2">
      <c r="A1553">
        <v>99</v>
      </c>
      <c r="B1553" t="s">
        <v>2117</v>
      </c>
      <c r="C1553" t="s">
        <v>680</v>
      </c>
      <c r="D1553" t="s">
        <v>946</v>
      </c>
      <c r="E1553" t="s">
        <v>1695</v>
      </c>
      <c r="F1553">
        <v>1.05</v>
      </c>
      <c r="G1553">
        <v>40</v>
      </c>
      <c r="H1553" t="s">
        <v>1819</v>
      </c>
      <c r="I1553" t="s">
        <v>1152</v>
      </c>
      <c r="J1553">
        <v>42</v>
      </c>
      <c r="K1553">
        <v>269.64</v>
      </c>
      <c r="L1553" t="s">
        <v>816</v>
      </c>
      <c r="M1553">
        <v>6.42</v>
      </c>
      <c r="N1553" t="s">
        <v>3824</v>
      </c>
      <c r="O1553" t="s">
        <v>3813</v>
      </c>
    </row>
    <row r="1554" spans="1:15" x14ac:dyDescent="0.2">
      <c r="A1554">
        <v>99</v>
      </c>
      <c r="B1554" t="s">
        <v>2117</v>
      </c>
      <c r="C1554" t="s">
        <v>680</v>
      </c>
      <c r="D1554" t="s">
        <v>518</v>
      </c>
      <c r="E1554" t="s">
        <v>3457</v>
      </c>
      <c r="F1554">
        <v>2</v>
      </c>
      <c r="G1554">
        <v>16.86</v>
      </c>
      <c r="H1554" t="s">
        <v>1781</v>
      </c>
      <c r="I1554" t="s">
        <v>1152</v>
      </c>
      <c r="J1554">
        <v>33.72</v>
      </c>
      <c r="K1554">
        <v>216.48240000000001</v>
      </c>
      <c r="L1554" t="s">
        <v>816</v>
      </c>
      <c r="M1554">
        <v>6.42</v>
      </c>
      <c r="N1554" t="s">
        <v>3818</v>
      </c>
      <c r="O1554" t="s">
        <v>3813</v>
      </c>
    </row>
    <row r="1555" spans="1:15" x14ac:dyDescent="0.2">
      <c r="A1555">
        <v>99</v>
      </c>
      <c r="B1555" t="s">
        <v>2117</v>
      </c>
      <c r="C1555" t="s">
        <v>680</v>
      </c>
      <c r="D1555" t="s">
        <v>499</v>
      </c>
      <c r="E1555" t="s">
        <v>3814</v>
      </c>
      <c r="F1555">
        <v>1.05</v>
      </c>
      <c r="G1555">
        <v>650</v>
      </c>
      <c r="H1555" t="s">
        <v>1152</v>
      </c>
      <c r="I1555" t="s">
        <v>1152</v>
      </c>
      <c r="J1555">
        <v>682.5</v>
      </c>
      <c r="K1555">
        <v>4381.6499999999996</v>
      </c>
      <c r="L1555" t="s">
        <v>816</v>
      </c>
      <c r="M1555">
        <v>6.42</v>
      </c>
      <c r="N1555" t="s">
        <v>3815</v>
      </c>
      <c r="O1555" t="s">
        <v>3813</v>
      </c>
    </row>
    <row r="1556" spans="1:15" x14ac:dyDescent="0.2">
      <c r="A1556">
        <v>99</v>
      </c>
      <c r="B1556" t="s">
        <v>2117</v>
      </c>
      <c r="C1556" t="s">
        <v>680</v>
      </c>
      <c r="D1556" t="s">
        <v>637</v>
      </c>
      <c r="E1556" t="s">
        <v>1256</v>
      </c>
      <c r="F1556">
        <v>0.58089999999999997</v>
      </c>
      <c r="G1556">
        <v>35</v>
      </c>
      <c r="H1556" t="s">
        <v>1052</v>
      </c>
      <c r="I1556" t="s">
        <v>1152</v>
      </c>
      <c r="J1556">
        <v>20.331499999999998</v>
      </c>
      <c r="K1556">
        <v>130.52823000000001</v>
      </c>
      <c r="L1556" t="s">
        <v>816</v>
      </c>
      <c r="M1556">
        <v>6.42</v>
      </c>
      <c r="N1556" t="s">
        <v>3817</v>
      </c>
      <c r="O1556" t="s">
        <v>3813</v>
      </c>
    </row>
    <row r="1557" spans="1:15" x14ac:dyDescent="0.2">
      <c r="A1557">
        <v>99</v>
      </c>
      <c r="B1557" t="s">
        <v>2117</v>
      </c>
      <c r="C1557" t="s">
        <v>680</v>
      </c>
      <c r="D1557" t="s">
        <v>708</v>
      </c>
      <c r="E1557" t="s">
        <v>865</v>
      </c>
      <c r="F1557">
        <v>2.3400000000000001E-2</v>
      </c>
      <c r="G1557">
        <v>13.32</v>
      </c>
      <c r="H1557" t="s">
        <v>1052</v>
      </c>
      <c r="I1557" t="s">
        <v>1152</v>
      </c>
      <c r="J1557">
        <v>0.31168800000000002</v>
      </c>
      <c r="K1557">
        <v>2.0010370000000002</v>
      </c>
      <c r="L1557" t="s">
        <v>816</v>
      </c>
      <c r="M1557">
        <v>6.42</v>
      </c>
      <c r="N1557" t="s">
        <v>3812</v>
      </c>
      <c r="O1557" t="s">
        <v>3813</v>
      </c>
    </row>
    <row r="1558" spans="1:15" x14ac:dyDescent="0.2">
      <c r="A1558">
        <v>99</v>
      </c>
      <c r="B1558" t="s">
        <v>2117</v>
      </c>
      <c r="C1558" t="s">
        <v>680</v>
      </c>
      <c r="D1558" t="s">
        <v>1006</v>
      </c>
      <c r="E1558" t="s">
        <v>699</v>
      </c>
      <c r="F1558">
        <v>0</v>
      </c>
      <c r="G1558">
        <v>28.988</v>
      </c>
      <c r="H1558" t="s">
        <v>151</v>
      </c>
      <c r="I1558" t="s">
        <v>1152</v>
      </c>
      <c r="J1558">
        <v>0</v>
      </c>
      <c r="K1558">
        <v>0</v>
      </c>
      <c r="L1558" t="s">
        <v>816</v>
      </c>
      <c r="M1558">
        <v>6.42</v>
      </c>
      <c r="N1558" t="s">
        <v>3819</v>
      </c>
      <c r="O1558" t="s">
        <v>3813</v>
      </c>
    </row>
    <row r="1559" spans="1:15" x14ac:dyDescent="0.2">
      <c r="A1559">
        <v>99</v>
      </c>
      <c r="B1559" t="s">
        <v>2117</v>
      </c>
      <c r="C1559" t="s">
        <v>680</v>
      </c>
      <c r="D1559" t="s">
        <v>498</v>
      </c>
      <c r="E1559" t="s">
        <v>773</v>
      </c>
      <c r="F1559">
        <v>1.2</v>
      </c>
      <c r="G1559">
        <v>0</v>
      </c>
      <c r="H1559" t="s">
        <v>84</v>
      </c>
      <c r="I1559" t="s">
        <v>1152</v>
      </c>
      <c r="J1559">
        <v>0</v>
      </c>
      <c r="K1559">
        <v>0</v>
      </c>
      <c r="L1559" t="s">
        <v>816</v>
      </c>
      <c r="M1559">
        <v>6.42</v>
      </c>
      <c r="N1559" t="s">
        <v>3823</v>
      </c>
      <c r="O1559" t="s">
        <v>3813</v>
      </c>
    </row>
    <row r="1560" spans="1:15" x14ac:dyDescent="0.2">
      <c r="A1560">
        <v>99</v>
      </c>
      <c r="B1560" t="s">
        <v>2117</v>
      </c>
      <c r="C1560" t="s">
        <v>680</v>
      </c>
      <c r="D1560" t="s">
        <v>824</v>
      </c>
      <c r="E1560" t="s">
        <v>3418</v>
      </c>
      <c r="F1560">
        <v>1.05</v>
      </c>
      <c r="G1560">
        <v>25</v>
      </c>
      <c r="H1560" t="s">
        <v>1152</v>
      </c>
      <c r="I1560" t="s">
        <v>1152</v>
      </c>
      <c r="J1560">
        <v>26.25</v>
      </c>
      <c r="K1560">
        <v>168.52500000000001</v>
      </c>
      <c r="L1560" t="s">
        <v>816</v>
      </c>
      <c r="M1560">
        <v>6.42</v>
      </c>
      <c r="N1560" t="s">
        <v>3821</v>
      </c>
      <c r="O1560" t="s">
        <v>3813</v>
      </c>
    </row>
    <row r="1561" spans="1:15" x14ac:dyDescent="0.2">
      <c r="A1561">
        <v>99</v>
      </c>
      <c r="B1561" t="s">
        <v>2117</v>
      </c>
      <c r="C1561" t="s">
        <v>680</v>
      </c>
      <c r="D1561" t="s">
        <v>877</v>
      </c>
      <c r="E1561" t="s">
        <v>2332</v>
      </c>
      <c r="F1561">
        <v>6</v>
      </c>
      <c r="G1561">
        <v>0.55000000000000004</v>
      </c>
      <c r="H1561" t="s">
        <v>1781</v>
      </c>
      <c r="I1561" t="s">
        <v>1152</v>
      </c>
      <c r="J1561">
        <v>3.3</v>
      </c>
      <c r="K1561">
        <v>21.186</v>
      </c>
      <c r="L1561" t="s">
        <v>816</v>
      </c>
      <c r="M1561">
        <v>6.42</v>
      </c>
      <c r="N1561" t="s">
        <v>3816</v>
      </c>
      <c r="O1561" t="s">
        <v>3813</v>
      </c>
    </row>
    <row r="1562" spans="1:15" x14ac:dyDescent="0.2">
      <c r="A1562">
        <v>99</v>
      </c>
      <c r="B1562" t="s">
        <v>2117</v>
      </c>
      <c r="C1562" t="s">
        <v>680</v>
      </c>
      <c r="D1562" t="s">
        <v>801</v>
      </c>
      <c r="E1562" t="s">
        <v>402</v>
      </c>
      <c r="F1562">
        <v>0</v>
      </c>
      <c r="G1562">
        <v>10.3</v>
      </c>
      <c r="H1562" t="s">
        <v>151</v>
      </c>
      <c r="I1562" t="s">
        <v>1152</v>
      </c>
      <c r="J1562">
        <v>0</v>
      </c>
      <c r="K1562">
        <v>0</v>
      </c>
      <c r="L1562" t="s">
        <v>816</v>
      </c>
      <c r="M1562">
        <v>6.42</v>
      </c>
      <c r="N1562" t="s">
        <v>3820</v>
      </c>
      <c r="O1562" t="s">
        <v>3813</v>
      </c>
    </row>
    <row r="1563" spans="1:15" x14ac:dyDescent="0.2">
      <c r="A1563">
        <v>99</v>
      </c>
      <c r="B1563" t="s">
        <v>2117</v>
      </c>
      <c r="C1563" t="s">
        <v>680</v>
      </c>
      <c r="D1563" t="s">
        <v>842</v>
      </c>
      <c r="E1563" t="s">
        <v>3477</v>
      </c>
      <c r="F1563">
        <v>1</v>
      </c>
      <c r="G1563">
        <v>450</v>
      </c>
      <c r="H1563" t="s">
        <v>1152</v>
      </c>
      <c r="I1563" t="s">
        <v>1152</v>
      </c>
      <c r="J1563">
        <v>450</v>
      </c>
      <c r="K1563">
        <v>2889</v>
      </c>
      <c r="L1563" t="s">
        <v>816</v>
      </c>
      <c r="M1563">
        <v>6.42</v>
      </c>
      <c r="N1563" t="s">
        <v>3822</v>
      </c>
      <c r="O1563" t="s">
        <v>3813</v>
      </c>
    </row>
    <row r="1564" spans="1:15" x14ac:dyDescent="0.2">
      <c r="A1564">
        <v>99</v>
      </c>
      <c r="B1564" t="s">
        <v>2117</v>
      </c>
      <c r="C1564" t="s">
        <v>5123</v>
      </c>
      <c r="D1564" t="s">
        <v>801</v>
      </c>
      <c r="E1564" t="s">
        <v>402</v>
      </c>
      <c r="F1564">
        <v>0</v>
      </c>
      <c r="G1564">
        <v>10.3</v>
      </c>
      <c r="H1564" t="s">
        <v>151</v>
      </c>
      <c r="I1564" t="s">
        <v>1152</v>
      </c>
      <c r="J1564">
        <v>0</v>
      </c>
      <c r="K1564">
        <v>0</v>
      </c>
      <c r="L1564" t="s">
        <v>827</v>
      </c>
      <c r="M1564">
        <v>27.1</v>
      </c>
      <c r="N1564" t="s">
        <v>5124</v>
      </c>
      <c r="O1564" t="s">
        <v>5125</v>
      </c>
    </row>
    <row r="1565" spans="1:15" x14ac:dyDescent="0.2">
      <c r="A1565">
        <v>99</v>
      </c>
      <c r="B1565" t="s">
        <v>2117</v>
      </c>
      <c r="C1565" t="s">
        <v>5123</v>
      </c>
      <c r="D1565" t="s">
        <v>877</v>
      </c>
      <c r="E1565" t="s">
        <v>2332</v>
      </c>
      <c r="F1565">
        <v>20</v>
      </c>
      <c r="G1565">
        <v>0.55000000000000004</v>
      </c>
      <c r="H1565" t="s">
        <v>1781</v>
      </c>
      <c r="I1565" t="s">
        <v>1152</v>
      </c>
      <c r="J1565">
        <v>11</v>
      </c>
      <c r="K1565">
        <v>298.10000000000002</v>
      </c>
      <c r="L1565" t="s">
        <v>827</v>
      </c>
      <c r="M1565">
        <v>27.1</v>
      </c>
      <c r="N1565" t="s">
        <v>5126</v>
      </c>
      <c r="O1565" t="s">
        <v>5125</v>
      </c>
    </row>
    <row r="1566" spans="1:15" x14ac:dyDescent="0.2">
      <c r="A1566">
        <v>99</v>
      </c>
      <c r="B1566" t="s">
        <v>2117</v>
      </c>
      <c r="C1566" t="s">
        <v>5123</v>
      </c>
      <c r="D1566" t="s">
        <v>824</v>
      </c>
      <c r="E1566" t="s">
        <v>3418</v>
      </c>
      <c r="F1566">
        <v>1.05</v>
      </c>
      <c r="G1566">
        <v>25</v>
      </c>
      <c r="H1566" t="s">
        <v>1152</v>
      </c>
      <c r="I1566" t="s">
        <v>1152</v>
      </c>
      <c r="J1566">
        <v>26.25</v>
      </c>
      <c r="K1566">
        <v>711.375</v>
      </c>
      <c r="L1566" t="s">
        <v>827</v>
      </c>
      <c r="M1566">
        <v>27.1</v>
      </c>
      <c r="N1566" t="s">
        <v>5127</v>
      </c>
      <c r="O1566" t="s">
        <v>5125</v>
      </c>
    </row>
    <row r="1567" spans="1:15" x14ac:dyDescent="0.2">
      <c r="A1567">
        <v>99</v>
      </c>
      <c r="B1567" t="s">
        <v>2117</v>
      </c>
      <c r="C1567" t="s">
        <v>5123</v>
      </c>
      <c r="D1567" t="s">
        <v>498</v>
      </c>
      <c r="E1567" t="s">
        <v>773</v>
      </c>
      <c r="F1567">
        <v>1.2</v>
      </c>
      <c r="G1567">
        <v>0</v>
      </c>
      <c r="H1567" t="s">
        <v>84</v>
      </c>
      <c r="I1567" t="s">
        <v>1152</v>
      </c>
      <c r="J1567">
        <v>0</v>
      </c>
      <c r="K1567">
        <v>0</v>
      </c>
      <c r="L1567" t="s">
        <v>827</v>
      </c>
      <c r="M1567">
        <v>27.1</v>
      </c>
      <c r="N1567" t="s">
        <v>5128</v>
      </c>
      <c r="O1567" t="s">
        <v>5125</v>
      </c>
    </row>
    <row r="1568" spans="1:15" x14ac:dyDescent="0.2">
      <c r="A1568">
        <v>99</v>
      </c>
      <c r="B1568" t="s">
        <v>2117</v>
      </c>
      <c r="C1568" t="s">
        <v>5123</v>
      </c>
      <c r="D1568" t="s">
        <v>1006</v>
      </c>
      <c r="E1568" t="s">
        <v>699</v>
      </c>
      <c r="F1568">
        <v>0</v>
      </c>
      <c r="G1568">
        <v>28.988</v>
      </c>
      <c r="H1568" t="s">
        <v>151</v>
      </c>
      <c r="I1568" t="s">
        <v>1152</v>
      </c>
      <c r="J1568">
        <v>0</v>
      </c>
      <c r="K1568">
        <v>0</v>
      </c>
      <c r="L1568" t="s">
        <v>827</v>
      </c>
      <c r="M1568">
        <v>27.1</v>
      </c>
      <c r="N1568" t="s">
        <v>5129</v>
      </c>
      <c r="O1568" t="s">
        <v>5125</v>
      </c>
    </row>
    <row r="1569" spans="1:15" x14ac:dyDescent="0.2">
      <c r="A1569">
        <v>99</v>
      </c>
      <c r="B1569" t="s">
        <v>2117</v>
      </c>
      <c r="C1569" t="s">
        <v>5123</v>
      </c>
      <c r="D1569" t="s">
        <v>708</v>
      </c>
      <c r="E1569" t="s">
        <v>865</v>
      </c>
      <c r="F1569">
        <v>5.1299999999999998E-2</v>
      </c>
      <c r="G1569">
        <v>13.32</v>
      </c>
      <c r="H1569" t="s">
        <v>1052</v>
      </c>
      <c r="I1569" t="s">
        <v>1152</v>
      </c>
      <c r="J1569">
        <v>0.68331600000000003</v>
      </c>
      <c r="K1569">
        <v>18.517863999999999</v>
      </c>
      <c r="L1569" t="s">
        <v>827</v>
      </c>
      <c r="M1569">
        <v>27.1</v>
      </c>
      <c r="N1569" t="s">
        <v>5130</v>
      </c>
      <c r="O1569" t="s">
        <v>5125</v>
      </c>
    </row>
    <row r="1570" spans="1:15" x14ac:dyDescent="0.2">
      <c r="A1570">
        <v>99</v>
      </c>
      <c r="B1570" t="s">
        <v>2117</v>
      </c>
      <c r="C1570" t="s">
        <v>5123</v>
      </c>
      <c r="D1570" t="s">
        <v>826</v>
      </c>
      <c r="E1570" t="s">
        <v>586</v>
      </c>
      <c r="F1570">
        <v>1</v>
      </c>
      <c r="G1570">
        <v>276.7527</v>
      </c>
      <c r="H1570" t="s">
        <v>1152</v>
      </c>
      <c r="I1570" t="s">
        <v>1152</v>
      </c>
      <c r="J1570">
        <v>276.7527</v>
      </c>
      <c r="K1570">
        <v>7499.9981699999998</v>
      </c>
      <c r="L1570" t="s">
        <v>827</v>
      </c>
      <c r="M1570">
        <v>27.1</v>
      </c>
      <c r="N1570" t="s">
        <v>5131</v>
      </c>
      <c r="O1570" t="s">
        <v>5125</v>
      </c>
    </row>
    <row r="1571" spans="1:15" x14ac:dyDescent="0.2">
      <c r="A1571">
        <v>99</v>
      </c>
      <c r="B1571" t="s">
        <v>2117</v>
      </c>
      <c r="C1571" t="s">
        <v>5123</v>
      </c>
      <c r="D1571" t="s">
        <v>637</v>
      </c>
      <c r="E1571" t="s">
        <v>1256</v>
      </c>
      <c r="F1571">
        <v>1.2813000000000001</v>
      </c>
      <c r="G1571">
        <v>35</v>
      </c>
      <c r="H1571" t="s">
        <v>1052</v>
      </c>
      <c r="I1571" t="s">
        <v>1152</v>
      </c>
      <c r="J1571">
        <v>44.845500000000001</v>
      </c>
      <c r="K1571">
        <v>1215.31305</v>
      </c>
      <c r="L1571" t="s">
        <v>827</v>
      </c>
      <c r="M1571">
        <v>27.1</v>
      </c>
      <c r="N1571" t="s">
        <v>5132</v>
      </c>
      <c r="O1571" t="s">
        <v>5125</v>
      </c>
    </row>
    <row r="1572" spans="1:15" x14ac:dyDescent="0.2">
      <c r="A1572">
        <v>99</v>
      </c>
      <c r="B1572" t="s">
        <v>2117</v>
      </c>
      <c r="C1572" t="s">
        <v>5123</v>
      </c>
      <c r="D1572" t="s">
        <v>518</v>
      </c>
      <c r="E1572" t="s">
        <v>3457</v>
      </c>
      <c r="F1572">
        <v>6.6666999999999996</v>
      </c>
      <c r="G1572">
        <v>16.86</v>
      </c>
      <c r="H1572" t="s">
        <v>1781</v>
      </c>
      <c r="I1572" t="s">
        <v>1152</v>
      </c>
      <c r="J1572">
        <v>112.40056199999999</v>
      </c>
      <c r="K1572">
        <v>3046.0552299999999</v>
      </c>
      <c r="L1572" t="s">
        <v>827</v>
      </c>
      <c r="M1572">
        <v>27.1</v>
      </c>
      <c r="N1572" t="s">
        <v>5133</v>
      </c>
      <c r="O1572" t="s">
        <v>5125</v>
      </c>
    </row>
    <row r="1573" spans="1:15" x14ac:dyDescent="0.2">
      <c r="A1573">
        <v>99</v>
      </c>
      <c r="B1573" t="s">
        <v>2117</v>
      </c>
      <c r="C1573" t="s">
        <v>5123</v>
      </c>
      <c r="D1573" t="s">
        <v>1038</v>
      </c>
      <c r="E1573" t="s">
        <v>3825</v>
      </c>
      <c r="F1573">
        <v>1</v>
      </c>
      <c r="G1573">
        <v>400</v>
      </c>
      <c r="H1573" t="s">
        <v>1152</v>
      </c>
      <c r="I1573" t="s">
        <v>1152</v>
      </c>
      <c r="J1573">
        <v>400</v>
      </c>
      <c r="K1573">
        <v>10840</v>
      </c>
      <c r="L1573" t="s">
        <v>827</v>
      </c>
      <c r="M1573">
        <v>27.1</v>
      </c>
      <c r="N1573" t="s">
        <v>5134</v>
      </c>
      <c r="O1573" t="s">
        <v>5125</v>
      </c>
    </row>
    <row r="1574" spans="1:15" x14ac:dyDescent="0.2">
      <c r="A1574">
        <v>99</v>
      </c>
      <c r="B1574" t="s">
        <v>2117</v>
      </c>
      <c r="C1574" t="s">
        <v>5123</v>
      </c>
      <c r="D1574" t="s">
        <v>946</v>
      </c>
      <c r="E1574" t="s">
        <v>1695</v>
      </c>
      <c r="F1574">
        <v>1.05</v>
      </c>
      <c r="G1574">
        <v>40</v>
      </c>
      <c r="H1574" t="s">
        <v>1819</v>
      </c>
      <c r="I1574" t="s">
        <v>1152</v>
      </c>
      <c r="J1574">
        <v>42</v>
      </c>
      <c r="K1574">
        <v>1138.2</v>
      </c>
      <c r="L1574" t="s">
        <v>827</v>
      </c>
      <c r="M1574">
        <v>27.1</v>
      </c>
      <c r="N1574" t="s">
        <v>5135</v>
      </c>
      <c r="O1574" t="s">
        <v>5125</v>
      </c>
    </row>
    <row r="1575" spans="1:15" x14ac:dyDescent="0.2">
      <c r="A1575">
        <v>99</v>
      </c>
      <c r="B1575" t="s">
        <v>2117</v>
      </c>
      <c r="C1575" t="s">
        <v>5123</v>
      </c>
      <c r="D1575" t="s">
        <v>5136</v>
      </c>
      <c r="E1575" t="s">
        <v>5137</v>
      </c>
      <c r="F1575">
        <v>1.05</v>
      </c>
      <c r="G1575">
        <v>850</v>
      </c>
      <c r="H1575" t="s">
        <v>1152</v>
      </c>
      <c r="I1575" t="s">
        <v>1152</v>
      </c>
      <c r="J1575">
        <v>892.5</v>
      </c>
      <c r="K1575">
        <v>24186.75</v>
      </c>
      <c r="L1575" t="s">
        <v>827</v>
      </c>
      <c r="M1575">
        <v>27.1</v>
      </c>
      <c r="N1575" t="s">
        <v>5138</v>
      </c>
      <c r="O1575" t="s">
        <v>5125</v>
      </c>
    </row>
    <row r="1576" spans="1:15" x14ac:dyDescent="0.2">
      <c r="A1576">
        <v>99</v>
      </c>
      <c r="B1576" t="s">
        <v>2117</v>
      </c>
      <c r="C1576" t="s">
        <v>412</v>
      </c>
      <c r="D1576" t="s">
        <v>946</v>
      </c>
      <c r="E1576" t="s">
        <v>1695</v>
      </c>
      <c r="F1576">
        <v>0.22</v>
      </c>
      <c r="G1576">
        <v>40</v>
      </c>
      <c r="H1576" t="s">
        <v>1819</v>
      </c>
      <c r="I1576" t="s">
        <v>153</v>
      </c>
      <c r="J1576">
        <v>8.8000000000000007</v>
      </c>
      <c r="K1576">
        <v>276.84800000000001</v>
      </c>
      <c r="L1576" t="s">
        <v>733</v>
      </c>
      <c r="M1576">
        <v>31.46</v>
      </c>
      <c r="N1576" t="s">
        <v>3835</v>
      </c>
      <c r="O1576" t="s">
        <v>3828</v>
      </c>
    </row>
    <row r="1577" spans="1:15" x14ac:dyDescent="0.2">
      <c r="A1577">
        <v>99</v>
      </c>
      <c r="B1577" t="s">
        <v>2117</v>
      </c>
      <c r="C1577" t="s">
        <v>412</v>
      </c>
      <c r="D1577" t="s">
        <v>890</v>
      </c>
      <c r="E1577" t="s">
        <v>3487</v>
      </c>
      <c r="F1577">
        <v>1</v>
      </c>
      <c r="G1577">
        <v>30</v>
      </c>
      <c r="H1577" t="s">
        <v>153</v>
      </c>
      <c r="I1577" t="s">
        <v>153</v>
      </c>
      <c r="J1577">
        <v>30</v>
      </c>
      <c r="K1577">
        <v>943.8</v>
      </c>
      <c r="L1577" t="s">
        <v>733</v>
      </c>
      <c r="M1577">
        <v>31.46</v>
      </c>
      <c r="N1577" t="s">
        <v>3833</v>
      </c>
      <c r="O1577" t="s">
        <v>3828</v>
      </c>
    </row>
    <row r="1578" spans="1:15" x14ac:dyDescent="0.2">
      <c r="A1578">
        <v>99</v>
      </c>
      <c r="B1578" t="s">
        <v>2117</v>
      </c>
      <c r="C1578" t="s">
        <v>412</v>
      </c>
      <c r="D1578" t="s">
        <v>241</v>
      </c>
      <c r="E1578" t="s">
        <v>3826</v>
      </c>
      <c r="F1578">
        <v>0.22</v>
      </c>
      <c r="G1578">
        <v>250</v>
      </c>
      <c r="H1578" t="s">
        <v>1152</v>
      </c>
      <c r="I1578" t="s">
        <v>153</v>
      </c>
      <c r="J1578">
        <v>55</v>
      </c>
      <c r="K1578">
        <v>1730.3</v>
      </c>
      <c r="L1578" t="s">
        <v>733</v>
      </c>
      <c r="M1578">
        <v>31.46</v>
      </c>
      <c r="N1578" t="s">
        <v>3829</v>
      </c>
      <c r="O1578" t="s">
        <v>3828</v>
      </c>
    </row>
    <row r="1579" spans="1:15" x14ac:dyDescent="0.2">
      <c r="A1579">
        <v>99</v>
      </c>
      <c r="B1579" t="s">
        <v>2117</v>
      </c>
      <c r="C1579" t="s">
        <v>412</v>
      </c>
      <c r="D1579" t="s">
        <v>1006</v>
      </c>
      <c r="E1579" t="s">
        <v>699</v>
      </c>
      <c r="F1579">
        <v>0</v>
      </c>
      <c r="G1579">
        <v>28.988</v>
      </c>
      <c r="H1579" t="s">
        <v>151</v>
      </c>
      <c r="I1579" t="s">
        <v>153</v>
      </c>
      <c r="J1579">
        <v>0</v>
      </c>
      <c r="K1579">
        <v>0</v>
      </c>
      <c r="L1579" t="s">
        <v>733</v>
      </c>
      <c r="M1579">
        <v>31.46</v>
      </c>
      <c r="N1579" t="s">
        <v>3830</v>
      </c>
      <c r="O1579" t="s">
        <v>3828</v>
      </c>
    </row>
    <row r="1580" spans="1:15" x14ac:dyDescent="0.2">
      <c r="A1580">
        <v>99</v>
      </c>
      <c r="B1580" t="s">
        <v>2117</v>
      </c>
      <c r="C1580" t="s">
        <v>412</v>
      </c>
      <c r="D1580" t="s">
        <v>498</v>
      </c>
      <c r="E1580" t="s">
        <v>773</v>
      </c>
      <c r="F1580">
        <v>1.2</v>
      </c>
      <c r="G1580">
        <v>0</v>
      </c>
      <c r="H1580" t="s">
        <v>84</v>
      </c>
      <c r="I1580" t="s">
        <v>153</v>
      </c>
      <c r="J1580">
        <v>0</v>
      </c>
      <c r="K1580">
        <v>0</v>
      </c>
      <c r="L1580" t="s">
        <v>733</v>
      </c>
      <c r="M1580">
        <v>31.46</v>
      </c>
      <c r="N1580" t="s">
        <v>3834</v>
      </c>
      <c r="O1580" t="s">
        <v>3828</v>
      </c>
    </row>
    <row r="1581" spans="1:15" x14ac:dyDescent="0.2">
      <c r="A1581">
        <v>99</v>
      </c>
      <c r="B1581" t="s">
        <v>2117</v>
      </c>
      <c r="C1581" t="s">
        <v>412</v>
      </c>
      <c r="D1581" t="s">
        <v>824</v>
      </c>
      <c r="E1581" t="s">
        <v>3418</v>
      </c>
      <c r="F1581">
        <v>0.22</v>
      </c>
      <c r="G1581">
        <v>25</v>
      </c>
      <c r="H1581" t="s">
        <v>1152</v>
      </c>
      <c r="I1581" t="s">
        <v>153</v>
      </c>
      <c r="J1581">
        <v>5.5</v>
      </c>
      <c r="K1581">
        <v>173.03</v>
      </c>
      <c r="L1581" t="s">
        <v>733</v>
      </c>
      <c r="M1581">
        <v>31.46</v>
      </c>
      <c r="N1581" t="s">
        <v>3832</v>
      </c>
      <c r="O1581" t="s">
        <v>3828</v>
      </c>
    </row>
    <row r="1582" spans="1:15" x14ac:dyDescent="0.2">
      <c r="A1582">
        <v>99</v>
      </c>
      <c r="B1582" t="s">
        <v>2117</v>
      </c>
      <c r="C1582" t="s">
        <v>412</v>
      </c>
      <c r="D1582" t="s">
        <v>801</v>
      </c>
      <c r="E1582" t="s">
        <v>402</v>
      </c>
      <c r="F1582">
        <v>0</v>
      </c>
      <c r="G1582">
        <v>10.3</v>
      </c>
      <c r="H1582" t="s">
        <v>151</v>
      </c>
      <c r="I1582" t="s">
        <v>153</v>
      </c>
      <c r="J1582">
        <v>0</v>
      </c>
      <c r="K1582">
        <v>0</v>
      </c>
      <c r="L1582" t="s">
        <v>733</v>
      </c>
      <c r="M1582">
        <v>31.46</v>
      </c>
      <c r="N1582" t="s">
        <v>3831</v>
      </c>
      <c r="O1582" t="s">
        <v>3828</v>
      </c>
    </row>
    <row r="1583" spans="1:15" x14ac:dyDescent="0.2">
      <c r="A1583">
        <v>99</v>
      </c>
      <c r="B1583" t="s">
        <v>2117</v>
      </c>
      <c r="C1583" t="s">
        <v>412</v>
      </c>
      <c r="D1583" t="s">
        <v>853</v>
      </c>
      <c r="E1583" t="s">
        <v>980</v>
      </c>
      <c r="F1583">
        <v>1.72</v>
      </c>
      <c r="G1583">
        <v>0.9</v>
      </c>
      <c r="H1583" t="s">
        <v>1052</v>
      </c>
      <c r="I1583" t="s">
        <v>153</v>
      </c>
      <c r="J1583">
        <v>1.548</v>
      </c>
      <c r="K1583">
        <v>48.70008</v>
      </c>
      <c r="L1583" t="s">
        <v>733</v>
      </c>
      <c r="M1583">
        <v>31.46</v>
      </c>
      <c r="N1583" t="s">
        <v>3827</v>
      </c>
      <c r="O1583" t="s">
        <v>3828</v>
      </c>
    </row>
    <row r="1584" spans="1:15" x14ac:dyDescent="0.2">
      <c r="A1584">
        <v>99</v>
      </c>
      <c r="B1584" t="s">
        <v>2117</v>
      </c>
      <c r="C1584" t="s">
        <v>568</v>
      </c>
      <c r="D1584" t="s">
        <v>853</v>
      </c>
      <c r="E1584" t="s">
        <v>980</v>
      </c>
      <c r="F1584">
        <v>1.72</v>
      </c>
      <c r="G1584">
        <v>0.9</v>
      </c>
      <c r="H1584" t="s">
        <v>1052</v>
      </c>
      <c r="I1584" t="s">
        <v>153</v>
      </c>
      <c r="J1584">
        <v>1.548</v>
      </c>
      <c r="K1584">
        <v>10.9908</v>
      </c>
      <c r="L1584" t="s">
        <v>741</v>
      </c>
      <c r="M1584">
        <v>7.1</v>
      </c>
      <c r="N1584" t="s">
        <v>3836</v>
      </c>
      <c r="O1584" t="s">
        <v>3837</v>
      </c>
    </row>
    <row r="1585" spans="1:15" x14ac:dyDescent="0.2">
      <c r="A1585">
        <v>99</v>
      </c>
      <c r="B1585" t="s">
        <v>2117</v>
      </c>
      <c r="C1585" t="s">
        <v>568</v>
      </c>
      <c r="D1585" t="s">
        <v>991</v>
      </c>
      <c r="E1585" t="s">
        <v>3508</v>
      </c>
      <c r="F1585">
        <v>1</v>
      </c>
      <c r="G1585">
        <v>30</v>
      </c>
      <c r="H1585" t="s">
        <v>153</v>
      </c>
      <c r="I1585" t="s">
        <v>153</v>
      </c>
      <c r="J1585">
        <v>30</v>
      </c>
      <c r="K1585">
        <v>213</v>
      </c>
      <c r="L1585" t="s">
        <v>741</v>
      </c>
      <c r="M1585">
        <v>7.1</v>
      </c>
      <c r="N1585" t="s">
        <v>3843</v>
      </c>
      <c r="O1585" t="s">
        <v>3837</v>
      </c>
    </row>
    <row r="1586" spans="1:15" x14ac:dyDescent="0.2">
      <c r="A1586">
        <v>99</v>
      </c>
      <c r="B1586" t="s">
        <v>2117</v>
      </c>
      <c r="C1586" t="s">
        <v>568</v>
      </c>
      <c r="D1586" t="s">
        <v>801</v>
      </c>
      <c r="E1586" t="s">
        <v>402</v>
      </c>
      <c r="F1586">
        <v>0</v>
      </c>
      <c r="G1586">
        <v>10.3</v>
      </c>
      <c r="H1586" t="s">
        <v>151</v>
      </c>
      <c r="I1586" t="s">
        <v>153</v>
      </c>
      <c r="J1586">
        <v>0</v>
      </c>
      <c r="K1586">
        <v>0</v>
      </c>
      <c r="L1586" t="s">
        <v>741</v>
      </c>
      <c r="M1586">
        <v>7.1</v>
      </c>
      <c r="N1586" t="s">
        <v>3841</v>
      </c>
      <c r="O1586" t="s">
        <v>3837</v>
      </c>
    </row>
    <row r="1587" spans="1:15" x14ac:dyDescent="0.2">
      <c r="A1587">
        <v>99</v>
      </c>
      <c r="B1587" t="s">
        <v>2117</v>
      </c>
      <c r="C1587" t="s">
        <v>568</v>
      </c>
      <c r="D1587" t="s">
        <v>824</v>
      </c>
      <c r="E1587" t="s">
        <v>3418</v>
      </c>
      <c r="F1587">
        <v>0.22</v>
      </c>
      <c r="G1587">
        <v>25</v>
      </c>
      <c r="H1587" t="s">
        <v>1152</v>
      </c>
      <c r="I1587" t="s">
        <v>153</v>
      </c>
      <c r="J1587">
        <v>5.5</v>
      </c>
      <c r="K1587">
        <v>39.049999999999997</v>
      </c>
      <c r="L1587" t="s">
        <v>741</v>
      </c>
      <c r="M1587">
        <v>7.1</v>
      </c>
      <c r="N1587" t="s">
        <v>3842</v>
      </c>
      <c r="O1587" t="s">
        <v>3837</v>
      </c>
    </row>
    <row r="1588" spans="1:15" x14ac:dyDescent="0.2">
      <c r="A1588">
        <v>99</v>
      </c>
      <c r="B1588" t="s">
        <v>2117</v>
      </c>
      <c r="C1588" t="s">
        <v>568</v>
      </c>
      <c r="D1588" t="s">
        <v>498</v>
      </c>
      <c r="E1588" t="s">
        <v>773</v>
      </c>
      <c r="F1588">
        <v>1.2</v>
      </c>
      <c r="G1588">
        <v>0</v>
      </c>
      <c r="H1588" t="s">
        <v>84</v>
      </c>
      <c r="I1588" t="s">
        <v>153</v>
      </c>
      <c r="J1588">
        <v>0</v>
      </c>
      <c r="K1588">
        <v>0</v>
      </c>
      <c r="L1588" t="s">
        <v>741</v>
      </c>
      <c r="M1588">
        <v>7.1</v>
      </c>
      <c r="N1588" t="s">
        <v>3844</v>
      </c>
      <c r="O1588" t="s">
        <v>3837</v>
      </c>
    </row>
    <row r="1589" spans="1:15" x14ac:dyDescent="0.2">
      <c r="A1589">
        <v>99</v>
      </c>
      <c r="B1589" t="s">
        <v>2117</v>
      </c>
      <c r="C1589" t="s">
        <v>568</v>
      </c>
      <c r="D1589" t="s">
        <v>1006</v>
      </c>
      <c r="E1589" t="s">
        <v>699</v>
      </c>
      <c r="F1589">
        <v>0</v>
      </c>
      <c r="G1589">
        <v>28.988</v>
      </c>
      <c r="H1589" t="s">
        <v>151</v>
      </c>
      <c r="I1589" t="s">
        <v>153</v>
      </c>
      <c r="J1589">
        <v>0</v>
      </c>
      <c r="K1589">
        <v>0</v>
      </c>
      <c r="L1589" t="s">
        <v>741</v>
      </c>
      <c r="M1589">
        <v>7.1</v>
      </c>
      <c r="N1589" t="s">
        <v>3840</v>
      </c>
      <c r="O1589" t="s">
        <v>3837</v>
      </c>
    </row>
    <row r="1590" spans="1:15" x14ac:dyDescent="0.2">
      <c r="A1590">
        <v>99</v>
      </c>
      <c r="B1590" t="s">
        <v>2117</v>
      </c>
      <c r="C1590" t="s">
        <v>568</v>
      </c>
      <c r="D1590" t="s">
        <v>946</v>
      </c>
      <c r="E1590" t="s">
        <v>1695</v>
      </c>
      <c r="F1590">
        <v>0.22</v>
      </c>
      <c r="G1590">
        <v>40</v>
      </c>
      <c r="H1590" t="s">
        <v>1819</v>
      </c>
      <c r="I1590" t="s">
        <v>153</v>
      </c>
      <c r="J1590">
        <v>8.8000000000000007</v>
      </c>
      <c r="K1590">
        <v>62.48</v>
      </c>
      <c r="L1590" t="s">
        <v>741</v>
      </c>
      <c r="M1590">
        <v>7.1</v>
      </c>
      <c r="N1590" t="s">
        <v>3845</v>
      </c>
      <c r="O1590" t="s">
        <v>3837</v>
      </c>
    </row>
    <row r="1591" spans="1:15" x14ac:dyDescent="0.2">
      <c r="A1591">
        <v>99</v>
      </c>
      <c r="B1591" t="s">
        <v>2117</v>
      </c>
      <c r="C1591" t="s">
        <v>568</v>
      </c>
      <c r="D1591" t="s">
        <v>297</v>
      </c>
      <c r="E1591" t="s">
        <v>3838</v>
      </c>
      <c r="F1591">
        <v>0.22</v>
      </c>
      <c r="G1591">
        <v>1140</v>
      </c>
      <c r="H1591" t="s">
        <v>1152</v>
      </c>
      <c r="I1591" t="s">
        <v>153</v>
      </c>
      <c r="J1591">
        <v>250.8</v>
      </c>
      <c r="K1591">
        <v>1780.68</v>
      </c>
      <c r="L1591" t="s">
        <v>741</v>
      </c>
      <c r="M1591">
        <v>7.1</v>
      </c>
      <c r="N1591" t="s">
        <v>3839</v>
      </c>
      <c r="O1591" t="s">
        <v>3837</v>
      </c>
    </row>
    <row r="1592" spans="1:15" x14ac:dyDescent="0.2">
      <c r="A1592">
        <v>99</v>
      </c>
      <c r="B1592" t="s">
        <v>2117</v>
      </c>
      <c r="C1592" t="s">
        <v>605</v>
      </c>
      <c r="D1592" t="s">
        <v>946</v>
      </c>
      <c r="E1592" t="s">
        <v>1695</v>
      </c>
      <c r="F1592">
        <v>0.16500000000000001</v>
      </c>
      <c r="G1592">
        <v>40</v>
      </c>
      <c r="H1592" t="s">
        <v>1819</v>
      </c>
      <c r="I1592" t="s">
        <v>153</v>
      </c>
      <c r="J1592">
        <v>6.6</v>
      </c>
      <c r="K1592">
        <v>105.864</v>
      </c>
      <c r="L1592" t="s">
        <v>731</v>
      </c>
      <c r="M1592">
        <v>16.04</v>
      </c>
      <c r="N1592" t="s">
        <v>3850</v>
      </c>
      <c r="O1592" t="s">
        <v>3847</v>
      </c>
    </row>
    <row r="1593" spans="1:15" x14ac:dyDescent="0.2">
      <c r="A1593">
        <v>99</v>
      </c>
      <c r="B1593" t="s">
        <v>2117</v>
      </c>
      <c r="C1593" t="s">
        <v>605</v>
      </c>
      <c r="D1593" t="s">
        <v>890</v>
      </c>
      <c r="E1593" t="s">
        <v>3487</v>
      </c>
      <c r="F1593">
        <v>1</v>
      </c>
      <c r="G1593">
        <v>30</v>
      </c>
      <c r="H1593" t="s">
        <v>153</v>
      </c>
      <c r="I1593" t="s">
        <v>153</v>
      </c>
      <c r="J1593">
        <v>30</v>
      </c>
      <c r="K1593">
        <v>481.2</v>
      </c>
      <c r="L1593" t="s">
        <v>731</v>
      </c>
      <c r="M1593">
        <v>16.04</v>
      </c>
      <c r="N1593" t="s">
        <v>3848</v>
      </c>
      <c r="O1593" t="s">
        <v>3847</v>
      </c>
    </row>
    <row r="1594" spans="1:15" x14ac:dyDescent="0.2">
      <c r="A1594">
        <v>99</v>
      </c>
      <c r="B1594" t="s">
        <v>2117</v>
      </c>
      <c r="C1594" t="s">
        <v>605</v>
      </c>
      <c r="D1594" t="s">
        <v>1006</v>
      </c>
      <c r="E1594" t="s">
        <v>699</v>
      </c>
      <c r="F1594">
        <v>0</v>
      </c>
      <c r="G1594">
        <v>28.988</v>
      </c>
      <c r="H1594" t="s">
        <v>151</v>
      </c>
      <c r="I1594" t="s">
        <v>153</v>
      </c>
      <c r="J1594">
        <v>0</v>
      </c>
      <c r="K1594">
        <v>0</v>
      </c>
      <c r="L1594" t="s">
        <v>731</v>
      </c>
      <c r="M1594">
        <v>16.04</v>
      </c>
      <c r="N1594" t="s">
        <v>3854</v>
      </c>
      <c r="O1594" t="s">
        <v>3847</v>
      </c>
    </row>
    <row r="1595" spans="1:15" x14ac:dyDescent="0.2">
      <c r="A1595">
        <v>99</v>
      </c>
      <c r="B1595" t="s">
        <v>2117</v>
      </c>
      <c r="C1595" t="s">
        <v>605</v>
      </c>
      <c r="D1595" t="s">
        <v>498</v>
      </c>
      <c r="E1595" t="s">
        <v>773</v>
      </c>
      <c r="F1595">
        <v>1.2</v>
      </c>
      <c r="G1595">
        <v>0</v>
      </c>
      <c r="H1595" t="s">
        <v>84</v>
      </c>
      <c r="I1595" t="s">
        <v>153</v>
      </c>
      <c r="J1595">
        <v>0</v>
      </c>
      <c r="K1595">
        <v>0</v>
      </c>
      <c r="L1595" t="s">
        <v>731</v>
      </c>
      <c r="M1595">
        <v>16.04</v>
      </c>
      <c r="N1595" t="s">
        <v>3849</v>
      </c>
      <c r="O1595" t="s">
        <v>3847</v>
      </c>
    </row>
    <row r="1596" spans="1:15" x14ac:dyDescent="0.2">
      <c r="A1596">
        <v>99</v>
      </c>
      <c r="B1596" t="s">
        <v>2117</v>
      </c>
      <c r="C1596" t="s">
        <v>605</v>
      </c>
      <c r="D1596" t="s">
        <v>824</v>
      </c>
      <c r="E1596" t="s">
        <v>3418</v>
      </c>
      <c r="F1596">
        <v>0.16500000000000001</v>
      </c>
      <c r="G1596">
        <v>25</v>
      </c>
      <c r="H1596" t="s">
        <v>1152</v>
      </c>
      <c r="I1596" t="s">
        <v>153</v>
      </c>
      <c r="J1596">
        <v>4.125</v>
      </c>
      <c r="K1596">
        <v>66.165000000000006</v>
      </c>
      <c r="L1596" t="s">
        <v>731</v>
      </c>
      <c r="M1596">
        <v>16.04</v>
      </c>
      <c r="N1596" t="s">
        <v>3846</v>
      </c>
      <c r="O1596" t="s">
        <v>3847</v>
      </c>
    </row>
    <row r="1597" spans="1:15" x14ac:dyDescent="0.2">
      <c r="A1597">
        <v>99</v>
      </c>
      <c r="B1597" t="s">
        <v>2117</v>
      </c>
      <c r="C1597" t="s">
        <v>605</v>
      </c>
      <c r="D1597" t="s">
        <v>801</v>
      </c>
      <c r="E1597" t="s">
        <v>402</v>
      </c>
      <c r="F1597">
        <v>0</v>
      </c>
      <c r="G1597">
        <v>10.3</v>
      </c>
      <c r="H1597" t="s">
        <v>151</v>
      </c>
      <c r="I1597" t="s">
        <v>153</v>
      </c>
      <c r="J1597">
        <v>0</v>
      </c>
      <c r="K1597">
        <v>0</v>
      </c>
      <c r="L1597" t="s">
        <v>731</v>
      </c>
      <c r="M1597">
        <v>16.04</v>
      </c>
      <c r="N1597" t="s">
        <v>3855</v>
      </c>
      <c r="O1597" t="s">
        <v>3847</v>
      </c>
    </row>
    <row r="1598" spans="1:15" x14ac:dyDescent="0.2">
      <c r="A1598">
        <v>99</v>
      </c>
      <c r="B1598" t="s">
        <v>2117</v>
      </c>
      <c r="C1598" t="s">
        <v>605</v>
      </c>
      <c r="D1598" t="s">
        <v>853</v>
      </c>
      <c r="E1598" t="s">
        <v>980</v>
      </c>
      <c r="F1598">
        <v>1.29</v>
      </c>
      <c r="G1598">
        <v>0.9</v>
      </c>
      <c r="H1598" t="s">
        <v>1052</v>
      </c>
      <c r="I1598" t="s">
        <v>153</v>
      </c>
      <c r="J1598">
        <v>1.161</v>
      </c>
      <c r="K1598">
        <v>18.622440000000001</v>
      </c>
      <c r="L1598" t="s">
        <v>731</v>
      </c>
      <c r="M1598">
        <v>16.04</v>
      </c>
      <c r="N1598" t="s">
        <v>3851</v>
      </c>
      <c r="O1598" t="s">
        <v>3847</v>
      </c>
    </row>
    <row r="1599" spans="1:15" x14ac:dyDescent="0.2">
      <c r="A1599">
        <v>99</v>
      </c>
      <c r="B1599" t="s">
        <v>2117</v>
      </c>
      <c r="C1599" t="s">
        <v>605</v>
      </c>
      <c r="D1599" t="s">
        <v>302</v>
      </c>
      <c r="E1599" t="s">
        <v>3852</v>
      </c>
      <c r="F1599">
        <v>0.16500000000000001</v>
      </c>
      <c r="G1599">
        <v>1000</v>
      </c>
      <c r="H1599" t="s">
        <v>1152</v>
      </c>
      <c r="I1599" t="s">
        <v>153</v>
      </c>
      <c r="J1599">
        <v>165</v>
      </c>
      <c r="K1599">
        <v>2646.6</v>
      </c>
      <c r="L1599" t="s">
        <v>731</v>
      </c>
      <c r="M1599">
        <v>16.04</v>
      </c>
      <c r="N1599" t="s">
        <v>3853</v>
      </c>
      <c r="O1599" t="s">
        <v>3847</v>
      </c>
    </row>
    <row r="1600" spans="1:15" x14ac:dyDescent="0.2">
      <c r="A1600">
        <v>99</v>
      </c>
      <c r="B1600" t="s">
        <v>2117</v>
      </c>
      <c r="C1600" t="s">
        <v>618</v>
      </c>
      <c r="D1600" t="s">
        <v>853</v>
      </c>
      <c r="E1600" t="s">
        <v>980</v>
      </c>
      <c r="F1600">
        <v>1.72</v>
      </c>
      <c r="G1600">
        <v>0.9</v>
      </c>
      <c r="H1600" t="s">
        <v>1052</v>
      </c>
      <c r="I1600" t="s">
        <v>153</v>
      </c>
      <c r="J1600">
        <v>1.548</v>
      </c>
      <c r="K1600">
        <v>1583.0931599999999</v>
      </c>
      <c r="L1600" t="s">
        <v>738</v>
      </c>
      <c r="M1600">
        <v>1022.67</v>
      </c>
      <c r="N1600" t="s">
        <v>3856</v>
      </c>
      <c r="O1600" t="s">
        <v>3857</v>
      </c>
    </row>
    <row r="1601" spans="1:15" x14ac:dyDescent="0.2">
      <c r="A1601">
        <v>99</v>
      </c>
      <c r="B1601" t="s">
        <v>2117</v>
      </c>
      <c r="C1601" t="s">
        <v>618</v>
      </c>
      <c r="D1601" t="s">
        <v>991</v>
      </c>
      <c r="E1601" t="s">
        <v>3508</v>
      </c>
      <c r="F1601">
        <v>1</v>
      </c>
      <c r="G1601">
        <v>30</v>
      </c>
      <c r="H1601" t="s">
        <v>153</v>
      </c>
      <c r="I1601" t="s">
        <v>153</v>
      </c>
      <c r="J1601">
        <v>30</v>
      </c>
      <c r="K1601">
        <v>30680.1</v>
      </c>
      <c r="L1601" t="s">
        <v>738</v>
      </c>
      <c r="M1601">
        <v>1022.67</v>
      </c>
      <c r="N1601" t="s">
        <v>3863</v>
      </c>
      <c r="O1601" t="s">
        <v>3857</v>
      </c>
    </row>
    <row r="1602" spans="1:15" x14ac:dyDescent="0.2">
      <c r="A1602">
        <v>99</v>
      </c>
      <c r="B1602" t="s">
        <v>2117</v>
      </c>
      <c r="C1602" t="s">
        <v>618</v>
      </c>
      <c r="D1602" t="s">
        <v>801</v>
      </c>
      <c r="E1602" t="s">
        <v>402</v>
      </c>
      <c r="F1602">
        <v>0</v>
      </c>
      <c r="G1602">
        <v>10.3</v>
      </c>
      <c r="H1602" t="s">
        <v>151</v>
      </c>
      <c r="I1602" t="s">
        <v>153</v>
      </c>
      <c r="J1602">
        <v>0</v>
      </c>
      <c r="K1602">
        <v>0</v>
      </c>
      <c r="L1602" t="s">
        <v>738</v>
      </c>
      <c r="M1602">
        <v>1022.67</v>
      </c>
      <c r="N1602" t="s">
        <v>3861</v>
      </c>
      <c r="O1602" t="s">
        <v>3857</v>
      </c>
    </row>
    <row r="1603" spans="1:15" x14ac:dyDescent="0.2">
      <c r="A1603">
        <v>99</v>
      </c>
      <c r="B1603" t="s">
        <v>2117</v>
      </c>
      <c r="C1603" t="s">
        <v>618</v>
      </c>
      <c r="D1603" t="s">
        <v>824</v>
      </c>
      <c r="E1603" t="s">
        <v>3418</v>
      </c>
      <c r="F1603">
        <v>0.22</v>
      </c>
      <c r="G1603">
        <v>25</v>
      </c>
      <c r="H1603" t="s">
        <v>1152</v>
      </c>
      <c r="I1603" t="s">
        <v>153</v>
      </c>
      <c r="J1603">
        <v>5.5</v>
      </c>
      <c r="K1603">
        <v>5624.6850000000004</v>
      </c>
      <c r="L1603" t="s">
        <v>738</v>
      </c>
      <c r="M1603">
        <v>1022.67</v>
      </c>
      <c r="N1603" t="s">
        <v>3862</v>
      </c>
      <c r="O1603" t="s">
        <v>3857</v>
      </c>
    </row>
    <row r="1604" spans="1:15" x14ac:dyDescent="0.2">
      <c r="A1604">
        <v>99</v>
      </c>
      <c r="B1604" t="s">
        <v>2117</v>
      </c>
      <c r="C1604" t="s">
        <v>618</v>
      </c>
      <c r="D1604" t="s">
        <v>498</v>
      </c>
      <c r="E1604" t="s">
        <v>773</v>
      </c>
      <c r="F1604">
        <v>1.2</v>
      </c>
      <c r="G1604">
        <v>0</v>
      </c>
      <c r="H1604" t="s">
        <v>84</v>
      </c>
      <c r="I1604" t="s">
        <v>153</v>
      </c>
      <c r="J1604">
        <v>0</v>
      </c>
      <c r="K1604">
        <v>0</v>
      </c>
      <c r="L1604" t="s">
        <v>738</v>
      </c>
      <c r="M1604">
        <v>1022.67</v>
      </c>
      <c r="N1604" t="s">
        <v>3864</v>
      </c>
      <c r="O1604" t="s">
        <v>3857</v>
      </c>
    </row>
    <row r="1605" spans="1:15" x14ac:dyDescent="0.2">
      <c r="A1605">
        <v>99</v>
      </c>
      <c r="B1605" t="s">
        <v>2117</v>
      </c>
      <c r="C1605" t="s">
        <v>618</v>
      </c>
      <c r="D1605" t="s">
        <v>1006</v>
      </c>
      <c r="E1605" t="s">
        <v>699</v>
      </c>
      <c r="F1605">
        <v>0</v>
      </c>
      <c r="G1605">
        <v>28.988</v>
      </c>
      <c r="H1605" t="s">
        <v>151</v>
      </c>
      <c r="I1605" t="s">
        <v>153</v>
      </c>
      <c r="J1605">
        <v>0</v>
      </c>
      <c r="K1605">
        <v>0</v>
      </c>
      <c r="L1605" t="s">
        <v>738</v>
      </c>
      <c r="M1605">
        <v>1022.67</v>
      </c>
      <c r="N1605" t="s">
        <v>3860</v>
      </c>
      <c r="O1605" t="s">
        <v>3857</v>
      </c>
    </row>
    <row r="1606" spans="1:15" x14ac:dyDescent="0.2">
      <c r="A1606">
        <v>99</v>
      </c>
      <c r="B1606" t="s">
        <v>2117</v>
      </c>
      <c r="C1606" t="s">
        <v>618</v>
      </c>
      <c r="D1606" t="s">
        <v>946</v>
      </c>
      <c r="E1606" t="s">
        <v>1695</v>
      </c>
      <c r="F1606">
        <v>0.22</v>
      </c>
      <c r="G1606">
        <v>40</v>
      </c>
      <c r="H1606" t="s">
        <v>1819</v>
      </c>
      <c r="I1606" t="s">
        <v>153</v>
      </c>
      <c r="J1606">
        <v>8.8000000000000007</v>
      </c>
      <c r="K1606">
        <v>8999.4959999999992</v>
      </c>
      <c r="L1606" t="s">
        <v>738</v>
      </c>
      <c r="M1606">
        <v>1022.67</v>
      </c>
      <c r="N1606" t="s">
        <v>3865</v>
      </c>
      <c r="O1606" t="s">
        <v>3857</v>
      </c>
    </row>
    <row r="1607" spans="1:15" x14ac:dyDescent="0.2">
      <c r="A1607">
        <v>99</v>
      </c>
      <c r="B1607" t="s">
        <v>2117</v>
      </c>
      <c r="C1607" t="s">
        <v>618</v>
      </c>
      <c r="D1607" t="s">
        <v>310</v>
      </c>
      <c r="E1607" t="s">
        <v>3858</v>
      </c>
      <c r="F1607">
        <v>0.22</v>
      </c>
      <c r="G1607">
        <v>680</v>
      </c>
      <c r="H1607" t="s">
        <v>1152</v>
      </c>
      <c r="I1607" t="s">
        <v>153</v>
      </c>
      <c r="J1607">
        <v>149.6</v>
      </c>
      <c r="K1607">
        <v>152991.432</v>
      </c>
      <c r="L1607" t="s">
        <v>738</v>
      </c>
      <c r="M1607">
        <v>1022.67</v>
      </c>
      <c r="N1607" t="s">
        <v>3859</v>
      </c>
      <c r="O1607" t="s">
        <v>3857</v>
      </c>
    </row>
    <row r="1608" spans="1:15" x14ac:dyDescent="0.2">
      <c r="A1608">
        <v>99</v>
      </c>
      <c r="B1608" t="s">
        <v>2117</v>
      </c>
      <c r="C1608" t="s">
        <v>620</v>
      </c>
      <c r="D1608" t="s">
        <v>946</v>
      </c>
      <c r="E1608" t="s">
        <v>1695</v>
      </c>
      <c r="F1608">
        <v>0.22</v>
      </c>
      <c r="G1608">
        <v>40</v>
      </c>
      <c r="H1608" t="s">
        <v>1819</v>
      </c>
      <c r="I1608" t="s">
        <v>153</v>
      </c>
      <c r="J1608">
        <v>8.8000000000000007</v>
      </c>
      <c r="K1608">
        <v>1699.808</v>
      </c>
      <c r="L1608" t="s">
        <v>729</v>
      </c>
      <c r="M1608">
        <v>193.16</v>
      </c>
      <c r="N1608" t="s">
        <v>3875</v>
      </c>
      <c r="O1608" t="s">
        <v>3867</v>
      </c>
    </row>
    <row r="1609" spans="1:15" x14ac:dyDescent="0.2">
      <c r="A1609">
        <v>99</v>
      </c>
      <c r="B1609" t="s">
        <v>2117</v>
      </c>
      <c r="C1609" t="s">
        <v>620</v>
      </c>
      <c r="D1609" t="s">
        <v>890</v>
      </c>
      <c r="E1609" t="s">
        <v>3487</v>
      </c>
      <c r="F1609">
        <v>1</v>
      </c>
      <c r="G1609">
        <v>30</v>
      </c>
      <c r="H1609" t="s">
        <v>153</v>
      </c>
      <c r="I1609" t="s">
        <v>153</v>
      </c>
      <c r="J1609">
        <v>30</v>
      </c>
      <c r="K1609">
        <v>5794.8</v>
      </c>
      <c r="L1609" t="s">
        <v>729</v>
      </c>
      <c r="M1609">
        <v>193.16</v>
      </c>
      <c r="N1609" t="s">
        <v>3873</v>
      </c>
      <c r="O1609" t="s">
        <v>3867</v>
      </c>
    </row>
    <row r="1610" spans="1:15" x14ac:dyDescent="0.2">
      <c r="A1610">
        <v>99</v>
      </c>
      <c r="B1610" t="s">
        <v>2117</v>
      </c>
      <c r="C1610" t="s">
        <v>620</v>
      </c>
      <c r="D1610" t="s">
        <v>308</v>
      </c>
      <c r="E1610" t="s">
        <v>3868</v>
      </c>
      <c r="F1610">
        <v>0.22</v>
      </c>
      <c r="G1610">
        <v>680</v>
      </c>
      <c r="H1610" t="s">
        <v>1152</v>
      </c>
      <c r="I1610" t="s">
        <v>153</v>
      </c>
      <c r="J1610">
        <v>149.6</v>
      </c>
      <c r="K1610">
        <v>28896.736000000001</v>
      </c>
      <c r="L1610" t="s">
        <v>729</v>
      </c>
      <c r="M1610">
        <v>193.16</v>
      </c>
      <c r="N1610" t="s">
        <v>3869</v>
      </c>
      <c r="O1610" t="s">
        <v>3867</v>
      </c>
    </row>
    <row r="1611" spans="1:15" x14ac:dyDescent="0.2">
      <c r="A1611">
        <v>99</v>
      </c>
      <c r="B1611" t="s">
        <v>2117</v>
      </c>
      <c r="C1611" t="s">
        <v>620</v>
      </c>
      <c r="D1611" t="s">
        <v>1006</v>
      </c>
      <c r="E1611" t="s">
        <v>699</v>
      </c>
      <c r="F1611">
        <v>0</v>
      </c>
      <c r="G1611">
        <v>28.988</v>
      </c>
      <c r="H1611" t="s">
        <v>151</v>
      </c>
      <c r="I1611" t="s">
        <v>153</v>
      </c>
      <c r="J1611">
        <v>0</v>
      </c>
      <c r="K1611">
        <v>0</v>
      </c>
      <c r="L1611" t="s">
        <v>729</v>
      </c>
      <c r="M1611">
        <v>193.16</v>
      </c>
      <c r="N1611" t="s">
        <v>3870</v>
      </c>
      <c r="O1611" t="s">
        <v>3867</v>
      </c>
    </row>
    <row r="1612" spans="1:15" x14ac:dyDescent="0.2">
      <c r="A1612">
        <v>99</v>
      </c>
      <c r="B1612" t="s">
        <v>2117</v>
      </c>
      <c r="C1612" t="s">
        <v>620</v>
      </c>
      <c r="D1612" t="s">
        <v>498</v>
      </c>
      <c r="E1612" t="s">
        <v>773</v>
      </c>
      <c r="F1612">
        <v>1.2</v>
      </c>
      <c r="G1612">
        <v>0</v>
      </c>
      <c r="H1612" t="s">
        <v>84</v>
      </c>
      <c r="I1612" t="s">
        <v>153</v>
      </c>
      <c r="J1612">
        <v>0</v>
      </c>
      <c r="K1612">
        <v>0</v>
      </c>
      <c r="L1612" t="s">
        <v>729</v>
      </c>
      <c r="M1612">
        <v>193.16</v>
      </c>
      <c r="N1612" t="s">
        <v>3874</v>
      </c>
      <c r="O1612" t="s">
        <v>3867</v>
      </c>
    </row>
    <row r="1613" spans="1:15" x14ac:dyDescent="0.2">
      <c r="A1613">
        <v>99</v>
      </c>
      <c r="B1613" t="s">
        <v>2117</v>
      </c>
      <c r="C1613" t="s">
        <v>620</v>
      </c>
      <c r="D1613" t="s">
        <v>824</v>
      </c>
      <c r="E1613" t="s">
        <v>3418</v>
      </c>
      <c r="F1613">
        <v>0.22</v>
      </c>
      <c r="G1613">
        <v>25</v>
      </c>
      <c r="H1613" t="s">
        <v>1152</v>
      </c>
      <c r="I1613" t="s">
        <v>153</v>
      </c>
      <c r="J1613">
        <v>5.5</v>
      </c>
      <c r="K1613">
        <v>1062.3800000000001</v>
      </c>
      <c r="L1613" t="s">
        <v>729</v>
      </c>
      <c r="M1613">
        <v>193.16</v>
      </c>
      <c r="N1613" t="s">
        <v>3872</v>
      </c>
      <c r="O1613" t="s">
        <v>3867</v>
      </c>
    </row>
    <row r="1614" spans="1:15" x14ac:dyDescent="0.2">
      <c r="A1614">
        <v>99</v>
      </c>
      <c r="B1614" t="s">
        <v>2117</v>
      </c>
      <c r="C1614" t="s">
        <v>620</v>
      </c>
      <c r="D1614" t="s">
        <v>801</v>
      </c>
      <c r="E1614" t="s">
        <v>402</v>
      </c>
      <c r="F1614">
        <v>0</v>
      </c>
      <c r="G1614">
        <v>10.3</v>
      </c>
      <c r="H1614" t="s">
        <v>151</v>
      </c>
      <c r="I1614" t="s">
        <v>153</v>
      </c>
      <c r="J1614">
        <v>0</v>
      </c>
      <c r="K1614">
        <v>0</v>
      </c>
      <c r="L1614" t="s">
        <v>729</v>
      </c>
      <c r="M1614">
        <v>193.16</v>
      </c>
      <c r="N1614" t="s">
        <v>3871</v>
      </c>
      <c r="O1614" t="s">
        <v>3867</v>
      </c>
    </row>
    <row r="1615" spans="1:15" x14ac:dyDescent="0.2">
      <c r="A1615">
        <v>99</v>
      </c>
      <c r="B1615" t="s">
        <v>2117</v>
      </c>
      <c r="C1615" t="s">
        <v>620</v>
      </c>
      <c r="D1615" t="s">
        <v>853</v>
      </c>
      <c r="E1615" t="s">
        <v>980</v>
      </c>
      <c r="F1615">
        <v>1.72</v>
      </c>
      <c r="G1615">
        <v>0.9</v>
      </c>
      <c r="H1615" t="s">
        <v>1052</v>
      </c>
      <c r="I1615" t="s">
        <v>153</v>
      </c>
      <c r="J1615">
        <v>1.548</v>
      </c>
      <c r="K1615">
        <v>299.01168000000001</v>
      </c>
      <c r="L1615" t="s">
        <v>729</v>
      </c>
      <c r="M1615">
        <v>193.16</v>
      </c>
      <c r="N1615" t="s">
        <v>3866</v>
      </c>
      <c r="O1615" t="s">
        <v>3867</v>
      </c>
    </row>
    <row r="1616" spans="1:15" x14ac:dyDescent="0.2">
      <c r="A1616">
        <v>99</v>
      </c>
      <c r="B1616" t="s">
        <v>2117</v>
      </c>
      <c r="C1616" t="s">
        <v>5139</v>
      </c>
      <c r="D1616" t="s">
        <v>853</v>
      </c>
      <c r="E1616" t="s">
        <v>980</v>
      </c>
      <c r="F1616">
        <v>1.72</v>
      </c>
      <c r="G1616">
        <v>0.9</v>
      </c>
      <c r="H1616" t="s">
        <v>1052</v>
      </c>
      <c r="I1616" t="s">
        <v>153</v>
      </c>
      <c r="J1616">
        <v>1.548</v>
      </c>
      <c r="K1616">
        <v>1.548</v>
      </c>
      <c r="L1616" t="s">
        <v>734</v>
      </c>
      <c r="M1616">
        <v>1</v>
      </c>
      <c r="N1616" t="s">
        <v>5140</v>
      </c>
      <c r="O1616" t="s">
        <v>5141</v>
      </c>
    </row>
    <row r="1617" spans="1:15" x14ac:dyDescent="0.2">
      <c r="A1617">
        <v>99</v>
      </c>
      <c r="B1617" t="s">
        <v>2117</v>
      </c>
      <c r="C1617" t="s">
        <v>5139</v>
      </c>
      <c r="D1617" t="s">
        <v>801</v>
      </c>
      <c r="E1617" t="s">
        <v>402</v>
      </c>
      <c r="F1617">
        <v>0</v>
      </c>
      <c r="G1617">
        <v>10.3</v>
      </c>
      <c r="H1617" t="s">
        <v>151</v>
      </c>
      <c r="I1617" t="s">
        <v>153</v>
      </c>
      <c r="J1617">
        <v>0</v>
      </c>
      <c r="K1617">
        <v>0</v>
      </c>
      <c r="L1617" t="s">
        <v>734</v>
      </c>
      <c r="M1617">
        <v>1</v>
      </c>
      <c r="N1617" t="s">
        <v>5142</v>
      </c>
      <c r="O1617" t="s">
        <v>5141</v>
      </c>
    </row>
    <row r="1618" spans="1:15" x14ac:dyDescent="0.2">
      <c r="A1618">
        <v>99</v>
      </c>
      <c r="B1618" t="s">
        <v>2117</v>
      </c>
      <c r="C1618" t="s">
        <v>5139</v>
      </c>
      <c r="D1618" t="s">
        <v>824</v>
      </c>
      <c r="E1618" t="s">
        <v>3418</v>
      </c>
      <c r="F1618">
        <v>0.22</v>
      </c>
      <c r="G1618">
        <v>25</v>
      </c>
      <c r="H1618" t="s">
        <v>1152</v>
      </c>
      <c r="I1618" t="s">
        <v>153</v>
      </c>
      <c r="J1618">
        <v>5.5</v>
      </c>
      <c r="K1618">
        <v>5.5</v>
      </c>
      <c r="L1618" t="s">
        <v>734</v>
      </c>
      <c r="M1618">
        <v>1</v>
      </c>
      <c r="N1618" t="s">
        <v>5143</v>
      </c>
      <c r="O1618" t="s">
        <v>5141</v>
      </c>
    </row>
    <row r="1619" spans="1:15" x14ac:dyDescent="0.2">
      <c r="A1619">
        <v>99</v>
      </c>
      <c r="B1619" t="s">
        <v>2117</v>
      </c>
      <c r="C1619" t="s">
        <v>5139</v>
      </c>
      <c r="D1619" t="s">
        <v>498</v>
      </c>
      <c r="E1619" t="s">
        <v>773</v>
      </c>
      <c r="F1619">
        <v>1.2</v>
      </c>
      <c r="G1619">
        <v>0</v>
      </c>
      <c r="H1619" t="s">
        <v>84</v>
      </c>
      <c r="I1619" t="s">
        <v>153</v>
      </c>
      <c r="J1619">
        <v>0</v>
      </c>
      <c r="K1619">
        <v>0</v>
      </c>
      <c r="L1619" t="s">
        <v>734</v>
      </c>
      <c r="M1619">
        <v>1</v>
      </c>
      <c r="N1619" t="s">
        <v>5144</v>
      </c>
      <c r="O1619" t="s">
        <v>5141</v>
      </c>
    </row>
    <row r="1620" spans="1:15" x14ac:dyDescent="0.2">
      <c r="A1620">
        <v>99</v>
      </c>
      <c r="B1620" t="s">
        <v>2117</v>
      </c>
      <c r="C1620" t="s">
        <v>5139</v>
      </c>
      <c r="D1620" t="s">
        <v>1006</v>
      </c>
      <c r="E1620" t="s">
        <v>699</v>
      </c>
      <c r="F1620">
        <v>0</v>
      </c>
      <c r="G1620">
        <v>28.988</v>
      </c>
      <c r="H1620" t="s">
        <v>151</v>
      </c>
      <c r="I1620" t="s">
        <v>153</v>
      </c>
      <c r="J1620">
        <v>0</v>
      </c>
      <c r="K1620">
        <v>0</v>
      </c>
      <c r="L1620" t="s">
        <v>734</v>
      </c>
      <c r="M1620">
        <v>1</v>
      </c>
      <c r="N1620" t="s">
        <v>5145</v>
      </c>
      <c r="O1620" t="s">
        <v>5141</v>
      </c>
    </row>
    <row r="1621" spans="1:15" x14ac:dyDescent="0.2">
      <c r="A1621">
        <v>99</v>
      </c>
      <c r="B1621" t="s">
        <v>2117</v>
      </c>
      <c r="C1621" t="s">
        <v>5139</v>
      </c>
      <c r="D1621" t="s">
        <v>890</v>
      </c>
      <c r="E1621" t="s">
        <v>3487</v>
      </c>
      <c r="F1621">
        <v>1</v>
      </c>
      <c r="G1621">
        <v>30</v>
      </c>
      <c r="H1621" t="s">
        <v>153</v>
      </c>
      <c r="I1621" t="s">
        <v>153</v>
      </c>
      <c r="J1621">
        <v>30</v>
      </c>
      <c r="K1621">
        <v>30</v>
      </c>
      <c r="L1621" t="s">
        <v>734</v>
      </c>
      <c r="M1621">
        <v>1</v>
      </c>
      <c r="N1621" t="s">
        <v>5146</v>
      </c>
      <c r="O1621" t="s">
        <v>5141</v>
      </c>
    </row>
    <row r="1622" spans="1:15" x14ac:dyDescent="0.2">
      <c r="A1622">
        <v>99</v>
      </c>
      <c r="B1622" t="s">
        <v>2117</v>
      </c>
      <c r="C1622" t="s">
        <v>5139</v>
      </c>
      <c r="D1622" t="s">
        <v>5147</v>
      </c>
      <c r="E1622" t="s">
        <v>5148</v>
      </c>
      <c r="F1622">
        <v>0.22</v>
      </c>
      <c r="G1622">
        <v>1140</v>
      </c>
      <c r="H1622" t="s">
        <v>1152</v>
      </c>
      <c r="I1622" t="s">
        <v>153</v>
      </c>
      <c r="J1622">
        <v>250.8</v>
      </c>
      <c r="K1622">
        <v>250.8</v>
      </c>
      <c r="L1622" t="s">
        <v>734</v>
      </c>
      <c r="M1622">
        <v>1</v>
      </c>
      <c r="N1622" t="s">
        <v>5149</v>
      </c>
      <c r="O1622" t="s">
        <v>5141</v>
      </c>
    </row>
    <row r="1623" spans="1:15" x14ac:dyDescent="0.2">
      <c r="A1623">
        <v>99</v>
      </c>
      <c r="B1623" t="s">
        <v>2117</v>
      </c>
      <c r="C1623" t="s">
        <v>5139</v>
      </c>
      <c r="D1623" t="s">
        <v>946</v>
      </c>
      <c r="E1623" t="s">
        <v>1695</v>
      </c>
      <c r="F1623">
        <v>0.22</v>
      </c>
      <c r="G1623">
        <v>40</v>
      </c>
      <c r="H1623" t="s">
        <v>1819</v>
      </c>
      <c r="I1623" t="s">
        <v>153</v>
      </c>
      <c r="J1623">
        <v>8.8000000000000007</v>
      </c>
      <c r="K1623">
        <v>8.8000000000000007</v>
      </c>
      <c r="L1623" t="s">
        <v>734</v>
      </c>
      <c r="M1623">
        <v>1</v>
      </c>
      <c r="N1623" t="s">
        <v>5150</v>
      </c>
      <c r="O1623" t="s">
        <v>5141</v>
      </c>
    </row>
    <row r="1624" spans="1:15" x14ac:dyDescent="0.2">
      <c r="A1624">
        <v>99</v>
      </c>
      <c r="B1624" t="s">
        <v>2117</v>
      </c>
      <c r="C1624" t="s">
        <v>236</v>
      </c>
      <c r="D1624" t="s">
        <v>946</v>
      </c>
      <c r="E1624" t="s">
        <v>1695</v>
      </c>
      <c r="F1624">
        <v>1.05</v>
      </c>
      <c r="G1624">
        <v>40</v>
      </c>
      <c r="H1624" t="s">
        <v>1819</v>
      </c>
      <c r="I1624" t="s">
        <v>1152</v>
      </c>
      <c r="J1624">
        <v>42</v>
      </c>
      <c r="K1624">
        <v>2958.06</v>
      </c>
      <c r="L1624" t="s">
        <v>841</v>
      </c>
      <c r="M1624">
        <v>70.430000000000007</v>
      </c>
      <c r="N1624" t="s">
        <v>3881</v>
      </c>
      <c r="O1624" t="s">
        <v>3877</v>
      </c>
    </row>
    <row r="1625" spans="1:15" x14ac:dyDescent="0.2">
      <c r="A1625">
        <v>99</v>
      </c>
      <c r="B1625" t="s">
        <v>2117</v>
      </c>
      <c r="C1625" t="s">
        <v>236</v>
      </c>
      <c r="D1625" t="s">
        <v>1971</v>
      </c>
      <c r="E1625" t="s">
        <v>1147</v>
      </c>
      <c r="F1625">
        <v>0</v>
      </c>
      <c r="G1625">
        <v>28.81</v>
      </c>
      <c r="H1625" t="s">
        <v>742</v>
      </c>
      <c r="I1625" t="s">
        <v>1152</v>
      </c>
      <c r="J1625">
        <v>0</v>
      </c>
      <c r="K1625">
        <v>0</v>
      </c>
      <c r="L1625" t="s">
        <v>841</v>
      </c>
      <c r="M1625">
        <v>70.430000000000007</v>
      </c>
      <c r="N1625" t="s">
        <v>3880</v>
      </c>
      <c r="O1625" t="s">
        <v>3877</v>
      </c>
    </row>
    <row r="1626" spans="1:15" x14ac:dyDescent="0.2">
      <c r="A1626">
        <v>99</v>
      </c>
      <c r="B1626" t="s">
        <v>2117</v>
      </c>
      <c r="C1626" t="s">
        <v>236</v>
      </c>
      <c r="D1626" t="s">
        <v>628</v>
      </c>
      <c r="E1626" t="s">
        <v>821</v>
      </c>
      <c r="F1626">
        <v>0.53</v>
      </c>
      <c r="G1626">
        <v>67.319999999999993</v>
      </c>
      <c r="H1626" t="s">
        <v>1052</v>
      </c>
      <c r="I1626" t="s">
        <v>1152</v>
      </c>
      <c r="J1626">
        <v>35.679600000000001</v>
      </c>
      <c r="K1626">
        <v>2512.9142280000001</v>
      </c>
      <c r="L1626" t="s">
        <v>841</v>
      </c>
      <c r="M1626">
        <v>70.430000000000007</v>
      </c>
      <c r="N1626" t="s">
        <v>3884</v>
      </c>
      <c r="O1626" t="s">
        <v>3877</v>
      </c>
    </row>
    <row r="1627" spans="1:15" x14ac:dyDescent="0.2">
      <c r="A1627">
        <v>99</v>
      </c>
      <c r="B1627" t="s">
        <v>2117</v>
      </c>
      <c r="C1627" t="s">
        <v>236</v>
      </c>
      <c r="D1627" t="s">
        <v>1006</v>
      </c>
      <c r="E1627" t="s">
        <v>699</v>
      </c>
      <c r="F1627">
        <v>0</v>
      </c>
      <c r="G1627">
        <v>28.988</v>
      </c>
      <c r="H1627" t="s">
        <v>151</v>
      </c>
      <c r="I1627" t="s">
        <v>1152</v>
      </c>
      <c r="J1627">
        <v>0</v>
      </c>
      <c r="K1627">
        <v>0</v>
      </c>
      <c r="L1627" t="s">
        <v>841</v>
      </c>
      <c r="M1627">
        <v>70.430000000000007</v>
      </c>
      <c r="N1627" t="s">
        <v>3885</v>
      </c>
      <c r="O1627" t="s">
        <v>3877</v>
      </c>
    </row>
    <row r="1628" spans="1:15" x14ac:dyDescent="0.2">
      <c r="A1628">
        <v>99</v>
      </c>
      <c r="B1628" t="s">
        <v>2117</v>
      </c>
      <c r="C1628" t="s">
        <v>236</v>
      </c>
      <c r="D1628" t="s">
        <v>498</v>
      </c>
      <c r="E1628" t="s">
        <v>773</v>
      </c>
      <c r="F1628">
        <v>1.2</v>
      </c>
      <c r="G1628">
        <v>0</v>
      </c>
      <c r="H1628" t="s">
        <v>84</v>
      </c>
      <c r="I1628" t="s">
        <v>1152</v>
      </c>
      <c r="J1628">
        <v>0</v>
      </c>
      <c r="K1628">
        <v>0</v>
      </c>
      <c r="L1628" t="s">
        <v>841</v>
      </c>
      <c r="M1628">
        <v>70.430000000000007</v>
      </c>
      <c r="N1628" t="s">
        <v>3878</v>
      </c>
      <c r="O1628" t="s">
        <v>3877</v>
      </c>
    </row>
    <row r="1629" spans="1:15" x14ac:dyDescent="0.2">
      <c r="A1629">
        <v>99</v>
      </c>
      <c r="B1629" t="s">
        <v>2117</v>
      </c>
      <c r="C1629" t="s">
        <v>236</v>
      </c>
      <c r="D1629" t="s">
        <v>824</v>
      </c>
      <c r="E1629" t="s">
        <v>3418</v>
      </c>
      <c r="F1629">
        <v>1.05</v>
      </c>
      <c r="G1629">
        <v>25</v>
      </c>
      <c r="H1629" t="s">
        <v>1152</v>
      </c>
      <c r="I1629" t="s">
        <v>1152</v>
      </c>
      <c r="J1629">
        <v>26.25</v>
      </c>
      <c r="K1629">
        <v>1848.7874999999999</v>
      </c>
      <c r="L1629" t="s">
        <v>841</v>
      </c>
      <c r="M1629">
        <v>70.430000000000007</v>
      </c>
      <c r="N1629" t="s">
        <v>3887</v>
      </c>
      <c r="O1629" t="s">
        <v>3877</v>
      </c>
    </row>
    <row r="1630" spans="1:15" x14ac:dyDescent="0.2">
      <c r="A1630">
        <v>99</v>
      </c>
      <c r="B1630" t="s">
        <v>2117</v>
      </c>
      <c r="C1630" t="s">
        <v>236</v>
      </c>
      <c r="D1630" t="s">
        <v>1970</v>
      </c>
      <c r="E1630" t="s">
        <v>1166</v>
      </c>
      <c r="F1630">
        <v>0</v>
      </c>
      <c r="G1630">
        <v>30.29</v>
      </c>
      <c r="H1630" t="s">
        <v>764</v>
      </c>
      <c r="I1630" t="s">
        <v>1152</v>
      </c>
      <c r="J1630">
        <v>0</v>
      </c>
      <c r="K1630">
        <v>0</v>
      </c>
      <c r="L1630" t="s">
        <v>841</v>
      </c>
      <c r="M1630">
        <v>70.430000000000007</v>
      </c>
      <c r="N1630" t="s">
        <v>3879</v>
      </c>
      <c r="O1630" t="s">
        <v>3877</v>
      </c>
    </row>
    <row r="1631" spans="1:15" x14ac:dyDescent="0.2">
      <c r="A1631">
        <v>99</v>
      </c>
      <c r="B1631" t="s">
        <v>2117</v>
      </c>
      <c r="C1631" t="s">
        <v>236</v>
      </c>
      <c r="D1631" t="s">
        <v>801</v>
      </c>
      <c r="E1631" t="s">
        <v>402</v>
      </c>
      <c r="F1631">
        <v>0</v>
      </c>
      <c r="G1631">
        <v>10.3</v>
      </c>
      <c r="H1631" t="s">
        <v>151</v>
      </c>
      <c r="I1631" t="s">
        <v>1152</v>
      </c>
      <c r="J1631">
        <v>0</v>
      </c>
      <c r="K1631">
        <v>0</v>
      </c>
      <c r="L1631" t="s">
        <v>841</v>
      </c>
      <c r="M1631">
        <v>70.430000000000007</v>
      </c>
      <c r="N1631" t="s">
        <v>3886</v>
      </c>
      <c r="O1631" t="s">
        <v>3877</v>
      </c>
    </row>
    <row r="1632" spans="1:15" x14ac:dyDescent="0.2">
      <c r="A1632">
        <v>99</v>
      </c>
      <c r="B1632" t="s">
        <v>2117</v>
      </c>
      <c r="C1632" t="s">
        <v>236</v>
      </c>
      <c r="D1632" t="s">
        <v>853</v>
      </c>
      <c r="E1632" t="s">
        <v>980</v>
      </c>
      <c r="F1632">
        <v>0.97</v>
      </c>
      <c r="G1632">
        <v>0.9</v>
      </c>
      <c r="H1632" t="s">
        <v>1052</v>
      </c>
      <c r="I1632" t="s">
        <v>1152</v>
      </c>
      <c r="J1632">
        <v>0.873</v>
      </c>
      <c r="K1632">
        <v>61.485390000000002</v>
      </c>
      <c r="L1632" t="s">
        <v>841</v>
      </c>
      <c r="M1632">
        <v>70.430000000000007</v>
      </c>
      <c r="N1632" t="s">
        <v>3876</v>
      </c>
      <c r="O1632" t="s">
        <v>3877</v>
      </c>
    </row>
    <row r="1633" spans="1:15" x14ac:dyDescent="0.2">
      <c r="A1633">
        <v>99</v>
      </c>
      <c r="B1633" t="s">
        <v>2117</v>
      </c>
      <c r="C1633" t="s">
        <v>236</v>
      </c>
      <c r="D1633" t="s">
        <v>900</v>
      </c>
      <c r="E1633" t="s">
        <v>3888</v>
      </c>
      <c r="F1633">
        <v>1</v>
      </c>
      <c r="G1633">
        <v>30</v>
      </c>
      <c r="H1633" t="s">
        <v>153</v>
      </c>
      <c r="I1633" t="s">
        <v>1152</v>
      </c>
      <c r="J1633">
        <v>30</v>
      </c>
      <c r="K1633">
        <v>2112.9</v>
      </c>
      <c r="L1633" t="s">
        <v>841</v>
      </c>
      <c r="M1633">
        <v>70.430000000000007</v>
      </c>
      <c r="N1633" t="s">
        <v>3889</v>
      </c>
      <c r="O1633" t="s">
        <v>3877</v>
      </c>
    </row>
    <row r="1634" spans="1:15" x14ac:dyDescent="0.2">
      <c r="A1634">
        <v>99</v>
      </c>
      <c r="B1634" t="s">
        <v>2117</v>
      </c>
      <c r="C1634" t="s">
        <v>236</v>
      </c>
      <c r="D1634" t="s">
        <v>1598</v>
      </c>
      <c r="E1634" t="s">
        <v>3882</v>
      </c>
      <c r="F1634">
        <v>1.05</v>
      </c>
      <c r="G1634">
        <v>345</v>
      </c>
      <c r="H1634" t="s">
        <v>1152</v>
      </c>
      <c r="I1634" t="s">
        <v>1152</v>
      </c>
      <c r="J1634">
        <v>362.25</v>
      </c>
      <c r="K1634">
        <v>25513.267500000002</v>
      </c>
      <c r="L1634" t="s">
        <v>841</v>
      </c>
      <c r="M1634">
        <v>70.430000000000007</v>
      </c>
      <c r="N1634" t="s">
        <v>3883</v>
      </c>
      <c r="O1634" t="s">
        <v>3877</v>
      </c>
    </row>
    <row r="1635" spans="1:15" x14ac:dyDescent="0.2">
      <c r="A1635">
        <v>99</v>
      </c>
      <c r="B1635" t="s">
        <v>2117</v>
      </c>
      <c r="C1635" t="s">
        <v>5151</v>
      </c>
      <c r="D1635" t="s">
        <v>900</v>
      </c>
      <c r="E1635" t="s">
        <v>3888</v>
      </c>
      <c r="F1635">
        <v>1</v>
      </c>
      <c r="G1635">
        <v>30</v>
      </c>
      <c r="H1635" t="s">
        <v>153</v>
      </c>
      <c r="I1635" t="s">
        <v>1152</v>
      </c>
      <c r="J1635">
        <v>30</v>
      </c>
      <c r="K1635">
        <v>4828.5</v>
      </c>
      <c r="L1635" t="s">
        <v>837</v>
      </c>
      <c r="M1635">
        <v>160.94999999999999</v>
      </c>
      <c r="N1635" t="s">
        <v>5152</v>
      </c>
      <c r="O1635" t="s">
        <v>5153</v>
      </c>
    </row>
    <row r="1636" spans="1:15" x14ac:dyDescent="0.2">
      <c r="A1636">
        <v>99</v>
      </c>
      <c r="B1636" t="s">
        <v>2117</v>
      </c>
      <c r="C1636" t="s">
        <v>5151</v>
      </c>
      <c r="D1636" t="s">
        <v>853</v>
      </c>
      <c r="E1636" t="s">
        <v>980</v>
      </c>
      <c r="F1636">
        <v>0.97</v>
      </c>
      <c r="G1636">
        <v>0.9</v>
      </c>
      <c r="H1636" t="s">
        <v>1052</v>
      </c>
      <c r="I1636" t="s">
        <v>1152</v>
      </c>
      <c r="J1636">
        <v>0.873</v>
      </c>
      <c r="K1636">
        <v>140.50935000000001</v>
      </c>
      <c r="L1636" t="s">
        <v>837</v>
      </c>
      <c r="M1636">
        <v>160.94999999999999</v>
      </c>
      <c r="N1636" t="s">
        <v>5154</v>
      </c>
      <c r="O1636" t="s">
        <v>5153</v>
      </c>
    </row>
    <row r="1637" spans="1:15" x14ac:dyDescent="0.2">
      <c r="A1637">
        <v>99</v>
      </c>
      <c r="B1637" t="s">
        <v>2117</v>
      </c>
      <c r="C1637" t="s">
        <v>5151</v>
      </c>
      <c r="D1637" t="s">
        <v>801</v>
      </c>
      <c r="E1637" t="s">
        <v>402</v>
      </c>
      <c r="F1637">
        <v>0</v>
      </c>
      <c r="G1637">
        <v>10.3</v>
      </c>
      <c r="H1637" t="s">
        <v>151</v>
      </c>
      <c r="I1637" t="s">
        <v>1152</v>
      </c>
      <c r="J1637">
        <v>0</v>
      </c>
      <c r="K1637">
        <v>0</v>
      </c>
      <c r="L1637" t="s">
        <v>837</v>
      </c>
      <c r="M1637">
        <v>160.94999999999999</v>
      </c>
      <c r="N1637" t="s">
        <v>5155</v>
      </c>
      <c r="O1637" t="s">
        <v>5153</v>
      </c>
    </row>
    <row r="1638" spans="1:15" x14ac:dyDescent="0.2">
      <c r="A1638">
        <v>99</v>
      </c>
      <c r="B1638" t="s">
        <v>2117</v>
      </c>
      <c r="C1638" t="s">
        <v>5151</v>
      </c>
      <c r="D1638" t="s">
        <v>824</v>
      </c>
      <c r="E1638" t="s">
        <v>3418</v>
      </c>
      <c r="F1638">
        <v>1.05</v>
      </c>
      <c r="G1638">
        <v>25</v>
      </c>
      <c r="H1638" t="s">
        <v>1152</v>
      </c>
      <c r="I1638" t="s">
        <v>1152</v>
      </c>
      <c r="J1638">
        <v>26.25</v>
      </c>
      <c r="K1638">
        <v>4224.9375</v>
      </c>
      <c r="L1638" t="s">
        <v>837</v>
      </c>
      <c r="M1638">
        <v>160.94999999999999</v>
      </c>
      <c r="N1638" t="s">
        <v>5156</v>
      </c>
      <c r="O1638" t="s">
        <v>5153</v>
      </c>
    </row>
    <row r="1639" spans="1:15" x14ac:dyDescent="0.2">
      <c r="A1639">
        <v>99</v>
      </c>
      <c r="B1639" t="s">
        <v>2117</v>
      </c>
      <c r="C1639" t="s">
        <v>5151</v>
      </c>
      <c r="D1639" t="s">
        <v>1970</v>
      </c>
      <c r="E1639" t="s">
        <v>1166</v>
      </c>
      <c r="F1639">
        <v>0</v>
      </c>
      <c r="G1639">
        <v>30.29</v>
      </c>
      <c r="H1639" t="s">
        <v>764</v>
      </c>
      <c r="I1639" t="s">
        <v>1152</v>
      </c>
      <c r="J1639">
        <v>0</v>
      </c>
      <c r="K1639">
        <v>0</v>
      </c>
      <c r="L1639" t="s">
        <v>837</v>
      </c>
      <c r="M1639">
        <v>160.94999999999999</v>
      </c>
      <c r="N1639" t="s">
        <v>5157</v>
      </c>
      <c r="O1639" t="s">
        <v>5153</v>
      </c>
    </row>
    <row r="1640" spans="1:15" x14ac:dyDescent="0.2">
      <c r="A1640">
        <v>99</v>
      </c>
      <c r="B1640" t="s">
        <v>2117</v>
      </c>
      <c r="C1640" t="s">
        <v>5151</v>
      </c>
      <c r="D1640" t="s">
        <v>498</v>
      </c>
      <c r="E1640" t="s">
        <v>773</v>
      </c>
      <c r="F1640">
        <v>1.2</v>
      </c>
      <c r="G1640">
        <v>0</v>
      </c>
      <c r="H1640" t="s">
        <v>84</v>
      </c>
      <c r="I1640" t="s">
        <v>1152</v>
      </c>
      <c r="J1640">
        <v>0</v>
      </c>
      <c r="K1640">
        <v>0</v>
      </c>
      <c r="L1640" t="s">
        <v>837</v>
      </c>
      <c r="M1640">
        <v>160.94999999999999</v>
      </c>
      <c r="N1640" t="s">
        <v>5158</v>
      </c>
      <c r="O1640" t="s">
        <v>5153</v>
      </c>
    </row>
    <row r="1641" spans="1:15" x14ac:dyDescent="0.2">
      <c r="A1641">
        <v>99</v>
      </c>
      <c r="B1641" t="s">
        <v>2117</v>
      </c>
      <c r="C1641" t="s">
        <v>5151</v>
      </c>
      <c r="D1641" t="s">
        <v>1006</v>
      </c>
      <c r="E1641" t="s">
        <v>699</v>
      </c>
      <c r="F1641">
        <v>0</v>
      </c>
      <c r="G1641">
        <v>28.988</v>
      </c>
      <c r="H1641" t="s">
        <v>151</v>
      </c>
      <c r="I1641" t="s">
        <v>1152</v>
      </c>
      <c r="J1641">
        <v>0</v>
      </c>
      <c r="K1641">
        <v>0</v>
      </c>
      <c r="L1641" t="s">
        <v>837</v>
      </c>
      <c r="M1641">
        <v>160.94999999999999</v>
      </c>
      <c r="N1641" t="s">
        <v>5159</v>
      </c>
      <c r="O1641" t="s">
        <v>5153</v>
      </c>
    </row>
    <row r="1642" spans="1:15" x14ac:dyDescent="0.2">
      <c r="A1642">
        <v>99</v>
      </c>
      <c r="B1642" t="s">
        <v>2117</v>
      </c>
      <c r="C1642" t="s">
        <v>5151</v>
      </c>
      <c r="D1642" t="s">
        <v>628</v>
      </c>
      <c r="E1642" t="s">
        <v>821</v>
      </c>
      <c r="F1642">
        <v>0.53</v>
      </c>
      <c r="G1642">
        <v>67.319999999999993</v>
      </c>
      <c r="H1642" t="s">
        <v>1052</v>
      </c>
      <c r="I1642" t="s">
        <v>1152</v>
      </c>
      <c r="J1642">
        <v>35.679600000000001</v>
      </c>
      <c r="K1642">
        <v>5742.6316200000001</v>
      </c>
      <c r="L1642" t="s">
        <v>837</v>
      </c>
      <c r="M1642">
        <v>160.94999999999999</v>
      </c>
      <c r="N1642" t="s">
        <v>5160</v>
      </c>
      <c r="O1642" t="s">
        <v>5153</v>
      </c>
    </row>
    <row r="1643" spans="1:15" x14ac:dyDescent="0.2">
      <c r="A1643">
        <v>99</v>
      </c>
      <c r="B1643" t="s">
        <v>2117</v>
      </c>
      <c r="C1643" t="s">
        <v>5151</v>
      </c>
      <c r="D1643" t="s">
        <v>5161</v>
      </c>
      <c r="E1643" t="s">
        <v>5162</v>
      </c>
      <c r="F1643">
        <v>1.05</v>
      </c>
      <c r="G1643">
        <v>1360</v>
      </c>
      <c r="H1643" t="s">
        <v>1152</v>
      </c>
      <c r="I1643" t="s">
        <v>1152</v>
      </c>
      <c r="J1643">
        <v>1428</v>
      </c>
      <c r="K1643">
        <v>229836.6</v>
      </c>
      <c r="L1643" t="s">
        <v>837</v>
      </c>
      <c r="M1643">
        <v>160.94999999999999</v>
      </c>
      <c r="N1643" t="s">
        <v>5163</v>
      </c>
      <c r="O1643" t="s">
        <v>5153</v>
      </c>
    </row>
    <row r="1644" spans="1:15" x14ac:dyDescent="0.2">
      <c r="A1644">
        <v>99</v>
      </c>
      <c r="B1644" t="s">
        <v>2117</v>
      </c>
      <c r="C1644" t="s">
        <v>5151</v>
      </c>
      <c r="D1644" t="s">
        <v>1971</v>
      </c>
      <c r="E1644" t="s">
        <v>1147</v>
      </c>
      <c r="F1644">
        <v>0</v>
      </c>
      <c r="G1644">
        <v>28.81</v>
      </c>
      <c r="H1644" t="s">
        <v>742</v>
      </c>
      <c r="I1644" t="s">
        <v>1152</v>
      </c>
      <c r="J1644">
        <v>0</v>
      </c>
      <c r="K1644">
        <v>0</v>
      </c>
      <c r="L1644" t="s">
        <v>837</v>
      </c>
      <c r="M1644">
        <v>160.94999999999999</v>
      </c>
      <c r="N1644" t="s">
        <v>5164</v>
      </c>
      <c r="O1644" t="s">
        <v>5153</v>
      </c>
    </row>
    <row r="1645" spans="1:15" x14ac:dyDescent="0.2">
      <c r="A1645">
        <v>99</v>
      </c>
      <c r="B1645" t="s">
        <v>2117</v>
      </c>
      <c r="C1645" t="s">
        <v>5151</v>
      </c>
      <c r="D1645" t="s">
        <v>946</v>
      </c>
      <c r="E1645" t="s">
        <v>1695</v>
      </c>
      <c r="F1645">
        <v>1.05</v>
      </c>
      <c r="G1645">
        <v>40</v>
      </c>
      <c r="H1645" t="s">
        <v>1819</v>
      </c>
      <c r="I1645" t="s">
        <v>1152</v>
      </c>
      <c r="J1645">
        <v>42</v>
      </c>
      <c r="K1645">
        <v>6759.9</v>
      </c>
      <c r="L1645" t="s">
        <v>837</v>
      </c>
      <c r="M1645">
        <v>160.94999999999999</v>
      </c>
      <c r="N1645" t="s">
        <v>5165</v>
      </c>
      <c r="O1645" t="s">
        <v>5153</v>
      </c>
    </row>
    <row r="1646" spans="1:15" x14ac:dyDescent="0.2">
      <c r="A1646">
        <v>99</v>
      </c>
      <c r="B1646" t="s">
        <v>2117</v>
      </c>
      <c r="C1646" t="s">
        <v>5166</v>
      </c>
      <c r="D1646" t="s">
        <v>946</v>
      </c>
      <c r="E1646" t="s">
        <v>1695</v>
      </c>
      <c r="F1646">
        <v>1.05</v>
      </c>
      <c r="G1646">
        <v>40</v>
      </c>
      <c r="H1646" t="s">
        <v>1819</v>
      </c>
      <c r="I1646" t="s">
        <v>1152</v>
      </c>
      <c r="J1646">
        <v>42</v>
      </c>
      <c r="K1646">
        <v>3444.84</v>
      </c>
      <c r="L1646" t="s">
        <v>830</v>
      </c>
      <c r="M1646">
        <v>82.02</v>
      </c>
      <c r="N1646" t="s">
        <v>5167</v>
      </c>
      <c r="O1646" t="s">
        <v>5168</v>
      </c>
    </row>
    <row r="1647" spans="1:15" x14ac:dyDescent="0.2">
      <c r="A1647">
        <v>99</v>
      </c>
      <c r="B1647" t="s">
        <v>2117</v>
      </c>
      <c r="C1647" t="s">
        <v>5166</v>
      </c>
      <c r="D1647" t="s">
        <v>5169</v>
      </c>
      <c r="E1647" t="s">
        <v>5170</v>
      </c>
      <c r="F1647">
        <v>1.05</v>
      </c>
      <c r="G1647">
        <v>850</v>
      </c>
      <c r="H1647" t="s">
        <v>1152</v>
      </c>
      <c r="I1647" t="s">
        <v>1152</v>
      </c>
      <c r="J1647">
        <v>892.5</v>
      </c>
      <c r="K1647">
        <v>73202.850000000006</v>
      </c>
      <c r="L1647" t="s">
        <v>830</v>
      </c>
      <c r="M1647">
        <v>82.02</v>
      </c>
      <c r="N1647" t="s">
        <v>5171</v>
      </c>
      <c r="O1647" t="s">
        <v>5168</v>
      </c>
    </row>
    <row r="1648" spans="1:15" x14ac:dyDescent="0.2">
      <c r="A1648">
        <v>99</v>
      </c>
      <c r="B1648" t="s">
        <v>2117</v>
      </c>
      <c r="C1648" t="s">
        <v>5166</v>
      </c>
      <c r="D1648" t="s">
        <v>975</v>
      </c>
      <c r="E1648" t="s">
        <v>3922</v>
      </c>
      <c r="F1648">
        <v>1</v>
      </c>
      <c r="G1648">
        <v>450</v>
      </c>
      <c r="H1648" t="s">
        <v>1152</v>
      </c>
      <c r="I1648" t="s">
        <v>1152</v>
      </c>
      <c r="J1648">
        <v>450</v>
      </c>
      <c r="K1648">
        <v>36909</v>
      </c>
      <c r="L1648" t="s">
        <v>830</v>
      </c>
      <c r="M1648">
        <v>82.02</v>
      </c>
      <c r="N1648" t="s">
        <v>5172</v>
      </c>
      <c r="O1648" t="s">
        <v>5168</v>
      </c>
    </row>
    <row r="1649" spans="1:15" x14ac:dyDescent="0.2">
      <c r="A1649">
        <v>99</v>
      </c>
      <c r="B1649" t="s">
        <v>2117</v>
      </c>
      <c r="C1649" t="s">
        <v>5166</v>
      </c>
      <c r="D1649" t="s">
        <v>637</v>
      </c>
      <c r="E1649" t="s">
        <v>1256</v>
      </c>
      <c r="F1649">
        <v>0.58089999999999997</v>
      </c>
      <c r="G1649">
        <v>35</v>
      </c>
      <c r="H1649" t="s">
        <v>1052</v>
      </c>
      <c r="I1649" t="s">
        <v>1152</v>
      </c>
      <c r="J1649">
        <v>20.331499999999998</v>
      </c>
      <c r="K1649">
        <v>1667.5896299999999</v>
      </c>
      <c r="L1649" t="s">
        <v>830</v>
      </c>
      <c r="M1649">
        <v>82.02</v>
      </c>
      <c r="N1649" t="s">
        <v>5173</v>
      </c>
      <c r="O1649" t="s">
        <v>5168</v>
      </c>
    </row>
    <row r="1650" spans="1:15" x14ac:dyDescent="0.2">
      <c r="A1650">
        <v>99</v>
      </c>
      <c r="B1650" t="s">
        <v>2117</v>
      </c>
      <c r="C1650" t="s">
        <v>5166</v>
      </c>
      <c r="D1650" t="s">
        <v>1006</v>
      </c>
      <c r="E1650" t="s">
        <v>699</v>
      </c>
      <c r="F1650">
        <v>0</v>
      </c>
      <c r="G1650">
        <v>28.988</v>
      </c>
      <c r="H1650" t="s">
        <v>151</v>
      </c>
      <c r="I1650" t="s">
        <v>1152</v>
      </c>
      <c r="J1650">
        <v>0</v>
      </c>
      <c r="K1650">
        <v>0</v>
      </c>
      <c r="L1650" t="s">
        <v>830</v>
      </c>
      <c r="M1650">
        <v>82.02</v>
      </c>
      <c r="N1650" t="s">
        <v>5174</v>
      </c>
      <c r="O1650" t="s">
        <v>5168</v>
      </c>
    </row>
    <row r="1651" spans="1:15" x14ac:dyDescent="0.2">
      <c r="A1651">
        <v>99</v>
      </c>
      <c r="B1651" t="s">
        <v>2117</v>
      </c>
      <c r="C1651" t="s">
        <v>5166</v>
      </c>
      <c r="D1651" t="s">
        <v>498</v>
      </c>
      <c r="E1651" t="s">
        <v>773</v>
      </c>
      <c r="F1651">
        <v>1.2</v>
      </c>
      <c r="G1651">
        <v>0</v>
      </c>
      <c r="H1651" t="s">
        <v>84</v>
      </c>
      <c r="I1651" t="s">
        <v>1152</v>
      </c>
      <c r="J1651">
        <v>0</v>
      </c>
      <c r="K1651">
        <v>0</v>
      </c>
      <c r="L1651" t="s">
        <v>830</v>
      </c>
      <c r="M1651">
        <v>82.02</v>
      </c>
      <c r="N1651" t="s">
        <v>5175</v>
      </c>
      <c r="O1651" t="s">
        <v>5168</v>
      </c>
    </row>
    <row r="1652" spans="1:15" x14ac:dyDescent="0.2">
      <c r="A1652">
        <v>99</v>
      </c>
      <c r="B1652" t="s">
        <v>2117</v>
      </c>
      <c r="C1652" t="s">
        <v>5166</v>
      </c>
      <c r="D1652" t="s">
        <v>824</v>
      </c>
      <c r="E1652" t="s">
        <v>3418</v>
      </c>
      <c r="F1652">
        <v>1.05</v>
      </c>
      <c r="G1652">
        <v>25</v>
      </c>
      <c r="H1652" t="s">
        <v>1152</v>
      </c>
      <c r="I1652" t="s">
        <v>1152</v>
      </c>
      <c r="J1652">
        <v>26.25</v>
      </c>
      <c r="K1652">
        <v>2153.0250000000001</v>
      </c>
      <c r="L1652" t="s">
        <v>830</v>
      </c>
      <c r="M1652">
        <v>82.02</v>
      </c>
      <c r="N1652" t="s">
        <v>5176</v>
      </c>
      <c r="O1652" t="s">
        <v>5168</v>
      </c>
    </row>
    <row r="1653" spans="1:15" x14ac:dyDescent="0.2">
      <c r="A1653">
        <v>99</v>
      </c>
      <c r="B1653" t="s">
        <v>2117</v>
      </c>
      <c r="C1653" t="s">
        <v>5166</v>
      </c>
      <c r="D1653" t="s">
        <v>801</v>
      </c>
      <c r="E1653" t="s">
        <v>402</v>
      </c>
      <c r="F1653">
        <v>0</v>
      </c>
      <c r="G1653">
        <v>10.3</v>
      </c>
      <c r="H1653" t="s">
        <v>151</v>
      </c>
      <c r="I1653" t="s">
        <v>1152</v>
      </c>
      <c r="J1653">
        <v>0</v>
      </c>
      <c r="K1653">
        <v>0</v>
      </c>
      <c r="L1653" t="s">
        <v>830</v>
      </c>
      <c r="M1653">
        <v>82.02</v>
      </c>
      <c r="N1653" t="s">
        <v>5177</v>
      </c>
      <c r="O1653" t="s">
        <v>5168</v>
      </c>
    </row>
    <row r="1654" spans="1:15" x14ac:dyDescent="0.2">
      <c r="A1654">
        <v>99</v>
      </c>
      <c r="B1654" t="s">
        <v>2117</v>
      </c>
      <c r="C1654" t="s">
        <v>166</v>
      </c>
      <c r="D1654" t="s">
        <v>801</v>
      </c>
      <c r="E1654" t="s">
        <v>402</v>
      </c>
      <c r="F1654">
        <v>0</v>
      </c>
      <c r="G1654">
        <v>10.3</v>
      </c>
      <c r="H1654" t="s">
        <v>151</v>
      </c>
      <c r="I1654" t="s">
        <v>1152</v>
      </c>
      <c r="J1654">
        <v>0</v>
      </c>
      <c r="K1654">
        <v>0</v>
      </c>
      <c r="L1654" t="s">
        <v>875</v>
      </c>
      <c r="M1654">
        <v>3.64</v>
      </c>
      <c r="N1654" t="s">
        <v>3894</v>
      </c>
      <c r="O1654" t="s">
        <v>3891</v>
      </c>
    </row>
    <row r="1655" spans="1:15" x14ac:dyDescent="0.2">
      <c r="A1655">
        <v>99</v>
      </c>
      <c r="B1655" t="s">
        <v>2117</v>
      </c>
      <c r="C1655" t="s">
        <v>166</v>
      </c>
      <c r="D1655" t="s">
        <v>824</v>
      </c>
      <c r="E1655" t="s">
        <v>3418</v>
      </c>
      <c r="F1655">
        <v>1.05</v>
      </c>
      <c r="G1655">
        <v>25</v>
      </c>
      <c r="H1655" t="s">
        <v>1152</v>
      </c>
      <c r="I1655" t="s">
        <v>1152</v>
      </c>
      <c r="J1655">
        <v>26.25</v>
      </c>
      <c r="K1655">
        <v>95.55</v>
      </c>
      <c r="L1655" t="s">
        <v>875</v>
      </c>
      <c r="M1655">
        <v>3.64</v>
      </c>
      <c r="N1655" t="s">
        <v>3895</v>
      </c>
      <c r="O1655" t="s">
        <v>3891</v>
      </c>
    </row>
    <row r="1656" spans="1:15" x14ac:dyDescent="0.2">
      <c r="A1656">
        <v>99</v>
      </c>
      <c r="B1656" t="s">
        <v>2117</v>
      </c>
      <c r="C1656" t="s">
        <v>166</v>
      </c>
      <c r="D1656" t="s">
        <v>498</v>
      </c>
      <c r="E1656" t="s">
        <v>773</v>
      </c>
      <c r="F1656">
        <v>1.2</v>
      </c>
      <c r="G1656">
        <v>0</v>
      </c>
      <c r="H1656" t="s">
        <v>84</v>
      </c>
      <c r="I1656" t="s">
        <v>1152</v>
      </c>
      <c r="J1656">
        <v>0</v>
      </c>
      <c r="K1656">
        <v>0</v>
      </c>
      <c r="L1656" t="s">
        <v>875</v>
      </c>
      <c r="M1656">
        <v>3.64</v>
      </c>
      <c r="N1656" t="s">
        <v>3898</v>
      </c>
      <c r="O1656" t="s">
        <v>3891</v>
      </c>
    </row>
    <row r="1657" spans="1:15" x14ac:dyDescent="0.2">
      <c r="A1657">
        <v>99</v>
      </c>
      <c r="B1657" t="s">
        <v>2117</v>
      </c>
      <c r="C1657" t="s">
        <v>166</v>
      </c>
      <c r="D1657" t="s">
        <v>1006</v>
      </c>
      <c r="E1657" t="s">
        <v>699</v>
      </c>
      <c r="F1657">
        <v>0</v>
      </c>
      <c r="G1657">
        <v>28.988</v>
      </c>
      <c r="H1657" t="s">
        <v>151</v>
      </c>
      <c r="I1657" t="s">
        <v>1152</v>
      </c>
      <c r="J1657">
        <v>0</v>
      </c>
      <c r="K1657">
        <v>0</v>
      </c>
      <c r="L1657" t="s">
        <v>875</v>
      </c>
      <c r="M1657">
        <v>3.64</v>
      </c>
      <c r="N1657" t="s">
        <v>3893</v>
      </c>
      <c r="O1657" t="s">
        <v>3891</v>
      </c>
    </row>
    <row r="1658" spans="1:15" x14ac:dyDescent="0.2">
      <c r="A1658">
        <v>99</v>
      </c>
      <c r="B1658" t="s">
        <v>2117</v>
      </c>
      <c r="C1658" t="s">
        <v>166</v>
      </c>
      <c r="D1658" t="s">
        <v>637</v>
      </c>
      <c r="E1658" t="s">
        <v>1256</v>
      </c>
      <c r="F1658">
        <v>0.89</v>
      </c>
      <c r="G1658">
        <v>35</v>
      </c>
      <c r="H1658" t="s">
        <v>1052</v>
      </c>
      <c r="I1658" t="s">
        <v>1152</v>
      </c>
      <c r="J1658">
        <v>31.15</v>
      </c>
      <c r="K1658">
        <v>113.386</v>
      </c>
      <c r="L1658" t="s">
        <v>875</v>
      </c>
      <c r="M1658">
        <v>3.64</v>
      </c>
      <c r="N1658" t="s">
        <v>3892</v>
      </c>
      <c r="O1658" t="s">
        <v>3891</v>
      </c>
    </row>
    <row r="1659" spans="1:15" x14ac:dyDescent="0.2">
      <c r="A1659">
        <v>99</v>
      </c>
      <c r="B1659" t="s">
        <v>2117</v>
      </c>
      <c r="C1659" t="s">
        <v>166</v>
      </c>
      <c r="D1659" t="s">
        <v>946</v>
      </c>
      <c r="E1659" t="s">
        <v>1695</v>
      </c>
      <c r="F1659">
        <v>1.05</v>
      </c>
      <c r="G1659">
        <v>40</v>
      </c>
      <c r="H1659" t="s">
        <v>1819</v>
      </c>
      <c r="I1659" t="s">
        <v>1152</v>
      </c>
      <c r="J1659">
        <v>42</v>
      </c>
      <c r="K1659">
        <v>152.88</v>
      </c>
      <c r="L1659" t="s">
        <v>875</v>
      </c>
      <c r="M1659">
        <v>3.64</v>
      </c>
      <c r="N1659" t="s">
        <v>3899</v>
      </c>
      <c r="O1659" t="s">
        <v>3891</v>
      </c>
    </row>
    <row r="1660" spans="1:15" x14ac:dyDescent="0.2">
      <c r="A1660">
        <v>99</v>
      </c>
      <c r="B1660" t="s">
        <v>2117</v>
      </c>
      <c r="C1660" t="s">
        <v>166</v>
      </c>
      <c r="D1660" t="s">
        <v>319</v>
      </c>
      <c r="E1660" t="s">
        <v>925</v>
      </c>
      <c r="F1660">
        <v>1.05</v>
      </c>
      <c r="G1660">
        <v>570</v>
      </c>
      <c r="H1660" t="s">
        <v>1152</v>
      </c>
      <c r="I1660" t="s">
        <v>1152</v>
      </c>
      <c r="J1660">
        <v>598.5</v>
      </c>
      <c r="K1660">
        <v>2178.54</v>
      </c>
      <c r="L1660" t="s">
        <v>875</v>
      </c>
      <c r="M1660">
        <v>3.64</v>
      </c>
      <c r="N1660" t="s">
        <v>3890</v>
      </c>
      <c r="O1660" t="s">
        <v>3891</v>
      </c>
    </row>
    <row r="1661" spans="1:15" x14ac:dyDescent="0.2">
      <c r="A1661">
        <v>99</v>
      </c>
      <c r="B1661" t="s">
        <v>2117</v>
      </c>
      <c r="C1661" t="s">
        <v>166</v>
      </c>
      <c r="D1661" t="s">
        <v>1054</v>
      </c>
      <c r="E1661" t="s">
        <v>3896</v>
      </c>
      <c r="F1661">
        <v>1</v>
      </c>
      <c r="G1661">
        <v>450</v>
      </c>
      <c r="H1661" t="s">
        <v>1152</v>
      </c>
      <c r="I1661" t="s">
        <v>1152</v>
      </c>
      <c r="J1661">
        <v>450</v>
      </c>
      <c r="K1661">
        <v>1638</v>
      </c>
      <c r="L1661" t="s">
        <v>875</v>
      </c>
      <c r="M1661">
        <v>3.64</v>
      </c>
      <c r="N1661" t="s">
        <v>3897</v>
      </c>
      <c r="O1661" t="s">
        <v>3891</v>
      </c>
    </row>
    <row r="1662" spans="1:15" x14ac:dyDescent="0.2">
      <c r="A1662">
        <v>99</v>
      </c>
      <c r="B1662" t="s">
        <v>2117</v>
      </c>
      <c r="C1662" t="s">
        <v>170</v>
      </c>
      <c r="D1662" t="s">
        <v>1054</v>
      </c>
      <c r="E1662" t="s">
        <v>3896</v>
      </c>
      <c r="F1662">
        <v>1</v>
      </c>
      <c r="G1662">
        <v>450</v>
      </c>
      <c r="H1662" t="s">
        <v>1152</v>
      </c>
      <c r="I1662" t="s">
        <v>1152</v>
      </c>
      <c r="J1662">
        <v>450</v>
      </c>
      <c r="K1662">
        <v>1044</v>
      </c>
      <c r="L1662" t="s">
        <v>873</v>
      </c>
      <c r="M1662">
        <v>2.3199999999999998</v>
      </c>
      <c r="N1662" t="s">
        <v>3906</v>
      </c>
      <c r="O1662" t="s">
        <v>3901</v>
      </c>
    </row>
    <row r="1663" spans="1:15" x14ac:dyDescent="0.2">
      <c r="A1663">
        <v>99</v>
      </c>
      <c r="B1663" t="s">
        <v>2117</v>
      </c>
      <c r="C1663" t="s">
        <v>170</v>
      </c>
      <c r="D1663" t="s">
        <v>946</v>
      </c>
      <c r="E1663" t="s">
        <v>1695</v>
      </c>
      <c r="F1663">
        <v>1.05</v>
      </c>
      <c r="G1663">
        <v>40</v>
      </c>
      <c r="H1663" t="s">
        <v>1819</v>
      </c>
      <c r="I1663" t="s">
        <v>1152</v>
      </c>
      <c r="J1663">
        <v>42</v>
      </c>
      <c r="K1663">
        <v>97.44</v>
      </c>
      <c r="L1663" t="s">
        <v>873</v>
      </c>
      <c r="M1663">
        <v>2.3199999999999998</v>
      </c>
      <c r="N1663" t="s">
        <v>3908</v>
      </c>
      <c r="O1663" t="s">
        <v>3901</v>
      </c>
    </row>
    <row r="1664" spans="1:15" x14ac:dyDescent="0.2">
      <c r="A1664">
        <v>99</v>
      </c>
      <c r="B1664" t="s">
        <v>2117</v>
      </c>
      <c r="C1664" t="s">
        <v>170</v>
      </c>
      <c r="D1664" t="s">
        <v>637</v>
      </c>
      <c r="E1664" t="s">
        <v>1256</v>
      </c>
      <c r="F1664">
        <v>0.89</v>
      </c>
      <c r="G1664">
        <v>35</v>
      </c>
      <c r="H1664" t="s">
        <v>1052</v>
      </c>
      <c r="I1664" t="s">
        <v>1152</v>
      </c>
      <c r="J1664">
        <v>31.15</v>
      </c>
      <c r="K1664">
        <v>72.268000000000001</v>
      </c>
      <c r="L1664" t="s">
        <v>873</v>
      </c>
      <c r="M1664">
        <v>2.3199999999999998</v>
      </c>
      <c r="N1664" t="s">
        <v>3902</v>
      </c>
      <c r="O1664" t="s">
        <v>3901</v>
      </c>
    </row>
    <row r="1665" spans="1:15" x14ac:dyDescent="0.2">
      <c r="A1665">
        <v>99</v>
      </c>
      <c r="B1665" t="s">
        <v>2117</v>
      </c>
      <c r="C1665" t="s">
        <v>170</v>
      </c>
      <c r="D1665" t="s">
        <v>1006</v>
      </c>
      <c r="E1665" t="s">
        <v>699</v>
      </c>
      <c r="F1665">
        <v>0</v>
      </c>
      <c r="G1665">
        <v>28.988</v>
      </c>
      <c r="H1665" t="s">
        <v>151</v>
      </c>
      <c r="I1665" t="s">
        <v>1152</v>
      </c>
      <c r="J1665">
        <v>0</v>
      </c>
      <c r="K1665">
        <v>0</v>
      </c>
      <c r="L1665" t="s">
        <v>873</v>
      </c>
      <c r="M1665">
        <v>2.3199999999999998</v>
      </c>
      <c r="N1665" t="s">
        <v>3903</v>
      </c>
      <c r="O1665" t="s">
        <v>3901</v>
      </c>
    </row>
    <row r="1666" spans="1:15" x14ac:dyDescent="0.2">
      <c r="A1666">
        <v>99</v>
      </c>
      <c r="B1666" t="s">
        <v>2117</v>
      </c>
      <c r="C1666" t="s">
        <v>170</v>
      </c>
      <c r="D1666" t="s">
        <v>498</v>
      </c>
      <c r="E1666" t="s">
        <v>773</v>
      </c>
      <c r="F1666">
        <v>1.2</v>
      </c>
      <c r="G1666">
        <v>0</v>
      </c>
      <c r="H1666" t="s">
        <v>84</v>
      </c>
      <c r="I1666" t="s">
        <v>1152</v>
      </c>
      <c r="J1666">
        <v>0</v>
      </c>
      <c r="K1666">
        <v>0</v>
      </c>
      <c r="L1666" t="s">
        <v>873</v>
      </c>
      <c r="M1666">
        <v>2.3199999999999998</v>
      </c>
      <c r="N1666" t="s">
        <v>3907</v>
      </c>
      <c r="O1666" t="s">
        <v>3901</v>
      </c>
    </row>
    <row r="1667" spans="1:15" x14ac:dyDescent="0.2">
      <c r="A1667">
        <v>99</v>
      </c>
      <c r="B1667" t="s">
        <v>2117</v>
      </c>
      <c r="C1667" t="s">
        <v>170</v>
      </c>
      <c r="D1667" t="s">
        <v>824</v>
      </c>
      <c r="E1667" t="s">
        <v>3418</v>
      </c>
      <c r="F1667">
        <v>1.05</v>
      </c>
      <c r="G1667">
        <v>25</v>
      </c>
      <c r="H1667" t="s">
        <v>1152</v>
      </c>
      <c r="I1667" t="s">
        <v>1152</v>
      </c>
      <c r="J1667">
        <v>26.25</v>
      </c>
      <c r="K1667">
        <v>60.9</v>
      </c>
      <c r="L1667" t="s">
        <v>873</v>
      </c>
      <c r="M1667">
        <v>2.3199999999999998</v>
      </c>
      <c r="N1667" t="s">
        <v>3905</v>
      </c>
      <c r="O1667" t="s">
        <v>3901</v>
      </c>
    </row>
    <row r="1668" spans="1:15" x14ac:dyDescent="0.2">
      <c r="A1668">
        <v>99</v>
      </c>
      <c r="B1668" t="s">
        <v>2117</v>
      </c>
      <c r="C1668" t="s">
        <v>170</v>
      </c>
      <c r="D1668" t="s">
        <v>801</v>
      </c>
      <c r="E1668" t="s">
        <v>402</v>
      </c>
      <c r="F1668">
        <v>0</v>
      </c>
      <c r="G1668">
        <v>10.3</v>
      </c>
      <c r="H1668" t="s">
        <v>151</v>
      </c>
      <c r="I1668" t="s">
        <v>1152</v>
      </c>
      <c r="J1668">
        <v>0</v>
      </c>
      <c r="K1668">
        <v>0</v>
      </c>
      <c r="L1668" t="s">
        <v>873</v>
      </c>
      <c r="M1668">
        <v>2.3199999999999998</v>
      </c>
      <c r="N1668" t="s">
        <v>3904</v>
      </c>
      <c r="O1668" t="s">
        <v>3901</v>
      </c>
    </row>
    <row r="1669" spans="1:15" x14ac:dyDescent="0.2">
      <c r="A1669">
        <v>99</v>
      </c>
      <c r="B1669" t="s">
        <v>2117</v>
      </c>
      <c r="C1669" t="s">
        <v>170</v>
      </c>
      <c r="D1669" t="s">
        <v>325</v>
      </c>
      <c r="E1669" t="s">
        <v>1351</v>
      </c>
      <c r="F1669">
        <v>1.05</v>
      </c>
      <c r="G1669">
        <v>2100</v>
      </c>
      <c r="H1669" t="s">
        <v>1152</v>
      </c>
      <c r="I1669" t="s">
        <v>1152</v>
      </c>
      <c r="J1669">
        <v>2205</v>
      </c>
      <c r="K1669">
        <v>5115.6000000000004</v>
      </c>
      <c r="L1669" t="s">
        <v>873</v>
      </c>
      <c r="M1669">
        <v>2.3199999999999998</v>
      </c>
      <c r="N1669" t="s">
        <v>3900</v>
      </c>
      <c r="O1669" t="s">
        <v>3901</v>
      </c>
    </row>
    <row r="1670" spans="1:15" x14ac:dyDescent="0.2">
      <c r="A1670">
        <v>99</v>
      </c>
      <c r="B1670" t="s">
        <v>2117</v>
      </c>
      <c r="C1670" t="s">
        <v>174</v>
      </c>
      <c r="D1670" t="s">
        <v>853</v>
      </c>
      <c r="E1670" t="s">
        <v>980</v>
      </c>
      <c r="F1670">
        <v>8.6199999999999992</v>
      </c>
      <c r="G1670">
        <v>0.9</v>
      </c>
      <c r="H1670" t="s">
        <v>1052</v>
      </c>
      <c r="I1670" t="s">
        <v>1152</v>
      </c>
      <c r="J1670">
        <v>7.758</v>
      </c>
      <c r="K1670">
        <v>105.50879999999999</v>
      </c>
      <c r="L1670" t="s">
        <v>879</v>
      </c>
      <c r="M1670">
        <v>13.6</v>
      </c>
      <c r="N1670" t="s">
        <v>3909</v>
      </c>
      <c r="O1670" t="s">
        <v>3910</v>
      </c>
    </row>
    <row r="1671" spans="1:15" x14ac:dyDescent="0.2">
      <c r="A1671">
        <v>99</v>
      </c>
      <c r="B1671" t="s">
        <v>2117</v>
      </c>
      <c r="C1671" t="s">
        <v>174</v>
      </c>
      <c r="D1671" t="s">
        <v>801</v>
      </c>
      <c r="E1671" t="s">
        <v>402</v>
      </c>
      <c r="F1671">
        <v>0</v>
      </c>
      <c r="G1671">
        <v>10.3</v>
      </c>
      <c r="H1671" t="s">
        <v>151</v>
      </c>
      <c r="I1671" t="s">
        <v>1152</v>
      </c>
      <c r="J1671">
        <v>0</v>
      </c>
      <c r="K1671">
        <v>0</v>
      </c>
      <c r="L1671" t="s">
        <v>879</v>
      </c>
      <c r="M1671">
        <v>13.6</v>
      </c>
      <c r="N1671" t="s">
        <v>3915</v>
      </c>
      <c r="O1671" t="s">
        <v>3910</v>
      </c>
    </row>
    <row r="1672" spans="1:15" x14ac:dyDescent="0.2">
      <c r="A1672">
        <v>99</v>
      </c>
      <c r="B1672" t="s">
        <v>2117</v>
      </c>
      <c r="C1672" t="s">
        <v>174</v>
      </c>
      <c r="D1672" t="s">
        <v>431</v>
      </c>
      <c r="E1672" t="s">
        <v>3912</v>
      </c>
      <c r="F1672">
        <v>1.1000000000000001</v>
      </c>
      <c r="G1672">
        <v>250</v>
      </c>
      <c r="H1672" t="s">
        <v>1152</v>
      </c>
      <c r="I1672" t="s">
        <v>1152</v>
      </c>
      <c r="J1672">
        <v>275</v>
      </c>
      <c r="K1672">
        <v>3740</v>
      </c>
      <c r="L1672" t="s">
        <v>879</v>
      </c>
      <c r="M1672">
        <v>13.6</v>
      </c>
      <c r="N1672" t="s">
        <v>3913</v>
      </c>
      <c r="O1672" t="s">
        <v>3910</v>
      </c>
    </row>
    <row r="1673" spans="1:15" x14ac:dyDescent="0.2">
      <c r="A1673">
        <v>99</v>
      </c>
      <c r="B1673" t="s">
        <v>2117</v>
      </c>
      <c r="C1673" t="s">
        <v>174</v>
      </c>
      <c r="D1673" t="s">
        <v>824</v>
      </c>
      <c r="E1673" t="s">
        <v>3418</v>
      </c>
      <c r="F1673">
        <v>1.1000000000000001</v>
      </c>
      <c r="G1673">
        <v>25</v>
      </c>
      <c r="H1673" t="s">
        <v>1152</v>
      </c>
      <c r="I1673" t="s">
        <v>1152</v>
      </c>
      <c r="J1673">
        <v>27.5</v>
      </c>
      <c r="K1673">
        <v>374</v>
      </c>
      <c r="L1673" t="s">
        <v>879</v>
      </c>
      <c r="M1673">
        <v>13.6</v>
      </c>
      <c r="N1673" t="s">
        <v>3916</v>
      </c>
      <c r="O1673" t="s">
        <v>3910</v>
      </c>
    </row>
    <row r="1674" spans="1:15" x14ac:dyDescent="0.2">
      <c r="A1674">
        <v>99</v>
      </c>
      <c r="B1674" t="s">
        <v>2117</v>
      </c>
      <c r="C1674" t="s">
        <v>174</v>
      </c>
      <c r="D1674" t="s">
        <v>706</v>
      </c>
      <c r="E1674" t="s">
        <v>130</v>
      </c>
      <c r="F1674">
        <v>0.14000000000000001</v>
      </c>
      <c r="G1674">
        <v>8</v>
      </c>
      <c r="H1674" t="s">
        <v>1052</v>
      </c>
      <c r="I1674" t="s">
        <v>1152</v>
      </c>
      <c r="J1674">
        <v>1.1200000000000001</v>
      </c>
      <c r="K1674">
        <v>15.231999999999999</v>
      </c>
      <c r="L1674" t="s">
        <v>879</v>
      </c>
      <c r="M1674">
        <v>13.6</v>
      </c>
      <c r="N1674" t="s">
        <v>3911</v>
      </c>
      <c r="O1674" t="s">
        <v>3910</v>
      </c>
    </row>
    <row r="1675" spans="1:15" x14ac:dyDescent="0.2">
      <c r="A1675">
        <v>99</v>
      </c>
      <c r="B1675" t="s">
        <v>2117</v>
      </c>
      <c r="C1675" t="s">
        <v>174</v>
      </c>
      <c r="D1675" t="s">
        <v>498</v>
      </c>
      <c r="E1675" t="s">
        <v>773</v>
      </c>
      <c r="F1675">
        <v>1.2</v>
      </c>
      <c r="G1675">
        <v>0</v>
      </c>
      <c r="H1675" t="s">
        <v>84</v>
      </c>
      <c r="I1675" t="s">
        <v>1152</v>
      </c>
      <c r="J1675">
        <v>0</v>
      </c>
      <c r="K1675">
        <v>0</v>
      </c>
      <c r="L1675" t="s">
        <v>879</v>
      </c>
      <c r="M1675">
        <v>13.6</v>
      </c>
      <c r="N1675" t="s">
        <v>3920</v>
      </c>
      <c r="O1675" t="s">
        <v>3910</v>
      </c>
    </row>
    <row r="1676" spans="1:15" x14ac:dyDescent="0.2">
      <c r="A1676">
        <v>99</v>
      </c>
      <c r="B1676" t="s">
        <v>2117</v>
      </c>
      <c r="C1676" t="s">
        <v>174</v>
      </c>
      <c r="D1676" t="s">
        <v>1006</v>
      </c>
      <c r="E1676" t="s">
        <v>699</v>
      </c>
      <c r="F1676">
        <v>0</v>
      </c>
      <c r="G1676">
        <v>28.988</v>
      </c>
      <c r="H1676" t="s">
        <v>151</v>
      </c>
      <c r="I1676" t="s">
        <v>1152</v>
      </c>
      <c r="J1676">
        <v>0</v>
      </c>
      <c r="K1676">
        <v>0</v>
      </c>
      <c r="L1676" t="s">
        <v>879</v>
      </c>
      <c r="M1676">
        <v>13.6</v>
      </c>
      <c r="N1676" t="s">
        <v>3914</v>
      </c>
      <c r="O1676" t="s">
        <v>3910</v>
      </c>
    </row>
    <row r="1677" spans="1:15" x14ac:dyDescent="0.2">
      <c r="A1677">
        <v>99</v>
      </c>
      <c r="B1677" t="s">
        <v>2117</v>
      </c>
      <c r="C1677" t="s">
        <v>174</v>
      </c>
      <c r="D1677" t="s">
        <v>946</v>
      </c>
      <c r="E1677" t="s">
        <v>1695</v>
      </c>
      <c r="F1677">
        <v>1.1000000000000001</v>
      </c>
      <c r="G1677">
        <v>40</v>
      </c>
      <c r="H1677" t="s">
        <v>1819</v>
      </c>
      <c r="I1677" t="s">
        <v>1152</v>
      </c>
      <c r="J1677">
        <v>44</v>
      </c>
      <c r="K1677">
        <v>598.4</v>
      </c>
      <c r="L1677" t="s">
        <v>879</v>
      </c>
      <c r="M1677">
        <v>13.6</v>
      </c>
      <c r="N1677" t="s">
        <v>3921</v>
      </c>
      <c r="O1677" t="s">
        <v>3910</v>
      </c>
    </row>
    <row r="1678" spans="1:15" x14ac:dyDescent="0.2">
      <c r="A1678">
        <v>99</v>
      </c>
      <c r="B1678" t="s">
        <v>2117</v>
      </c>
      <c r="C1678" t="s">
        <v>174</v>
      </c>
      <c r="D1678" t="s">
        <v>903</v>
      </c>
      <c r="E1678" t="s">
        <v>864</v>
      </c>
      <c r="F1678">
        <v>1</v>
      </c>
      <c r="G1678">
        <v>3.5</v>
      </c>
      <c r="H1678" t="s">
        <v>1152</v>
      </c>
      <c r="I1678" t="s">
        <v>1152</v>
      </c>
      <c r="J1678">
        <v>3.5</v>
      </c>
      <c r="K1678">
        <v>47.6</v>
      </c>
      <c r="L1678" t="s">
        <v>879</v>
      </c>
      <c r="M1678">
        <v>13.6</v>
      </c>
      <c r="N1678" t="s">
        <v>3917</v>
      </c>
      <c r="O1678" t="s">
        <v>3910</v>
      </c>
    </row>
    <row r="1679" spans="1:15" x14ac:dyDescent="0.2">
      <c r="A1679">
        <v>99</v>
      </c>
      <c r="B1679" t="s">
        <v>2117</v>
      </c>
      <c r="C1679" t="s">
        <v>174</v>
      </c>
      <c r="D1679" t="s">
        <v>976</v>
      </c>
      <c r="E1679" t="s">
        <v>3918</v>
      </c>
      <c r="F1679">
        <v>1</v>
      </c>
      <c r="G1679">
        <v>90</v>
      </c>
      <c r="H1679" t="s">
        <v>1152</v>
      </c>
      <c r="I1679" t="s">
        <v>1152</v>
      </c>
      <c r="J1679">
        <v>90</v>
      </c>
      <c r="K1679">
        <v>1224</v>
      </c>
      <c r="L1679" t="s">
        <v>879</v>
      </c>
      <c r="M1679">
        <v>13.6</v>
      </c>
      <c r="N1679" t="s">
        <v>3919</v>
      </c>
      <c r="O1679" t="s">
        <v>3910</v>
      </c>
    </row>
    <row r="1680" spans="1:15" x14ac:dyDescent="0.2">
      <c r="A1680">
        <v>99</v>
      </c>
      <c r="B1680" t="s">
        <v>2117</v>
      </c>
      <c r="C1680" t="s">
        <v>249</v>
      </c>
      <c r="D1680" t="s">
        <v>976</v>
      </c>
      <c r="E1680" t="s">
        <v>3918</v>
      </c>
      <c r="F1680">
        <v>1</v>
      </c>
      <c r="G1680">
        <v>90</v>
      </c>
      <c r="H1680" t="s">
        <v>1152</v>
      </c>
      <c r="I1680" t="s">
        <v>1152</v>
      </c>
      <c r="J1680">
        <v>90</v>
      </c>
      <c r="K1680">
        <v>3182.4</v>
      </c>
      <c r="L1680" t="s">
        <v>878</v>
      </c>
      <c r="M1680">
        <v>35.36</v>
      </c>
      <c r="N1680" t="s">
        <v>3925</v>
      </c>
      <c r="O1680" t="s">
        <v>3924</v>
      </c>
    </row>
    <row r="1681" spans="1:15" x14ac:dyDescent="0.2">
      <c r="A1681">
        <v>99</v>
      </c>
      <c r="B1681" t="s">
        <v>2117</v>
      </c>
      <c r="C1681" t="s">
        <v>249</v>
      </c>
      <c r="D1681" t="s">
        <v>903</v>
      </c>
      <c r="E1681" t="s">
        <v>864</v>
      </c>
      <c r="F1681">
        <v>1</v>
      </c>
      <c r="G1681">
        <v>3.5</v>
      </c>
      <c r="H1681" t="s">
        <v>1152</v>
      </c>
      <c r="I1681" t="s">
        <v>1152</v>
      </c>
      <c r="J1681">
        <v>3.5</v>
      </c>
      <c r="K1681">
        <v>123.76</v>
      </c>
      <c r="L1681" t="s">
        <v>878</v>
      </c>
      <c r="M1681">
        <v>35.36</v>
      </c>
      <c r="N1681" t="s">
        <v>3934</v>
      </c>
      <c r="O1681" t="s">
        <v>3924</v>
      </c>
    </row>
    <row r="1682" spans="1:15" x14ac:dyDescent="0.2">
      <c r="A1682">
        <v>99</v>
      </c>
      <c r="B1682" t="s">
        <v>2117</v>
      </c>
      <c r="C1682" t="s">
        <v>249</v>
      </c>
      <c r="D1682" t="s">
        <v>946</v>
      </c>
      <c r="E1682" t="s">
        <v>1695</v>
      </c>
      <c r="F1682">
        <v>1.1000000000000001</v>
      </c>
      <c r="G1682">
        <v>40</v>
      </c>
      <c r="H1682" t="s">
        <v>1819</v>
      </c>
      <c r="I1682" t="s">
        <v>1152</v>
      </c>
      <c r="J1682">
        <v>44</v>
      </c>
      <c r="K1682">
        <v>1555.84</v>
      </c>
      <c r="L1682" t="s">
        <v>878</v>
      </c>
      <c r="M1682">
        <v>35.36</v>
      </c>
      <c r="N1682" t="s">
        <v>3927</v>
      </c>
      <c r="O1682" t="s">
        <v>3924</v>
      </c>
    </row>
    <row r="1683" spans="1:15" x14ac:dyDescent="0.2">
      <c r="A1683">
        <v>99</v>
      </c>
      <c r="B1683" t="s">
        <v>2117</v>
      </c>
      <c r="C1683" t="s">
        <v>249</v>
      </c>
      <c r="D1683" t="s">
        <v>435</v>
      </c>
      <c r="E1683" t="s">
        <v>3929</v>
      </c>
      <c r="F1683">
        <v>1.1000000000000001</v>
      </c>
      <c r="G1683">
        <v>1450</v>
      </c>
      <c r="H1683" t="s">
        <v>1152</v>
      </c>
      <c r="I1683" t="s">
        <v>1152</v>
      </c>
      <c r="J1683">
        <v>1595</v>
      </c>
      <c r="K1683">
        <v>56399.199999999997</v>
      </c>
      <c r="L1683" t="s">
        <v>878</v>
      </c>
      <c r="M1683">
        <v>35.36</v>
      </c>
      <c r="N1683" t="s">
        <v>3930</v>
      </c>
      <c r="O1683" t="s">
        <v>3924</v>
      </c>
    </row>
    <row r="1684" spans="1:15" x14ac:dyDescent="0.2">
      <c r="A1684">
        <v>99</v>
      </c>
      <c r="B1684" t="s">
        <v>2117</v>
      </c>
      <c r="C1684" t="s">
        <v>249</v>
      </c>
      <c r="D1684" t="s">
        <v>1006</v>
      </c>
      <c r="E1684" t="s">
        <v>699</v>
      </c>
      <c r="F1684">
        <v>0</v>
      </c>
      <c r="G1684">
        <v>28.988</v>
      </c>
      <c r="H1684" t="s">
        <v>151</v>
      </c>
      <c r="I1684" t="s">
        <v>1152</v>
      </c>
      <c r="J1684">
        <v>0</v>
      </c>
      <c r="K1684">
        <v>0</v>
      </c>
      <c r="L1684" t="s">
        <v>878</v>
      </c>
      <c r="M1684">
        <v>35.36</v>
      </c>
      <c r="N1684" t="s">
        <v>3931</v>
      </c>
      <c r="O1684" t="s">
        <v>3924</v>
      </c>
    </row>
    <row r="1685" spans="1:15" x14ac:dyDescent="0.2">
      <c r="A1685">
        <v>99</v>
      </c>
      <c r="B1685" t="s">
        <v>2117</v>
      </c>
      <c r="C1685" t="s">
        <v>249</v>
      </c>
      <c r="D1685" t="s">
        <v>498</v>
      </c>
      <c r="E1685" t="s">
        <v>773</v>
      </c>
      <c r="F1685">
        <v>1.2</v>
      </c>
      <c r="G1685">
        <v>0</v>
      </c>
      <c r="H1685" t="s">
        <v>84</v>
      </c>
      <c r="I1685" t="s">
        <v>1152</v>
      </c>
      <c r="J1685">
        <v>0</v>
      </c>
      <c r="K1685">
        <v>0</v>
      </c>
      <c r="L1685" t="s">
        <v>878</v>
      </c>
      <c r="M1685">
        <v>35.36</v>
      </c>
      <c r="N1685" t="s">
        <v>3926</v>
      </c>
      <c r="O1685" t="s">
        <v>3924</v>
      </c>
    </row>
    <row r="1686" spans="1:15" x14ac:dyDescent="0.2">
      <c r="A1686">
        <v>99</v>
      </c>
      <c r="B1686" t="s">
        <v>2117</v>
      </c>
      <c r="C1686" t="s">
        <v>249</v>
      </c>
      <c r="D1686" t="s">
        <v>706</v>
      </c>
      <c r="E1686" t="s">
        <v>130</v>
      </c>
      <c r="F1686">
        <v>0.14099999999999999</v>
      </c>
      <c r="G1686">
        <v>8</v>
      </c>
      <c r="H1686" t="s">
        <v>1052</v>
      </c>
      <c r="I1686" t="s">
        <v>1152</v>
      </c>
      <c r="J1686">
        <v>1.1279999999999999</v>
      </c>
      <c r="K1686">
        <v>39.88608</v>
      </c>
      <c r="L1686" t="s">
        <v>878</v>
      </c>
      <c r="M1686">
        <v>35.36</v>
      </c>
      <c r="N1686" t="s">
        <v>3928</v>
      </c>
      <c r="O1686" t="s">
        <v>3924</v>
      </c>
    </row>
    <row r="1687" spans="1:15" x14ac:dyDescent="0.2">
      <c r="A1687">
        <v>99</v>
      </c>
      <c r="B1687" t="s">
        <v>2117</v>
      </c>
      <c r="C1687" t="s">
        <v>249</v>
      </c>
      <c r="D1687" t="s">
        <v>824</v>
      </c>
      <c r="E1687" t="s">
        <v>3418</v>
      </c>
      <c r="F1687">
        <v>1.1000000000000001</v>
      </c>
      <c r="G1687">
        <v>25</v>
      </c>
      <c r="H1687" t="s">
        <v>1152</v>
      </c>
      <c r="I1687" t="s">
        <v>1152</v>
      </c>
      <c r="J1687">
        <v>27.5</v>
      </c>
      <c r="K1687">
        <v>972.4</v>
      </c>
      <c r="L1687" t="s">
        <v>878</v>
      </c>
      <c r="M1687">
        <v>35.36</v>
      </c>
      <c r="N1687" t="s">
        <v>3933</v>
      </c>
      <c r="O1687" t="s">
        <v>3924</v>
      </c>
    </row>
    <row r="1688" spans="1:15" x14ac:dyDescent="0.2">
      <c r="A1688">
        <v>99</v>
      </c>
      <c r="B1688" t="s">
        <v>2117</v>
      </c>
      <c r="C1688" t="s">
        <v>249</v>
      </c>
      <c r="D1688" t="s">
        <v>801</v>
      </c>
      <c r="E1688" t="s">
        <v>402</v>
      </c>
      <c r="F1688">
        <v>0</v>
      </c>
      <c r="G1688">
        <v>10.3</v>
      </c>
      <c r="H1688" t="s">
        <v>151</v>
      </c>
      <c r="I1688" t="s">
        <v>1152</v>
      </c>
      <c r="J1688">
        <v>0</v>
      </c>
      <c r="K1688">
        <v>0</v>
      </c>
      <c r="L1688" t="s">
        <v>878</v>
      </c>
      <c r="M1688">
        <v>35.36</v>
      </c>
      <c r="N1688" t="s">
        <v>3932</v>
      </c>
      <c r="O1688" t="s">
        <v>3924</v>
      </c>
    </row>
    <row r="1689" spans="1:15" x14ac:dyDescent="0.2">
      <c r="A1689">
        <v>99</v>
      </c>
      <c r="B1689" t="s">
        <v>2117</v>
      </c>
      <c r="C1689" t="s">
        <v>249</v>
      </c>
      <c r="D1689" t="s">
        <v>853</v>
      </c>
      <c r="E1689" t="s">
        <v>980</v>
      </c>
      <c r="F1689">
        <v>8.6199999999999992</v>
      </c>
      <c r="G1689">
        <v>0.9</v>
      </c>
      <c r="H1689" t="s">
        <v>1052</v>
      </c>
      <c r="I1689" t="s">
        <v>1152</v>
      </c>
      <c r="J1689">
        <v>7.758</v>
      </c>
      <c r="K1689">
        <v>274.32288</v>
      </c>
      <c r="L1689" t="s">
        <v>878</v>
      </c>
      <c r="M1689">
        <v>35.36</v>
      </c>
      <c r="N1689" t="s">
        <v>3923</v>
      </c>
      <c r="O1689" t="s">
        <v>3924</v>
      </c>
    </row>
    <row r="1690" spans="1:15" x14ac:dyDescent="0.2">
      <c r="A1690">
        <v>99</v>
      </c>
      <c r="B1690" t="s">
        <v>2117</v>
      </c>
      <c r="C1690" t="s">
        <v>294</v>
      </c>
      <c r="D1690" t="s">
        <v>801</v>
      </c>
      <c r="E1690" t="s">
        <v>402</v>
      </c>
      <c r="F1690">
        <v>0</v>
      </c>
      <c r="G1690">
        <v>10.3</v>
      </c>
      <c r="H1690" t="s">
        <v>151</v>
      </c>
      <c r="I1690" t="s">
        <v>1152</v>
      </c>
      <c r="J1690">
        <v>0</v>
      </c>
      <c r="K1690">
        <v>0</v>
      </c>
      <c r="L1690" t="s">
        <v>831</v>
      </c>
      <c r="M1690">
        <v>7.5</v>
      </c>
      <c r="N1690" t="s">
        <v>3935</v>
      </c>
      <c r="O1690" t="s">
        <v>3936</v>
      </c>
    </row>
    <row r="1691" spans="1:15" x14ac:dyDescent="0.2">
      <c r="A1691">
        <v>99</v>
      </c>
      <c r="B1691" t="s">
        <v>2117</v>
      </c>
      <c r="C1691" t="s">
        <v>294</v>
      </c>
      <c r="D1691" t="s">
        <v>1513</v>
      </c>
      <c r="E1691" t="s">
        <v>1390</v>
      </c>
      <c r="F1691">
        <v>1.05</v>
      </c>
      <c r="G1691">
        <v>2600</v>
      </c>
      <c r="H1691" t="s">
        <v>1152</v>
      </c>
      <c r="I1691" t="s">
        <v>1152</v>
      </c>
      <c r="J1691">
        <v>2730</v>
      </c>
      <c r="K1691">
        <v>20475</v>
      </c>
      <c r="L1691" t="s">
        <v>831</v>
      </c>
      <c r="M1691">
        <v>7.5</v>
      </c>
      <c r="N1691" t="s">
        <v>3941</v>
      </c>
      <c r="O1691" t="s">
        <v>3936</v>
      </c>
    </row>
    <row r="1692" spans="1:15" x14ac:dyDescent="0.2">
      <c r="A1692">
        <v>99</v>
      </c>
      <c r="B1692" t="s">
        <v>2117</v>
      </c>
      <c r="C1692" t="s">
        <v>294</v>
      </c>
      <c r="D1692" t="s">
        <v>824</v>
      </c>
      <c r="E1692" t="s">
        <v>3418</v>
      </c>
      <c r="F1692">
        <v>1.05</v>
      </c>
      <c r="G1692">
        <v>25</v>
      </c>
      <c r="H1692" t="s">
        <v>1152</v>
      </c>
      <c r="I1692" t="s">
        <v>1152</v>
      </c>
      <c r="J1692">
        <v>26.25</v>
      </c>
      <c r="K1692">
        <v>196.875</v>
      </c>
      <c r="L1692" t="s">
        <v>831</v>
      </c>
      <c r="M1692">
        <v>7.5</v>
      </c>
      <c r="N1692" t="s">
        <v>3937</v>
      </c>
      <c r="O1692" t="s">
        <v>3936</v>
      </c>
    </row>
    <row r="1693" spans="1:15" x14ac:dyDescent="0.2">
      <c r="A1693">
        <v>99</v>
      </c>
      <c r="B1693" t="s">
        <v>2117</v>
      </c>
      <c r="C1693" t="s">
        <v>294</v>
      </c>
      <c r="D1693" t="s">
        <v>498</v>
      </c>
      <c r="E1693" t="s">
        <v>773</v>
      </c>
      <c r="F1693">
        <v>1.2</v>
      </c>
      <c r="G1693">
        <v>0</v>
      </c>
      <c r="H1693" t="s">
        <v>84</v>
      </c>
      <c r="I1693" t="s">
        <v>1152</v>
      </c>
      <c r="J1693">
        <v>0</v>
      </c>
      <c r="K1693">
        <v>0</v>
      </c>
      <c r="L1693" t="s">
        <v>831</v>
      </c>
      <c r="M1693">
        <v>7.5</v>
      </c>
      <c r="N1693" t="s">
        <v>3939</v>
      </c>
      <c r="O1693" t="s">
        <v>3936</v>
      </c>
    </row>
    <row r="1694" spans="1:15" x14ac:dyDescent="0.2">
      <c r="A1694">
        <v>99</v>
      </c>
      <c r="B1694" t="s">
        <v>2117</v>
      </c>
      <c r="C1694" t="s">
        <v>294</v>
      </c>
      <c r="D1694" t="s">
        <v>1006</v>
      </c>
      <c r="E1694" t="s">
        <v>699</v>
      </c>
      <c r="F1694">
        <v>0</v>
      </c>
      <c r="G1694">
        <v>28.988</v>
      </c>
      <c r="H1694" t="s">
        <v>151</v>
      </c>
      <c r="I1694" t="s">
        <v>1152</v>
      </c>
      <c r="J1694">
        <v>0</v>
      </c>
      <c r="K1694">
        <v>0</v>
      </c>
      <c r="L1694" t="s">
        <v>831</v>
      </c>
      <c r="M1694">
        <v>7.5</v>
      </c>
      <c r="N1694" t="s">
        <v>3943</v>
      </c>
      <c r="O1694" t="s">
        <v>3936</v>
      </c>
    </row>
    <row r="1695" spans="1:15" x14ac:dyDescent="0.2">
      <c r="A1695">
        <v>99</v>
      </c>
      <c r="B1695" t="s">
        <v>2117</v>
      </c>
      <c r="C1695" t="s">
        <v>294</v>
      </c>
      <c r="D1695" t="s">
        <v>975</v>
      </c>
      <c r="E1695" t="s">
        <v>3922</v>
      </c>
      <c r="F1695">
        <v>1</v>
      </c>
      <c r="G1695">
        <v>450</v>
      </c>
      <c r="H1695" t="s">
        <v>1152</v>
      </c>
      <c r="I1695" t="s">
        <v>1152</v>
      </c>
      <c r="J1695">
        <v>450</v>
      </c>
      <c r="K1695">
        <v>3375</v>
      </c>
      <c r="L1695" t="s">
        <v>831</v>
      </c>
      <c r="M1695">
        <v>7.5</v>
      </c>
      <c r="N1695" t="s">
        <v>3938</v>
      </c>
      <c r="O1695" t="s">
        <v>3936</v>
      </c>
    </row>
    <row r="1696" spans="1:15" x14ac:dyDescent="0.2">
      <c r="A1696">
        <v>99</v>
      </c>
      <c r="B1696" t="s">
        <v>2117</v>
      </c>
      <c r="C1696" t="s">
        <v>294</v>
      </c>
      <c r="D1696" t="s">
        <v>637</v>
      </c>
      <c r="E1696" t="s">
        <v>1256</v>
      </c>
      <c r="F1696">
        <v>0.58089999999999997</v>
      </c>
      <c r="G1696">
        <v>35</v>
      </c>
      <c r="H1696" t="s">
        <v>1052</v>
      </c>
      <c r="I1696" t="s">
        <v>1152</v>
      </c>
      <c r="J1696">
        <v>20.331499999999998</v>
      </c>
      <c r="K1696">
        <v>152.48625000000001</v>
      </c>
      <c r="L1696" t="s">
        <v>831</v>
      </c>
      <c r="M1696">
        <v>7.5</v>
      </c>
      <c r="N1696" t="s">
        <v>3942</v>
      </c>
      <c r="O1696" t="s">
        <v>3936</v>
      </c>
    </row>
    <row r="1697" spans="1:15" x14ac:dyDescent="0.2">
      <c r="A1697">
        <v>99</v>
      </c>
      <c r="B1697" t="s">
        <v>2117</v>
      </c>
      <c r="C1697" t="s">
        <v>294</v>
      </c>
      <c r="D1697" t="s">
        <v>946</v>
      </c>
      <c r="E1697" t="s">
        <v>1695</v>
      </c>
      <c r="F1697">
        <v>1.05</v>
      </c>
      <c r="G1697">
        <v>40</v>
      </c>
      <c r="H1697" t="s">
        <v>1819</v>
      </c>
      <c r="I1697" t="s">
        <v>1152</v>
      </c>
      <c r="J1697">
        <v>42</v>
      </c>
      <c r="K1697">
        <v>315</v>
      </c>
      <c r="L1697" t="s">
        <v>831</v>
      </c>
      <c r="M1697">
        <v>7.5</v>
      </c>
      <c r="N1697" t="s">
        <v>3940</v>
      </c>
      <c r="O1697" t="s">
        <v>3936</v>
      </c>
    </row>
    <row r="1698" spans="1:15" x14ac:dyDescent="0.2">
      <c r="A1698">
        <v>99</v>
      </c>
      <c r="B1698" t="s">
        <v>2117</v>
      </c>
      <c r="C1698" t="s">
        <v>307</v>
      </c>
      <c r="D1698" t="s">
        <v>946</v>
      </c>
      <c r="E1698" t="s">
        <v>1695</v>
      </c>
      <c r="F1698">
        <v>1.05</v>
      </c>
      <c r="G1698">
        <v>40</v>
      </c>
      <c r="H1698" t="s">
        <v>1819</v>
      </c>
      <c r="I1698" t="s">
        <v>1152</v>
      </c>
      <c r="J1698">
        <v>42</v>
      </c>
      <c r="K1698">
        <v>298.2</v>
      </c>
      <c r="L1698" t="s">
        <v>834</v>
      </c>
      <c r="M1698">
        <v>7.1</v>
      </c>
      <c r="N1698" t="s">
        <v>3952</v>
      </c>
      <c r="O1698" t="s">
        <v>3945</v>
      </c>
    </row>
    <row r="1699" spans="1:15" x14ac:dyDescent="0.2">
      <c r="A1699">
        <v>99</v>
      </c>
      <c r="B1699" t="s">
        <v>2117</v>
      </c>
      <c r="C1699" t="s">
        <v>307</v>
      </c>
      <c r="D1699" t="s">
        <v>637</v>
      </c>
      <c r="E1699" t="s">
        <v>1256</v>
      </c>
      <c r="F1699">
        <v>0.58089999999999997</v>
      </c>
      <c r="G1699">
        <v>35</v>
      </c>
      <c r="H1699" t="s">
        <v>1052</v>
      </c>
      <c r="I1699" t="s">
        <v>1152</v>
      </c>
      <c r="J1699">
        <v>20.331499999999998</v>
      </c>
      <c r="K1699">
        <v>144.35364999999999</v>
      </c>
      <c r="L1699" t="s">
        <v>834</v>
      </c>
      <c r="M1699">
        <v>7.1</v>
      </c>
      <c r="N1699" t="s">
        <v>3946</v>
      </c>
      <c r="O1699" t="s">
        <v>3945</v>
      </c>
    </row>
    <row r="1700" spans="1:15" x14ac:dyDescent="0.2">
      <c r="A1700">
        <v>99</v>
      </c>
      <c r="B1700" t="s">
        <v>2117</v>
      </c>
      <c r="C1700" t="s">
        <v>307</v>
      </c>
      <c r="D1700" t="s">
        <v>975</v>
      </c>
      <c r="E1700" t="s">
        <v>3922</v>
      </c>
      <c r="F1700">
        <v>1</v>
      </c>
      <c r="G1700">
        <v>450</v>
      </c>
      <c r="H1700" t="s">
        <v>1152</v>
      </c>
      <c r="I1700" t="s">
        <v>1152</v>
      </c>
      <c r="J1700">
        <v>450</v>
      </c>
      <c r="K1700">
        <v>3195</v>
      </c>
      <c r="L1700" t="s">
        <v>834</v>
      </c>
      <c r="M1700">
        <v>7.1</v>
      </c>
      <c r="N1700" t="s">
        <v>3950</v>
      </c>
      <c r="O1700" t="s">
        <v>3945</v>
      </c>
    </row>
    <row r="1701" spans="1:15" x14ac:dyDescent="0.2">
      <c r="A1701">
        <v>99</v>
      </c>
      <c r="B1701" t="s">
        <v>2117</v>
      </c>
      <c r="C1701" t="s">
        <v>307</v>
      </c>
      <c r="D1701" t="s">
        <v>1006</v>
      </c>
      <c r="E1701" t="s">
        <v>699</v>
      </c>
      <c r="F1701">
        <v>0</v>
      </c>
      <c r="G1701">
        <v>28.988</v>
      </c>
      <c r="H1701" t="s">
        <v>151</v>
      </c>
      <c r="I1701" t="s">
        <v>1152</v>
      </c>
      <c r="J1701">
        <v>0</v>
      </c>
      <c r="K1701">
        <v>0</v>
      </c>
      <c r="L1701" t="s">
        <v>834</v>
      </c>
      <c r="M1701">
        <v>7.1</v>
      </c>
      <c r="N1701" t="s">
        <v>3947</v>
      </c>
      <c r="O1701" t="s">
        <v>3945</v>
      </c>
    </row>
    <row r="1702" spans="1:15" x14ac:dyDescent="0.2">
      <c r="A1702">
        <v>99</v>
      </c>
      <c r="B1702" t="s">
        <v>2117</v>
      </c>
      <c r="C1702" t="s">
        <v>307</v>
      </c>
      <c r="D1702" t="s">
        <v>498</v>
      </c>
      <c r="E1702" t="s">
        <v>773</v>
      </c>
      <c r="F1702">
        <v>1.2</v>
      </c>
      <c r="G1702">
        <v>0</v>
      </c>
      <c r="H1702" t="s">
        <v>84</v>
      </c>
      <c r="I1702" t="s">
        <v>1152</v>
      </c>
      <c r="J1702">
        <v>0</v>
      </c>
      <c r="K1702">
        <v>0</v>
      </c>
      <c r="L1702" t="s">
        <v>834</v>
      </c>
      <c r="M1702">
        <v>7.1</v>
      </c>
      <c r="N1702" t="s">
        <v>3951</v>
      </c>
      <c r="O1702" t="s">
        <v>3945</v>
      </c>
    </row>
    <row r="1703" spans="1:15" x14ac:dyDescent="0.2">
      <c r="A1703">
        <v>99</v>
      </c>
      <c r="B1703" t="s">
        <v>2117</v>
      </c>
      <c r="C1703" t="s">
        <v>307</v>
      </c>
      <c r="D1703" t="s">
        <v>824</v>
      </c>
      <c r="E1703" t="s">
        <v>3418</v>
      </c>
      <c r="F1703">
        <v>1.05</v>
      </c>
      <c r="G1703">
        <v>25</v>
      </c>
      <c r="H1703" t="s">
        <v>1152</v>
      </c>
      <c r="I1703" t="s">
        <v>1152</v>
      </c>
      <c r="J1703">
        <v>26.25</v>
      </c>
      <c r="K1703">
        <v>186.375</v>
      </c>
      <c r="L1703" t="s">
        <v>834</v>
      </c>
      <c r="M1703">
        <v>7.1</v>
      </c>
      <c r="N1703" t="s">
        <v>3949</v>
      </c>
      <c r="O1703" t="s">
        <v>3945</v>
      </c>
    </row>
    <row r="1704" spans="1:15" x14ac:dyDescent="0.2">
      <c r="A1704">
        <v>99</v>
      </c>
      <c r="B1704" t="s">
        <v>2117</v>
      </c>
      <c r="C1704" t="s">
        <v>307</v>
      </c>
      <c r="D1704" t="s">
        <v>801</v>
      </c>
      <c r="E1704" t="s">
        <v>402</v>
      </c>
      <c r="F1704">
        <v>0</v>
      </c>
      <c r="G1704">
        <v>10.3</v>
      </c>
      <c r="H1704" t="s">
        <v>151</v>
      </c>
      <c r="I1704" t="s">
        <v>1152</v>
      </c>
      <c r="J1704">
        <v>0</v>
      </c>
      <c r="K1704">
        <v>0</v>
      </c>
      <c r="L1704" t="s">
        <v>834</v>
      </c>
      <c r="M1704">
        <v>7.1</v>
      </c>
      <c r="N1704" t="s">
        <v>3948</v>
      </c>
      <c r="O1704" t="s">
        <v>3945</v>
      </c>
    </row>
    <row r="1705" spans="1:15" x14ac:dyDescent="0.2">
      <c r="A1705">
        <v>99</v>
      </c>
      <c r="B1705" t="s">
        <v>2117</v>
      </c>
      <c r="C1705" t="s">
        <v>307</v>
      </c>
      <c r="D1705" t="s">
        <v>1524</v>
      </c>
      <c r="E1705" t="s">
        <v>1373</v>
      </c>
      <c r="F1705">
        <v>1.05</v>
      </c>
      <c r="G1705">
        <v>570</v>
      </c>
      <c r="H1705" t="s">
        <v>1152</v>
      </c>
      <c r="I1705" t="s">
        <v>1152</v>
      </c>
      <c r="J1705">
        <v>598.5</v>
      </c>
      <c r="K1705">
        <v>4249.3500000000004</v>
      </c>
      <c r="L1705" t="s">
        <v>834</v>
      </c>
      <c r="M1705">
        <v>7.1</v>
      </c>
      <c r="N1705" t="s">
        <v>3944</v>
      </c>
      <c r="O1705" t="s">
        <v>3945</v>
      </c>
    </row>
    <row r="1706" spans="1:15" x14ac:dyDescent="0.2">
      <c r="A1706">
        <v>99</v>
      </c>
      <c r="B1706" t="s">
        <v>2117</v>
      </c>
      <c r="C1706" t="s">
        <v>882</v>
      </c>
      <c r="D1706" t="s">
        <v>801</v>
      </c>
      <c r="E1706" t="s">
        <v>402</v>
      </c>
      <c r="F1706">
        <v>0</v>
      </c>
      <c r="G1706">
        <v>10.3</v>
      </c>
      <c r="H1706" t="s">
        <v>151</v>
      </c>
      <c r="I1706" t="s">
        <v>1152</v>
      </c>
      <c r="J1706">
        <v>0</v>
      </c>
      <c r="K1706">
        <v>0</v>
      </c>
      <c r="L1706" t="s">
        <v>394</v>
      </c>
      <c r="M1706">
        <v>261.10000000000002</v>
      </c>
      <c r="N1706" t="s">
        <v>3957</v>
      </c>
      <c r="O1706" t="s">
        <v>3955</v>
      </c>
    </row>
    <row r="1707" spans="1:15" x14ac:dyDescent="0.2">
      <c r="A1707">
        <v>99</v>
      </c>
      <c r="B1707" t="s">
        <v>2117</v>
      </c>
      <c r="C1707" t="s">
        <v>882</v>
      </c>
      <c r="D1707" t="s">
        <v>687</v>
      </c>
      <c r="E1707" t="s">
        <v>3958</v>
      </c>
      <c r="F1707">
        <v>1</v>
      </c>
      <c r="G1707">
        <v>4</v>
      </c>
      <c r="H1707" t="s">
        <v>1152</v>
      </c>
      <c r="I1707" t="s">
        <v>1152</v>
      </c>
      <c r="J1707">
        <v>4</v>
      </c>
      <c r="K1707">
        <v>1044.4000000000001</v>
      </c>
      <c r="L1707" t="s">
        <v>394</v>
      </c>
      <c r="M1707">
        <v>261.10000000000002</v>
      </c>
      <c r="N1707" t="s">
        <v>3959</v>
      </c>
      <c r="O1707" t="s">
        <v>3955</v>
      </c>
    </row>
    <row r="1708" spans="1:15" x14ac:dyDescent="0.2">
      <c r="A1708">
        <v>99</v>
      </c>
      <c r="B1708" t="s">
        <v>2117</v>
      </c>
      <c r="C1708" t="s">
        <v>882</v>
      </c>
      <c r="D1708" t="s">
        <v>498</v>
      </c>
      <c r="E1708" t="s">
        <v>773</v>
      </c>
      <c r="F1708">
        <v>1.2</v>
      </c>
      <c r="G1708">
        <v>0</v>
      </c>
      <c r="H1708" t="s">
        <v>84</v>
      </c>
      <c r="I1708" t="s">
        <v>1152</v>
      </c>
      <c r="J1708">
        <v>0</v>
      </c>
      <c r="K1708">
        <v>0</v>
      </c>
      <c r="L1708" t="s">
        <v>394</v>
      </c>
      <c r="M1708">
        <v>261.10000000000002</v>
      </c>
      <c r="N1708" t="s">
        <v>3960</v>
      </c>
      <c r="O1708" t="s">
        <v>3955</v>
      </c>
    </row>
    <row r="1709" spans="1:15" x14ac:dyDescent="0.2">
      <c r="A1709">
        <v>99</v>
      </c>
      <c r="B1709" t="s">
        <v>2117</v>
      </c>
      <c r="C1709" t="s">
        <v>882</v>
      </c>
      <c r="D1709" t="s">
        <v>1010</v>
      </c>
      <c r="E1709" t="s">
        <v>1140</v>
      </c>
      <c r="F1709">
        <v>0</v>
      </c>
      <c r="G1709">
        <v>35</v>
      </c>
      <c r="H1709" t="s">
        <v>151</v>
      </c>
      <c r="I1709" t="s">
        <v>1152</v>
      </c>
      <c r="J1709">
        <v>0</v>
      </c>
      <c r="K1709">
        <v>0</v>
      </c>
      <c r="L1709" t="s">
        <v>394</v>
      </c>
      <c r="M1709">
        <v>261.10000000000002</v>
      </c>
      <c r="N1709" t="s">
        <v>3956</v>
      </c>
      <c r="O1709" t="s">
        <v>3955</v>
      </c>
    </row>
    <row r="1710" spans="1:15" x14ac:dyDescent="0.2">
      <c r="A1710">
        <v>99</v>
      </c>
      <c r="B1710" t="s">
        <v>2117</v>
      </c>
      <c r="C1710" t="s">
        <v>882</v>
      </c>
      <c r="D1710" t="s">
        <v>1250</v>
      </c>
      <c r="E1710" t="s">
        <v>3953</v>
      </c>
      <c r="F1710">
        <v>0.15</v>
      </c>
      <c r="G1710">
        <v>6.9950000000000001</v>
      </c>
      <c r="H1710" t="s">
        <v>152</v>
      </c>
      <c r="I1710" t="s">
        <v>1152</v>
      </c>
      <c r="J1710">
        <v>1.04925</v>
      </c>
      <c r="K1710">
        <v>273.95917500000002</v>
      </c>
      <c r="L1710" t="s">
        <v>394</v>
      </c>
      <c r="M1710">
        <v>261.10000000000002</v>
      </c>
      <c r="N1710" t="s">
        <v>3954</v>
      </c>
      <c r="O1710" t="s">
        <v>3955</v>
      </c>
    </row>
    <row r="1711" spans="1:15" x14ac:dyDescent="0.2">
      <c r="A1711">
        <v>99</v>
      </c>
      <c r="B1711" t="s">
        <v>2117</v>
      </c>
      <c r="C1711" t="s">
        <v>886</v>
      </c>
      <c r="D1711" t="s">
        <v>1250</v>
      </c>
      <c r="E1711" t="s">
        <v>3953</v>
      </c>
      <c r="F1711">
        <v>0.15</v>
      </c>
      <c r="G1711">
        <v>6.9950000000000001</v>
      </c>
      <c r="H1711" t="s">
        <v>152</v>
      </c>
      <c r="I1711" t="s">
        <v>1152</v>
      </c>
      <c r="J1711">
        <v>1.04925</v>
      </c>
      <c r="K1711">
        <v>24102.909329999999</v>
      </c>
      <c r="L1711" t="s">
        <v>393</v>
      </c>
      <c r="M1711">
        <v>22971.56</v>
      </c>
      <c r="N1711" t="s">
        <v>3961</v>
      </c>
      <c r="O1711" t="s">
        <v>3962</v>
      </c>
    </row>
    <row r="1712" spans="1:15" x14ac:dyDescent="0.2">
      <c r="A1712">
        <v>99</v>
      </c>
      <c r="B1712" t="s">
        <v>2117</v>
      </c>
      <c r="C1712" t="s">
        <v>886</v>
      </c>
      <c r="D1712" t="s">
        <v>1010</v>
      </c>
      <c r="E1712" t="s">
        <v>1140</v>
      </c>
      <c r="F1712">
        <v>0</v>
      </c>
      <c r="G1712">
        <v>35</v>
      </c>
      <c r="H1712" t="s">
        <v>151</v>
      </c>
      <c r="I1712" t="s">
        <v>1152</v>
      </c>
      <c r="J1712">
        <v>0</v>
      </c>
      <c r="K1712">
        <v>0</v>
      </c>
      <c r="L1712" t="s">
        <v>393</v>
      </c>
      <c r="M1712">
        <v>22971.56</v>
      </c>
      <c r="N1712" t="s">
        <v>3963</v>
      </c>
      <c r="O1712" t="s">
        <v>3962</v>
      </c>
    </row>
    <row r="1713" spans="1:15" x14ac:dyDescent="0.2">
      <c r="A1713">
        <v>99</v>
      </c>
      <c r="B1713" t="s">
        <v>2117</v>
      </c>
      <c r="C1713" t="s">
        <v>886</v>
      </c>
      <c r="D1713" t="s">
        <v>498</v>
      </c>
      <c r="E1713" t="s">
        <v>773</v>
      </c>
      <c r="F1713">
        <v>1.2</v>
      </c>
      <c r="G1713">
        <v>0</v>
      </c>
      <c r="H1713" t="s">
        <v>84</v>
      </c>
      <c r="I1713" t="s">
        <v>1152</v>
      </c>
      <c r="J1713">
        <v>0</v>
      </c>
      <c r="K1713">
        <v>0</v>
      </c>
      <c r="L1713" t="s">
        <v>393</v>
      </c>
      <c r="M1713">
        <v>22971.56</v>
      </c>
      <c r="N1713" t="s">
        <v>3966</v>
      </c>
      <c r="O1713" t="s">
        <v>3962</v>
      </c>
    </row>
    <row r="1714" spans="1:15" x14ac:dyDescent="0.2">
      <c r="A1714">
        <v>99</v>
      </c>
      <c r="B1714" t="s">
        <v>2117</v>
      </c>
      <c r="C1714" t="s">
        <v>886</v>
      </c>
      <c r="D1714" t="s">
        <v>687</v>
      </c>
      <c r="E1714" t="s">
        <v>3958</v>
      </c>
      <c r="F1714">
        <v>1</v>
      </c>
      <c r="G1714">
        <v>4</v>
      </c>
      <c r="H1714" t="s">
        <v>1152</v>
      </c>
      <c r="I1714" t="s">
        <v>1152</v>
      </c>
      <c r="J1714">
        <v>4</v>
      </c>
      <c r="K1714">
        <v>91886.24</v>
      </c>
      <c r="L1714" t="s">
        <v>393</v>
      </c>
      <c r="M1714">
        <v>22971.56</v>
      </c>
      <c r="N1714" t="s">
        <v>3965</v>
      </c>
      <c r="O1714" t="s">
        <v>3962</v>
      </c>
    </row>
    <row r="1715" spans="1:15" x14ac:dyDescent="0.2">
      <c r="A1715">
        <v>99</v>
      </c>
      <c r="B1715" t="s">
        <v>2117</v>
      </c>
      <c r="C1715" t="s">
        <v>886</v>
      </c>
      <c r="D1715" t="s">
        <v>801</v>
      </c>
      <c r="E1715" t="s">
        <v>402</v>
      </c>
      <c r="F1715">
        <v>0</v>
      </c>
      <c r="G1715">
        <v>10.3</v>
      </c>
      <c r="H1715" t="s">
        <v>151</v>
      </c>
      <c r="I1715" t="s">
        <v>1152</v>
      </c>
      <c r="J1715">
        <v>0</v>
      </c>
      <c r="K1715">
        <v>0</v>
      </c>
      <c r="L1715" t="s">
        <v>393</v>
      </c>
      <c r="M1715">
        <v>22971.56</v>
      </c>
      <c r="N1715" t="s">
        <v>3964</v>
      </c>
      <c r="O1715" t="s">
        <v>3962</v>
      </c>
    </row>
    <row r="1716" spans="1:15" x14ac:dyDescent="0.2">
      <c r="A1716">
        <v>99</v>
      </c>
      <c r="B1716" t="s">
        <v>2117</v>
      </c>
      <c r="C1716" t="s">
        <v>889</v>
      </c>
      <c r="D1716" t="s">
        <v>801</v>
      </c>
      <c r="E1716" t="s">
        <v>402</v>
      </c>
      <c r="F1716">
        <v>0</v>
      </c>
      <c r="G1716">
        <v>10.3</v>
      </c>
      <c r="H1716" t="s">
        <v>151</v>
      </c>
      <c r="I1716" t="s">
        <v>1152</v>
      </c>
      <c r="J1716">
        <v>0</v>
      </c>
      <c r="K1716">
        <v>0</v>
      </c>
      <c r="L1716" t="s">
        <v>278</v>
      </c>
      <c r="M1716">
        <v>19315.650000000001</v>
      </c>
      <c r="N1716" t="s">
        <v>3967</v>
      </c>
      <c r="O1716" t="s">
        <v>3968</v>
      </c>
    </row>
    <row r="1717" spans="1:15" x14ac:dyDescent="0.2">
      <c r="A1717">
        <v>99</v>
      </c>
      <c r="B1717" t="s">
        <v>2117</v>
      </c>
      <c r="C1717" t="s">
        <v>889</v>
      </c>
      <c r="D1717" t="s">
        <v>687</v>
      </c>
      <c r="E1717" t="s">
        <v>3958</v>
      </c>
      <c r="F1717">
        <v>1</v>
      </c>
      <c r="G1717">
        <v>4</v>
      </c>
      <c r="H1717" t="s">
        <v>1152</v>
      </c>
      <c r="I1717" t="s">
        <v>1152</v>
      </c>
      <c r="J1717">
        <v>4</v>
      </c>
      <c r="K1717">
        <v>77262.600000000006</v>
      </c>
      <c r="L1717" t="s">
        <v>278</v>
      </c>
      <c r="M1717">
        <v>19315.650000000001</v>
      </c>
      <c r="N1717" t="s">
        <v>3969</v>
      </c>
      <c r="O1717" t="s">
        <v>3968</v>
      </c>
    </row>
    <row r="1718" spans="1:15" x14ac:dyDescent="0.2">
      <c r="A1718">
        <v>99</v>
      </c>
      <c r="B1718" t="s">
        <v>2117</v>
      </c>
      <c r="C1718" t="s">
        <v>889</v>
      </c>
      <c r="D1718" t="s">
        <v>498</v>
      </c>
      <c r="E1718" t="s">
        <v>773</v>
      </c>
      <c r="F1718">
        <v>1.2</v>
      </c>
      <c r="G1718">
        <v>0</v>
      </c>
      <c r="H1718" t="s">
        <v>84</v>
      </c>
      <c r="I1718" t="s">
        <v>1152</v>
      </c>
      <c r="J1718">
        <v>0</v>
      </c>
      <c r="K1718">
        <v>0</v>
      </c>
      <c r="L1718" t="s">
        <v>278</v>
      </c>
      <c r="M1718">
        <v>19315.650000000001</v>
      </c>
      <c r="N1718" t="s">
        <v>3970</v>
      </c>
      <c r="O1718" t="s">
        <v>3968</v>
      </c>
    </row>
    <row r="1719" spans="1:15" x14ac:dyDescent="0.2">
      <c r="A1719">
        <v>99</v>
      </c>
      <c r="B1719" t="s">
        <v>2117</v>
      </c>
      <c r="C1719" t="s">
        <v>889</v>
      </c>
      <c r="D1719" t="s">
        <v>1010</v>
      </c>
      <c r="E1719" t="s">
        <v>1140</v>
      </c>
      <c r="F1719">
        <v>0</v>
      </c>
      <c r="G1719">
        <v>35</v>
      </c>
      <c r="H1719" t="s">
        <v>151</v>
      </c>
      <c r="I1719" t="s">
        <v>1152</v>
      </c>
      <c r="J1719">
        <v>0</v>
      </c>
      <c r="K1719">
        <v>0</v>
      </c>
      <c r="L1719" t="s">
        <v>278</v>
      </c>
      <c r="M1719">
        <v>19315.650000000001</v>
      </c>
      <c r="N1719" t="s">
        <v>3972</v>
      </c>
      <c r="O1719" t="s">
        <v>3968</v>
      </c>
    </row>
    <row r="1720" spans="1:15" x14ac:dyDescent="0.2">
      <c r="A1720">
        <v>99</v>
      </c>
      <c r="B1720" t="s">
        <v>2117</v>
      </c>
      <c r="C1720" t="s">
        <v>889</v>
      </c>
      <c r="D1720" t="s">
        <v>1250</v>
      </c>
      <c r="E1720" t="s">
        <v>3953</v>
      </c>
      <c r="F1720">
        <v>0.15</v>
      </c>
      <c r="G1720">
        <v>6.9950000000000001</v>
      </c>
      <c r="H1720" t="s">
        <v>152</v>
      </c>
      <c r="I1720" t="s">
        <v>1152</v>
      </c>
      <c r="J1720">
        <v>1.04925</v>
      </c>
      <c r="K1720">
        <v>20266.945763</v>
      </c>
      <c r="L1720" t="s">
        <v>278</v>
      </c>
      <c r="M1720">
        <v>19315.650000000001</v>
      </c>
      <c r="N1720" t="s">
        <v>3971</v>
      </c>
      <c r="O1720" t="s">
        <v>3968</v>
      </c>
    </row>
    <row r="1721" spans="1:15" x14ac:dyDescent="0.2">
      <c r="A1721">
        <v>99</v>
      </c>
      <c r="B1721" t="s">
        <v>2117</v>
      </c>
      <c r="C1721" t="s">
        <v>743</v>
      </c>
      <c r="D1721" t="s">
        <v>689</v>
      </c>
      <c r="E1721" t="s">
        <v>3979</v>
      </c>
      <c r="F1721">
        <v>1</v>
      </c>
      <c r="G1721">
        <v>20</v>
      </c>
      <c r="H1721" t="s">
        <v>1152</v>
      </c>
      <c r="I1721" t="s">
        <v>1152</v>
      </c>
      <c r="J1721">
        <v>20</v>
      </c>
      <c r="K1721">
        <v>1251.2</v>
      </c>
      <c r="L1721" t="s">
        <v>398</v>
      </c>
      <c r="M1721">
        <v>62.56</v>
      </c>
      <c r="N1721" t="s">
        <v>3980</v>
      </c>
      <c r="O1721" t="s">
        <v>3974</v>
      </c>
    </row>
    <row r="1722" spans="1:15" x14ac:dyDescent="0.2">
      <c r="A1722">
        <v>99</v>
      </c>
      <c r="B1722" t="s">
        <v>2117</v>
      </c>
      <c r="C1722" t="s">
        <v>743</v>
      </c>
      <c r="D1722" t="s">
        <v>1115</v>
      </c>
      <c r="E1722" t="s">
        <v>168</v>
      </c>
      <c r="F1722">
        <v>1.3389</v>
      </c>
      <c r="G1722">
        <v>6.2359999999999998</v>
      </c>
      <c r="H1722" t="s">
        <v>1052</v>
      </c>
      <c r="I1722" t="s">
        <v>1152</v>
      </c>
      <c r="J1722">
        <v>8.3493803999999994</v>
      </c>
      <c r="K1722">
        <v>522.33723799999996</v>
      </c>
      <c r="L1722" t="s">
        <v>398</v>
      </c>
      <c r="M1722">
        <v>62.56</v>
      </c>
      <c r="N1722" t="s">
        <v>3973</v>
      </c>
      <c r="O1722" t="s">
        <v>3974</v>
      </c>
    </row>
    <row r="1723" spans="1:15" x14ac:dyDescent="0.2">
      <c r="A1723">
        <v>99</v>
      </c>
      <c r="B1723" t="s">
        <v>2117</v>
      </c>
      <c r="C1723" t="s">
        <v>743</v>
      </c>
      <c r="D1723" t="s">
        <v>1010</v>
      </c>
      <c r="E1723" t="s">
        <v>1140</v>
      </c>
      <c r="F1723">
        <v>0</v>
      </c>
      <c r="G1723">
        <v>35</v>
      </c>
      <c r="H1723" t="s">
        <v>151</v>
      </c>
      <c r="I1723" t="s">
        <v>1152</v>
      </c>
      <c r="J1723">
        <v>0</v>
      </c>
      <c r="K1723">
        <v>0</v>
      </c>
      <c r="L1723" t="s">
        <v>398</v>
      </c>
      <c r="M1723">
        <v>62.56</v>
      </c>
      <c r="N1723" t="s">
        <v>3977</v>
      </c>
      <c r="O1723" t="s">
        <v>3974</v>
      </c>
    </row>
    <row r="1724" spans="1:15" x14ac:dyDescent="0.2">
      <c r="A1724">
        <v>99</v>
      </c>
      <c r="B1724" t="s">
        <v>2117</v>
      </c>
      <c r="C1724" t="s">
        <v>743</v>
      </c>
      <c r="D1724" t="s">
        <v>157</v>
      </c>
      <c r="E1724" t="s">
        <v>3975</v>
      </c>
      <c r="F1724">
        <v>8.0199999999999994E-2</v>
      </c>
      <c r="G1724">
        <v>0.71</v>
      </c>
      <c r="H1724" t="s">
        <v>1781</v>
      </c>
      <c r="I1724" t="s">
        <v>1152</v>
      </c>
      <c r="J1724">
        <v>5.6942E-2</v>
      </c>
      <c r="K1724">
        <v>3.5622919999999998</v>
      </c>
      <c r="L1724" t="s">
        <v>398</v>
      </c>
      <c r="M1724">
        <v>62.56</v>
      </c>
      <c r="N1724" t="s">
        <v>3976</v>
      </c>
      <c r="O1724" t="s">
        <v>3974</v>
      </c>
    </row>
    <row r="1725" spans="1:15" x14ac:dyDescent="0.2">
      <c r="A1725">
        <v>99</v>
      </c>
      <c r="B1725" t="s">
        <v>2117</v>
      </c>
      <c r="C1725" t="s">
        <v>743</v>
      </c>
      <c r="D1725" t="s">
        <v>498</v>
      </c>
      <c r="E1725" t="s">
        <v>773</v>
      </c>
      <c r="F1725">
        <v>1.2</v>
      </c>
      <c r="G1725">
        <v>0</v>
      </c>
      <c r="H1725" t="s">
        <v>84</v>
      </c>
      <c r="I1725" t="s">
        <v>1152</v>
      </c>
      <c r="J1725">
        <v>0</v>
      </c>
      <c r="K1725">
        <v>0</v>
      </c>
      <c r="L1725" t="s">
        <v>398</v>
      </c>
      <c r="M1725">
        <v>62.56</v>
      </c>
      <c r="N1725" t="s">
        <v>3981</v>
      </c>
      <c r="O1725" t="s">
        <v>3974</v>
      </c>
    </row>
    <row r="1726" spans="1:15" x14ac:dyDescent="0.2">
      <c r="A1726">
        <v>99</v>
      </c>
      <c r="B1726" t="s">
        <v>2117</v>
      </c>
      <c r="C1726" t="s">
        <v>743</v>
      </c>
      <c r="D1726" t="s">
        <v>801</v>
      </c>
      <c r="E1726" t="s">
        <v>402</v>
      </c>
      <c r="F1726">
        <v>0</v>
      </c>
      <c r="G1726">
        <v>10.3</v>
      </c>
      <c r="H1726" t="s">
        <v>151</v>
      </c>
      <c r="I1726" t="s">
        <v>1152</v>
      </c>
      <c r="J1726">
        <v>0</v>
      </c>
      <c r="K1726">
        <v>0</v>
      </c>
      <c r="L1726" t="s">
        <v>398</v>
      </c>
      <c r="M1726">
        <v>62.56</v>
      </c>
      <c r="N1726" t="s">
        <v>3978</v>
      </c>
      <c r="O1726" t="s">
        <v>3974</v>
      </c>
    </row>
    <row r="1727" spans="1:15" x14ac:dyDescent="0.2">
      <c r="A1727">
        <v>99</v>
      </c>
      <c r="B1727" t="s">
        <v>2117</v>
      </c>
      <c r="C1727" t="s">
        <v>748</v>
      </c>
      <c r="D1727" t="s">
        <v>801</v>
      </c>
      <c r="E1727" t="s">
        <v>402</v>
      </c>
      <c r="F1727">
        <v>0</v>
      </c>
      <c r="G1727">
        <v>10.3</v>
      </c>
      <c r="H1727" t="s">
        <v>151</v>
      </c>
      <c r="I1727" t="s">
        <v>1152</v>
      </c>
      <c r="J1727">
        <v>0</v>
      </c>
      <c r="K1727">
        <v>0</v>
      </c>
      <c r="L1727" t="s">
        <v>395</v>
      </c>
      <c r="M1727">
        <v>22922.04</v>
      </c>
      <c r="N1727" t="s">
        <v>3987</v>
      </c>
      <c r="O1727" t="s">
        <v>3983</v>
      </c>
    </row>
    <row r="1728" spans="1:15" x14ac:dyDescent="0.2">
      <c r="A1728">
        <v>99</v>
      </c>
      <c r="B1728" t="s">
        <v>2117</v>
      </c>
      <c r="C1728" t="s">
        <v>748</v>
      </c>
      <c r="D1728" t="s">
        <v>498</v>
      </c>
      <c r="E1728" t="s">
        <v>773</v>
      </c>
      <c r="F1728">
        <v>1.2</v>
      </c>
      <c r="G1728">
        <v>0</v>
      </c>
      <c r="H1728" t="s">
        <v>84</v>
      </c>
      <c r="I1728" t="s">
        <v>1152</v>
      </c>
      <c r="J1728">
        <v>0</v>
      </c>
      <c r="K1728">
        <v>0</v>
      </c>
      <c r="L1728" t="s">
        <v>395</v>
      </c>
      <c r="M1728">
        <v>22922.04</v>
      </c>
      <c r="N1728" t="s">
        <v>3982</v>
      </c>
      <c r="O1728" t="s">
        <v>3983</v>
      </c>
    </row>
    <row r="1729" spans="1:15" x14ac:dyDescent="0.2">
      <c r="A1729">
        <v>99</v>
      </c>
      <c r="B1729" t="s">
        <v>2117</v>
      </c>
      <c r="C1729" t="s">
        <v>748</v>
      </c>
      <c r="D1729" t="s">
        <v>157</v>
      </c>
      <c r="E1729" t="s">
        <v>3975</v>
      </c>
      <c r="F1729">
        <v>8.0199999999999994E-2</v>
      </c>
      <c r="G1729">
        <v>0.71</v>
      </c>
      <c r="H1729" t="s">
        <v>1781</v>
      </c>
      <c r="I1729" t="s">
        <v>1152</v>
      </c>
      <c r="J1729">
        <v>5.6942E-2</v>
      </c>
      <c r="K1729">
        <v>1305.2268019999999</v>
      </c>
      <c r="L1729" t="s">
        <v>395</v>
      </c>
      <c r="M1729">
        <v>22922.04</v>
      </c>
      <c r="N1729" t="s">
        <v>3985</v>
      </c>
      <c r="O1729" t="s">
        <v>3983</v>
      </c>
    </row>
    <row r="1730" spans="1:15" x14ac:dyDescent="0.2">
      <c r="A1730">
        <v>99</v>
      </c>
      <c r="B1730" t="s">
        <v>2117</v>
      </c>
      <c r="C1730" t="s">
        <v>748</v>
      </c>
      <c r="D1730" t="s">
        <v>1114</v>
      </c>
      <c r="E1730" t="s">
        <v>1595</v>
      </c>
      <c r="F1730">
        <v>1.3389</v>
      </c>
      <c r="G1730">
        <v>2.6964000000000001</v>
      </c>
      <c r="H1730" t="s">
        <v>1052</v>
      </c>
      <c r="I1730" t="s">
        <v>1152</v>
      </c>
      <c r="J1730">
        <v>3.6102099600000002</v>
      </c>
      <c r="K1730">
        <v>82753.377112000002</v>
      </c>
      <c r="L1730" t="s">
        <v>395</v>
      </c>
      <c r="M1730">
        <v>22922.04</v>
      </c>
      <c r="N1730" t="s">
        <v>3984</v>
      </c>
      <c r="O1730" t="s">
        <v>3983</v>
      </c>
    </row>
    <row r="1731" spans="1:15" x14ac:dyDescent="0.2">
      <c r="A1731">
        <v>99</v>
      </c>
      <c r="B1731" t="s">
        <v>2117</v>
      </c>
      <c r="C1731" t="s">
        <v>748</v>
      </c>
      <c r="D1731" t="s">
        <v>1010</v>
      </c>
      <c r="E1731" t="s">
        <v>1140</v>
      </c>
      <c r="F1731">
        <v>0</v>
      </c>
      <c r="G1731">
        <v>35</v>
      </c>
      <c r="H1731" t="s">
        <v>151</v>
      </c>
      <c r="I1731" t="s">
        <v>1152</v>
      </c>
      <c r="J1731">
        <v>0</v>
      </c>
      <c r="K1731">
        <v>0</v>
      </c>
      <c r="L1731" t="s">
        <v>395</v>
      </c>
      <c r="M1731">
        <v>22922.04</v>
      </c>
      <c r="N1731" t="s">
        <v>3986</v>
      </c>
      <c r="O1731" t="s">
        <v>3983</v>
      </c>
    </row>
    <row r="1732" spans="1:15" x14ac:dyDescent="0.2">
      <c r="A1732">
        <v>99</v>
      </c>
      <c r="B1732" t="s">
        <v>2117</v>
      </c>
      <c r="C1732" t="s">
        <v>748</v>
      </c>
      <c r="D1732" t="s">
        <v>689</v>
      </c>
      <c r="E1732" t="s">
        <v>3979</v>
      </c>
      <c r="F1732">
        <v>1</v>
      </c>
      <c r="G1732">
        <v>20</v>
      </c>
      <c r="H1732" t="s">
        <v>1152</v>
      </c>
      <c r="I1732" t="s">
        <v>1152</v>
      </c>
      <c r="J1732">
        <v>20</v>
      </c>
      <c r="K1732">
        <v>458440.8</v>
      </c>
      <c r="L1732" t="s">
        <v>395</v>
      </c>
      <c r="M1732">
        <v>22922.04</v>
      </c>
      <c r="N1732" t="s">
        <v>3988</v>
      </c>
      <c r="O1732" t="s">
        <v>3983</v>
      </c>
    </row>
    <row r="1733" spans="1:15" x14ac:dyDescent="0.2">
      <c r="A1733">
        <v>99</v>
      </c>
      <c r="B1733" t="s">
        <v>2117</v>
      </c>
      <c r="C1733" t="s">
        <v>752</v>
      </c>
      <c r="D1733" t="s">
        <v>689</v>
      </c>
      <c r="E1733" t="s">
        <v>3979</v>
      </c>
      <c r="F1733">
        <v>1</v>
      </c>
      <c r="G1733">
        <v>20</v>
      </c>
      <c r="H1733" t="s">
        <v>1152</v>
      </c>
      <c r="I1733" t="s">
        <v>1152</v>
      </c>
      <c r="J1733">
        <v>20</v>
      </c>
      <c r="K1733">
        <v>386313</v>
      </c>
      <c r="L1733" t="s">
        <v>282</v>
      </c>
      <c r="M1733">
        <v>19315.650000000001</v>
      </c>
      <c r="N1733" t="s">
        <v>3995</v>
      </c>
      <c r="O1733" t="s">
        <v>3990</v>
      </c>
    </row>
    <row r="1734" spans="1:15" x14ac:dyDescent="0.2">
      <c r="A1734">
        <v>99</v>
      </c>
      <c r="B1734" t="s">
        <v>2117</v>
      </c>
      <c r="C1734" t="s">
        <v>752</v>
      </c>
      <c r="D1734" t="s">
        <v>1010</v>
      </c>
      <c r="E1734" t="s">
        <v>1140</v>
      </c>
      <c r="F1734">
        <v>0</v>
      </c>
      <c r="G1734">
        <v>35</v>
      </c>
      <c r="H1734" t="s">
        <v>151</v>
      </c>
      <c r="I1734" t="s">
        <v>1152</v>
      </c>
      <c r="J1734">
        <v>0</v>
      </c>
      <c r="K1734">
        <v>0</v>
      </c>
      <c r="L1734" t="s">
        <v>282</v>
      </c>
      <c r="M1734">
        <v>19315.650000000001</v>
      </c>
      <c r="N1734" t="s">
        <v>3993</v>
      </c>
      <c r="O1734" t="s">
        <v>3990</v>
      </c>
    </row>
    <row r="1735" spans="1:15" x14ac:dyDescent="0.2">
      <c r="A1735">
        <v>99</v>
      </c>
      <c r="B1735" t="s">
        <v>2117</v>
      </c>
      <c r="C1735" t="s">
        <v>752</v>
      </c>
      <c r="D1735" t="s">
        <v>1114</v>
      </c>
      <c r="E1735" t="s">
        <v>1595</v>
      </c>
      <c r="F1735">
        <v>1.3389</v>
      </c>
      <c r="G1735">
        <v>2.6964000000000001</v>
      </c>
      <c r="H1735" t="s">
        <v>1052</v>
      </c>
      <c r="I1735" t="s">
        <v>1152</v>
      </c>
      <c r="J1735">
        <v>3.6102099600000002</v>
      </c>
      <c r="K1735">
        <v>69733.552014000001</v>
      </c>
      <c r="L1735" t="s">
        <v>282</v>
      </c>
      <c r="M1735">
        <v>19315.650000000001</v>
      </c>
      <c r="N1735" t="s">
        <v>3991</v>
      </c>
      <c r="O1735" t="s">
        <v>3990</v>
      </c>
    </row>
    <row r="1736" spans="1:15" x14ac:dyDescent="0.2">
      <c r="A1736">
        <v>99</v>
      </c>
      <c r="B1736" t="s">
        <v>2117</v>
      </c>
      <c r="C1736" t="s">
        <v>752</v>
      </c>
      <c r="D1736" t="s">
        <v>157</v>
      </c>
      <c r="E1736" t="s">
        <v>3975</v>
      </c>
      <c r="F1736">
        <v>8.0199999999999994E-2</v>
      </c>
      <c r="G1736">
        <v>0.71</v>
      </c>
      <c r="H1736" t="s">
        <v>1781</v>
      </c>
      <c r="I1736" t="s">
        <v>1152</v>
      </c>
      <c r="J1736">
        <v>5.6942E-2</v>
      </c>
      <c r="K1736">
        <v>1099.871742</v>
      </c>
      <c r="L1736" t="s">
        <v>282</v>
      </c>
      <c r="M1736">
        <v>19315.650000000001</v>
      </c>
      <c r="N1736" t="s">
        <v>3992</v>
      </c>
      <c r="O1736" t="s">
        <v>3990</v>
      </c>
    </row>
    <row r="1737" spans="1:15" x14ac:dyDescent="0.2">
      <c r="A1737">
        <v>99</v>
      </c>
      <c r="B1737" t="s">
        <v>2117</v>
      </c>
      <c r="C1737" t="s">
        <v>752</v>
      </c>
      <c r="D1737" t="s">
        <v>498</v>
      </c>
      <c r="E1737" t="s">
        <v>773</v>
      </c>
      <c r="F1737">
        <v>1.2</v>
      </c>
      <c r="G1737">
        <v>0</v>
      </c>
      <c r="H1737" t="s">
        <v>84</v>
      </c>
      <c r="I1737" t="s">
        <v>1152</v>
      </c>
      <c r="J1737">
        <v>0</v>
      </c>
      <c r="K1737">
        <v>0</v>
      </c>
      <c r="L1737" t="s">
        <v>282</v>
      </c>
      <c r="M1737">
        <v>19315.650000000001</v>
      </c>
      <c r="N1737" t="s">
        <v>3989</v>
      </c>
      <c r="O1737" t="s">
        <v>3990</v>
      </c>
    </row>
    <row r="1738" spans="1:15" x14ac:dyDescent="0.2">
      <c r="A1738">
        <v>99</v>
      </c>
      <c r="B1738" t="s">
        <v>2117</v>
      </c>
      <c r="C1738" t="s">
        <v>752</v>
      </c>
      <c r="D1738" t="s">
        <v>801</v>
      </c>
      <c r="E1738" t="s">
        <v>402</v>
      </c>
      <c r="F1738">
        <v>0</v>
      </c>
      <c r="G1738">
        <v>10.3</v>
      </c>
      <c r="H1738" t="s">
        <v>151</v>
      </c>
      <c r="I1738" t="s">
        <v>1152</v>
      </c>
      <c r="J1738">
        <v>0</v>
      </c>
      <c r="K1738">
        <v>0</v>
      </c>
      <c r="L1738" t="s">
        <v>282</v>
      </c>
      <c r="M1738">
        <v>19315.650000000001</v>
      </c>
      <c r="N1738" t="s">
        <v>3994</v>
      </c>
      <c r="O1738" t="s">
        <v>3990</v>
      </c>
    </row>
    <row r="1739" spans="1:15" x14ac:dyDescent="0.2">
      <c r="A1739">
        <v>99</v>
      </c>
      <c r="B1739" t="s">
        <v>2117</v>
      </c>
      <c r="C1739" t="s">
        <v>631</v>
      </c>
      <c r="D1739" t="s">
        <v>801</v>
      </c>
      <c r="E1739" t="s">
        <v>402</v>
      </c>
      <c r="F1739">
        <v>0</v>
      </c>
      <c r="G1739">
        <v>10.3</v>
      </c>
      <c r="H1739" t="s">
        <v>151</v>
      </c>
      <c r="I1739" t="s">
        <v>1152</v>
      </c>
      <c r="J1739">
        <v>0</v>
      </c>
      <c r="K1739">
        <v>0</v>
      </c>
      <c r="L1739" t="s">
        <v>156</v>
      </c>
      <c r="M1739">
        <v>462.25</v>
      </c>
      <c r="N1739" t="s">
        <v>4003</v>
      </c>
      <c r="O1739" t="s">
        <v>3998</v>
      </c>
    </row>
    <row r="1740" spans="1:15" x14ac:dyDescent="0.2">
      <c r="A1740">
        <v>99</v>
      </c>
      <c r="B1740" t="s">
        <v>2117</v>
      </c>
      <c r="C1740" t="s">
        <v>631</v>
      </c>
      <c r="D1740" t="s">
        <v>1249</v>
      </c>
      <c r="E1740" t="s">
        <v>3996</v>
      </c>
      <c r="F1740">
        <v>6.54E-2</v>
      </c>
      <c r="G1740">
        <v>6.6666999999999996</v>
      </c>
      <c r="H1740" t="s">
        <v>152</v>
      </c>
      <c r="I1740" t="s">
        <v>1152</v>
      </c>
      <c r="J1740">
        <v>0.43600218000000002</v>
      </c>
      <c r="K1740">
        <v>201.54200800000001</v>
      </c>
      <c r="L1740" t="s">
        <v>156</v>
      </c>
      <c r="M1740">
        <v>462.25</v>
      </c>
      <c r="N1740" t="s">
        <v>3997</v>
      </c>
      <c r="O1740" t="s">
        <v>3998</v>
      </c>
    </row>
    <row r="1741" spans="1:15" x14ac:dyDescent="0.2">
      <c r="A1741">
        <v>99</v>
      </c>
      <c r="B1741" t="s">
        <v>2117</v>
      </c>
      <c r="C1741" t="s">
        <v>631</v>
      </c>
      <c r="D1741" t="s">
        <v>498</v>
      </c>
      <c r="E1741" t="s">
        <v>773</v>
      </c>
      <c r="F1741">
        <v>1.2</v>
      </c>
      <c r="G1741">
        <v>0</v>
      </c>
      <c r="H1741" t="s">
        <v>84</v>
      </c>
      <c r="I1741" t="s">
        <v>1152</v>
      </c>
      <c r="J1741">
        <v>0</v>
      </c>
      <c r="K1741">
        <v>0</v>
      </c>
      <c r="L1741" t="s">
        <v>156</v>
      </c>
      <c r="M1741">
        <v>462.25</v>
      </c>
      <c r="N1741" t="s">
        <v>4006</v>
      </c>
      <c r="O1741" t="s">
        <v>3998</v>
      </c>
    </row>
    <row r="1742" spans="1:15" x14ac:dyDescent="0.2">
      <c r="A1742">
        <v>99</v>
      </c>
      <c r="B1742" t="s">
        <v>2117</v>
      </c>
      <c r="C1742" t="s">
        <v>631</v>
      </c>
      <c r="D1742" t="s">
        <v>1010</v>
      </c>
      <c r="E1742" t="s">
        <v>1140</v>
      </c>
      <c r="F1742">
        <v>0</v>
      </c>
      <c r="G1742">
        <v>35</v>
      </c>
      <c r="H1742" t="s">
        <v>151</v>
      </c>
      <c r="I1742" t="s">
        <v>1152</v>
      </c>
      <c r="J1742">
        <v>0</v>
      </c>
      <c r="K1742">
        <v>0</v>
      </c>
      <c r="L1742" t="s">
        <v>156</v>
      </c>
      <c r="M1742">
        <v>462.25</v>
      </c>
      <c r="N1742" t="s">
        <v>4002</v>
      </c>
      <c r="O1742" t="s">
        <v>3998</v>
      </c>
    </row>
    <row r="1743" spans="1:15" x14ac:dyDescent="0.2">
      <c r="A1743">
        <v>99</v>
      </c>
      <c r="B1743" t="s">
        <v>2117</v>
      </c>
      <c r="C1743" t="s">
        <v>631</v>
      </c>
      <c r="D1743" t="s">
        <v>897</v>
      </c>
      <c r="E1743" t="s">
        <v>3999</v>
      </c>
      <c r="F1743">
        <v>0.13850000000000001</v>
      </c>
      <c r="G1743">
        <v>11.666700000000001</v>
      </c>
      <c r="H1743" t="s">
        <v>152</v>
      </c>
      <c r="I1743" t="s">
        <v>1152</v>
      </c>
      <c r="J1743">
        <v>1.61583795</v>
      </c>
      <c r="K1743">
        <v>746.92109200000004</v>
      </c>
      <c r="L1743" t="s">
        <v>156</v>
      </c>
      <c r="M1743">
        <v>462.25</v>
      </c>
      <c r="N1743" t="s">
        <v>4000</v>
      </c>
      <c r="O1743" t="s">
        <v>3998</v>
      </c>
    </row>
    <row r="1744" spans="1:15" x14ac:dyDescent="0.2">
      <c r="A1744">
        <v>99</v>
      </c>
      <c r="B1744" t="s">
        <v>2117</v>
      </c>
      <c r="C1744" t="s">
        <v>631</v>
      </c>
      <c r="D1744" t="s">
        <v>1650</v>
      </c>
      <c r="E1744" t="s">
        <v>386</v>
      </c>
      <c r="F1744">
        <v>0.01</v>
      </c>
      <c r="G1744">
        <v>8.0399999999999991</v>
      </c>
      <c r="H1744" t="s">
        <v>1781</v>
      </c>
      <c r="I1744" t="s">
        <v>1152</v>
      </c>
      <c r="J1744">
        <v>8.0399999999999999E-2</v>
      </c>
      <c r="K1744">
        <v>37.164900000000003</v>
      </c>
      <c r="L1744" t="s">
        <v>156</v>
      </c>
      <c r="M1744">
        <v>462.25</v>
      </c>
      <c r="N1744" t="s">
        <v>4001</v>
      </c>
      <c r="O1744" t="s">
        <v>3998</v>
      </c>
    </row>
    <row r="1745" spans="1:15" x14ac:dyDescent="0.2">
      <c r="A1745">
        <v>99</v>
      </c>
      <c r="B1745" t="s">
        <v>2117</v>
      </c>
      <c r="C1745" t="s">
        <v>631</v>
      </c>
      <c r="D1745" t="s">
        <v>692</v>
      </c>
      <c r="E1745" t="s">
        <v>4004</v>
      </c>
      <c r="F1745">
        <v>1</v>
      </c>
      <c r="G1745">
        <v>16</v>
      </c>
      <c r="H1745" t="s">
        <v>1152</v>
      </c>
      <c r="I1745" t="s">
        <v>1152</v>
      </c>
      <c r="J1745">
        <v>16</v>
      </c>
      <c r="K1745">
        <v>7396</v>
      </c>
      <c r="L1745" t="s">
        <v>156</v>
      </c>
      <c r="M1745">
        <v>462.25</v>
      </c>
      <c r="N1745" t="s">
        <v>4005</v>
      </c>
      <c r="O1745" t="s">
        <v>3998</v>
      </c>
    </row>
    <row r="1746" spans="1:15" x14ac:dyDescent="0.2">
      <c r="A1746">
        <v>99</v>
      </c>
      <c r="B1746" t="s">
        <v>2117</v>
      </c>
      <c r="C1746" t="s">
        <v>635</v>
      </c>
      <c r="D1746" t="s">
        <v>692</v>
      </c>
      <c r="E1746" t="s">
        <v>4004</v>
      </c>
      <c r="F1746">
        <v>1</v>
      </c>
      <c r="G1746">
        <v>16</v>
      </c>
      <c r="H1746" t="s">
        <v>1152</v>
      </c>
      <c r="I1746" t="s">
        <v>1152</v>
      </c>
      <c r="J1746">
        <v>16</v>
      </c>
      <c r="K1746">
        <v>1000.96</v>
      </c>
      <c r="L1746" t="s">
        <v>449</v>
      </c>
      <c r="M1746">
        <v>62.56</v>
      </c>
      <c r="N1746" t="s">
        <v>4012</v>
      </c>
      <c r="O1746" t="s">
        <v>4009</v>
      </c>
    </row>
    <row r="1747" spans="1:15" x14ac:dyDescent="0.2">
      <c r="A1747">
        <v>99</v>
      </c>
      <c r="B1747" t="s">
        <v>2117</v>
      </c>
      <c r="C1747" t="s">
        <v>635</v>
      </c>
      <c r="D1747" t="s">
        <v>1010</v>
      </c>
      <c r="E1747" t="s">
        <v>1140</v>
      </c>
      <c r="F1747">
        <v>0</v>
      </c>
      <c r="G1747">
        <v>35</v>
      </c>
      <c r="H1747" t="s">
        <v>151</v>
      </c>
      <c r="I1747" t="s">
        <v>1152</v>
      </c>
      <c r="J1747">
        <v>0</v>
      </c>
      <c r="K1747">
        <v>0</v>
      </c>
      <c r="L1747" t="s">
        <v>449</v>
      </c>
      <c r="M1747">
        <v>62.56</v>
      </c>
      <c r="N1747" t="s">
        <v>4010</v>
      </c>
      <c r="O1747" t="s">
        <v>4009</v>
      </c>
    </row>
    <row r="1748" spans="1:15" x14ac:dyDescent="0.2">
      <c r="A1748">
        <v>99</v>
      </c>
      <c r="B1748" t="s">
        <v>2117</v>
      </c>
      <c r="C1748" t="s">
        <v>635</v>
      </c>
      <c r="D1748" t="s">
        <v>893</v>
      </c>
      <c r="E1748" t="s">
        <v>4007</v>
      </c>
      <c r="F1748">
        <v>0.18870000000000001</v>
      </c>
      <c r="G1748">
        <v>39.590000000000003</v>
      </c>
      <c r="H1748" t="s">
        <v>152</v>
      </c>
      <c r="I1748" t="s">
        <v>1152</v>
      </c>
      <c r="J1748">
        <v>7.4706330000000003</v>
      </c>
      <c r="K1748">
        <v>467.36279999999999</v>
      </c>
      <c r="L1748" t="s">
        <v>449</v>
      </c>
      <c r="M1748">
        <v>62.56</v>
      </c>
      <c r="N1748" t="s">
        <v>4008</v>
      </c>
      <c r="O1748" t="s">
        <v>4009</v>
      </c>
    </row>
    <row r="1749" spans="1:15" x14ac:dyDescent="0.2">
      <c r="A1749">
        <v>99</v>
      </c>
      <c r="B1749" t="s">
        <v>2117</v>
      </c>
      <c r="C1749" t="s">
        <v>635</v>
      </c>
      <c r="D1749" t="s">
        <v>498</v>
      </c>
      <c r="E1749" t="s">
        <v>773</v>
      </c>
      <c r="F1749">
        <v>1.2</v>
      </c>
      <c r="G1749">
        <v>0</v>
      </c>
      <c r="H1749" t="s">
        <v>84</v>
      </c>
      <c r="I1749" t="s">
        <v>1152</v>
      </c>
      <c r="J1749">
        <v>0</v>
      </c>
      <c r="K1749">
        <v>0</v>
      </c>
      <c r="L1749" t="s">
        <v>449</v>
      </c>
      <c r="M1749">
        <v>62.56</v>
      </c>
      <c r="N1749" t="s">
        <v>4013</v>
      </c>
      <c r="O1749" t="s">
        <v>4009</v>
      </c>
    </row>
    <row r="1750" spans="1:15" x14ac:dyDescent="0.2">
      <c r="A1750">
        <v>99</v>
      </c>
      <c r="B1750" t="s">
        <v>2117</v>
      </c>
      <c r="C1750" t="s">
        <v>635</v>
      </c>
      <c r="D1750" t="s">
        <v>801</v>
      </c>
      <c r="E1750" t="s">
        <v>402</v>
      </c>
      <c r="F1750">
        <v>0</v>
      </c>
      <c r="G1750">
        <v>10.3</v>
      </c>
      <c r="H1750" t="s">
        <v>151</v>
      </c>
      <c r="I1750" t="s">
        <v>1152</v>
      </c>
      <c r="J1750">
        <v>0</v>
      </c>
      <c r="K1750">
        <v>0</v>
      </c>
      <c r="L1750" t="s">
        <v>449</v>
      </c>
      <c r="M1750">
        <v>62.56</v>
      </c>
      <c r="N1750" t="s">
        <v>4011</v>
      </c>
      <c r="O1750" t="s">
        <v>4009</v>
      </c>
    </row>
    <row r="1751" spans="1:15" x14ac:dyDescent="0.2">
      <c r="A1751">
        <v>99</v>
      </c>
      <c r="B1751" t="s">
        <v>2117</v>
      </c>
      <c r="C1751" t="s">
        <v>641</v>
      </c>
      <c r="D1751" t="s">
        <v>801</v>
      </c>
      <c r="E1751" t="s">
        <v>402</v>
      </c>
      <c r="F1751">
        <v>0</v>
      </c>
      <c r="G1751">
        <v>10.3</v>
      </c>
      <c r="H1751" t="s">
        <v>151</v>
      </c>
      <c r="I1751" t="s">
        <v>1152</v>
      </c>
      <c r="J1751">
        <v>0</v>
      </c>
      <c r="K1751">
        <v>0</v>
      </c>
      <c r="L1751" t="s">
        <v>399</v>
      </c>
      <c r="M1751">
        <v>22680.45</v>
      </c>
      <c r="N1751" t="s">
        <v>4018</v>
      </c>
      <c r="O1751" t="s">
        <v>4016</v>
      </c>
    </row>
    <row r="1752" spans="1:15" x14ac:dyDescent="0.2">
      <c r="A1752">
        <v>99</v>
      </c>
      <c r="B1752" t="s">
        <v>2117</v>
      </c>
      <c r="C1752" t="s">
        <v>641</v>
      </c>
      <c r="D1752" t="s">
        <v>849</v>
      </c>
      <c r="E1752" t="s">
        <v>4014</v>
      </c>
      <c r="F1752">
        <v>0.15629999999999999</v>
      </c>
      <c r="G1752">
        <v>41.25</v>
      </c>
      <c r="H1752" t="s">
        <v>152</v>
      </c>
      <c r="I1752" t="s">
        <v>1152</v>
      </c>
      <c r="J1752">
        <v>6.4473750000000001</v>
      </c>
      <c r="K1752">
        <v>146229.36631899999</v>
      </c>
      <c r="L1752" t="s">
        <v>399</v>
      </c>
      <c r="M1752">
        <v>22680.45</v>
      </c>
      <c r="N1752" t="s">
        <v>4015</v>
      </c>
      <c r="O1752" t="s">
        <v>4016</v>
      </c>
    </row>
    <row r="1753" spans="1:15" x14ac:dyDescent="0.2">
      <c r="A1753">
        <v>99</v>
      </c>
      <c r="B1753" t="s">
        <v>2117</v>
      </c>
      <c r="C1753" t="s">
        <v>641</v>
      </c>
      <c r="D1753" t="s">
        <v>498</v>
      </c>
      <c r="E1753" t="s">
        <v>773</v>
      </c>
      <c r="F1753">
        <v>1.2</v>
      </c>
      <c r="G1753">
        <v>0</v>
      </c>
      <c r="H1753" t="s">
        <v>84</v>
      </c>
      <c r="I1753" t="s">
        <v>1152</v>
      </c>
      <c r="J1753">
        <v>0</v>
      </c>
      <c r="K1753">
        <v>0</v>
      </c>
      <c r="L1753" t="s">
        <v>399</v>
      </c>
      <c r="M1753">
        <v>22680.45</v>
      </c>
      <c r="N1753" t="s">
        <v>4020</v>
      </c>
      <c r="O1753" t="s">
        <v>4016</v>
      </c>
    </row>
    <row r="1754" spans="1:15" x14ac:dyDescent="0.2">
      <c r="A1754">
        <v>99</v>
      </c>
      <c r="B1754" t="s">
        <v>2117</v>
      </c>
      <c r="C1754" t="s">
        <v>641</v>
      </c>
      <c r="D1754" t="s">
        <v>1010</v>
      </c>
      <c r="E1754" t="s">
        <v>1140</v>
      </c>
      <c r="F1754">
        <v>0</v>
      </c>
      <c r="G1754">
        <v>35</v>
      </c>
      <c r="H1754" t="s">
        <v>151</v>
      </c>
      <c r="I1754" t="s">
        <v>1152</v>
      </c>
      <c r="J1754">
        <v>0</v>
      </c>
      <c r="K1754">
        <v>0</v>
      </c>
      <c r="L1754" t="s">
        <v>399</v>
      </c>
      <c r="M1754">
        <v>22680.45</v>
      </c>
      <c r="N1754" t="s">
        <v>4017</v>
      </c>
      <c r="O1754" t="s">
        <v>4016</v>
      </c>
    </row>
    <row r="1755" spans="1:15" x14ac:dyDescent="0.2">
      <c r="A1755">
        <v>99</v>
      </c>
      <c r="B1755" t="s">
        <v>2117</v>
      </c>
      <c r="C1755" t="s">
        <v>641</v>
      </c>
      <c r="D1755" t="s">
        <v>692</v>
      </c>
      <c r="E1755" t="s">
        <v>4004</v>
      </c>
      <c r="F1755">
        <v>1</v>
      </c>
      <c r="G1755">
        <v>16</v>
      </c>
      <c r="H1755" t="s">
        <v>1152</v>
      </c>
      <c r="I1755" t="s">
        <v>1152</v>
      </c>
      <c r="J1755">
        <v>16</v>
      </c>
      <c r="K1755">
        <v>362887.2</v>
      </c>
      <c r="L1755" t="s">
        <v>399</v>
      </c>
      <c r="M1755">
        <v>22680.45</v>
      </c>
      <c r="N1755" t="s">
        <v>4019</v>
      </c>
      <c r="O1755" t="s">
        <v>4016</v>
      </c>
    </row>
    <row r="1756" spans="1:15" x14ac:dyDescent="0.2">
      <c r="A1756">
        <v>99</v>
      </c>
      <c r="B1756" t="s">
        <v>2117</v>
      </c>
      <c r="C1756" t="s">
        <v>642</v>
      </c>
      <c r="D1756" t="s">
        <v>696</v>
      </c>
      <c r="E1756" t="s">
        <v>4021</v>
      </c>
      <c r="F1756">
        <v>1</v>
      </c>
      <c r="G1756">
        <v>56</v>
      </c>
      <c r="H1756" t="s">
        <v>1152</v>
      </c>
      <c r="I1756" t="s">
        <v>1152</v>
      </c>
      <c r="J1756">
        <v>56</v>
      </c>
      <c r="K1756">
        <v>13214.88</v>
      </c>
      <c r="L1756" t="s">
        <v>400</v>
      </c>
      <c r="M1756">
        <v>235.98</v>
      </c>
      <c r="N1756" t="s">
        <v>4022</v>
      </c>
      <c r="O1756" t="s">
        <v>4023</v>
      </c>
    </row>
    <row r="1757" spans="1:15" x14ac:dyDescent="0.2">
      <c r="A1757">
        <v>99</v>
      </c>
      <c r="B1757" t="s">
        <v>2117</v>
      </c>
      <c r="C1757" t="s">
        <v>642</v>
      </c>
      <c r="D1757" t="s">
        <v>1010</v>
      </c>
      <c r="E1757" t="s">
        <v>1140</v>
      </c>
      <c r="F1757">
        <v>0</v>
      </c>
      <c r="G1757">
        <v>35</v>
      </c>
      <c r="H1757" t="s">
        <v>151</v>
      </c>
      <c r="I1757" t="s">
        <v>1152</v>
      </c>
      <c r="J1757">
        <v>0</v>
      </c>
      <c r="K1757">
        <v>0</v>
      </c>
      <c r="L1757" t="s">
        <v>400</v>
      </c>
      <c r="M1757">
        <v>235.98</v>
      </c>
      <c r="N1757" t="s">
        <v>4028</v>
      </c>
      <c r="O1757" t="s">
        <v>4023</v>
      </c>
    </row>
    <row r="1758" spans="1:15" x14ac:dyDescent="0.2">
      <c r="A1758">
        <v>99</v>
      </c>
      <c r="B1758" t="s">
        <v>2117</v>
      </c>
      <c r="C1758" t="s">
        <v>642</v>
      </c>
      <c r="D1758" t="s">
        <v>1252</v>
      </c>
      <c r="E1758" t="s">
        <v>201</v>
      </c>
      <c r="F1758">
        <v>9.0899999999999995E-2</v>
      </c>
      <c r="G1758">
        <v>6.3869999999999996</v>
      </c>
      <c r="H1758" t="s">
        <v>152</v>
      </c>
      <c r="I1758" t="s">
        <v>1152</v>
      </c>
      <c r="J1758">
        <v>0.58057829999999999</v>
      </c>
      <c r="K1758">
        <v>137.00486699999999</v>
      </c>
      <c r="L1758" t="s">
        <v>400</v>
      </c>
      <c r="M1758">
        <v>235.98</v>
      </c>
      <c r="N1758" t="s">
        <v>4025</v>
      </c>
      <c r="O1758" t="s">
        <v>4023</v>
      </c>
    </row>
    <row r="1759" spans="1:15" x14ac:dyDescent="0.2">
      <c r="A1759">
        <v>99</v>
      </c>
      <c r="B1759" t="s">
        <v>2117</v>
      </c>
      <c r="C1759" t="s">
        <v>642</v>
      </c>
      <c r="D1759" t="s">
        <v>498</v>
      </c>
      <c r="E1759" t="s">
        <v>773</v>
      </c>
      <c r="F1759">
        <v>1.2</v>
      </c>
      <c r="G1759">
        <v>0</v>
      </c>
      <c r="H1759" t="s">
        <v>84</v>
      </c>
      <c r="I1759" t="s">
        <v>1152</v>
      </c>
      <c r="J1759">
        <v>0</v>
      </c>
      <c r="K1759">
        <v>0</v>
      </c>
      <c r="L1759" t="s">
        <v>400</v>
      </c>
      <c r="M1759">
        <v>235.98</v>
      </c>
      <c r="N1759" t="s">
        <v>4024</v>
      </c>
      <c r="O1759" t="s">
        <v>4023</v>
      </c>
    </row>
    <row r="1760" spans="1:15" x14ac:dyDescent="0.2">
      <c r="A1760">
        <v>99</v>
      </c>
      <c r="B1760" t="s">
        <v>2117</v>
      </c>
      <c r="C1760" t="s">
        <v>642</v>
      </c>
      <c r="D1760" t="s">
        <v>701</v>
      </c>
      <c r="E1760" t="s">
        <v>4026</v>
      </c>
      <c r="F1760">
        <v>0.3</v>
      </c>
      <c r="G1760">
        <v>11.4</v>
      </c>
      <c r="H1760" t="s">
        <v>1052</v>
      </c>
      <c r="I1760" t="s">
        <v>1152</v>
      </c>
      <c r="J1760">
        <v>3.42</v>
      </c>
      <c r="K1760">
        <v>807.05160000000001</v>
      </c>
      <c r="L1760" t="s">
        <v>400</v>
      </c>
      <c r="M1760">
        <v>235.98</v>
      </c>
      <c r="N1760" t="s">
        <v>4027</v>
      </c>
      <c r="O1760" t="s">
        <v>4023</v>
      </c>
    </row>
    <row r="1761" spans="1:15" x14ac:dyDescent="0.2">
      <c r="A1761">
        <v>99</v>
      </c>
      <c r="B1761" t="s">
        <v>2117</v>
      </c>
      <c r="C1761" t="s">
        <v>642</v>
      </c>
      <c r="D1761" t="s">
        <v>801</v>
      </c>
      <c r="E1761" t="s">
        <v>402</v>
      </c>
      <c r="F1761">
        <v>0</v>
      </c>
      <c r="G1761">
        <v>10.3</v>
      </c>
      <c r="H1761" t="s">
        <v>151</v>
      </c>
      <c r="I1761" t="s">
        <v>1152</v>
      </c>
      <c r="J1761">
        <v>0</v>
      </c>
      <c r="K1761">
        <v>0</v>
      </c>
      <c r="L1761" t="s">
        <v>400</v>
      </c>
      <c r="M1761">
        <v>235.98</v>
      </c>
      <c r="N1761" t="s">
        <v>4029</v>
      </c>
      <c r="O1761" t="s">
        <v>4023</v>
      </c>
    </row>
    <row r="1762" spans="1:15" x14ac:dyDescent="0.2">
      <c r="A1762">
        <v>99</v>
      </c>
      <c r="B1762" t="s">
        <v>2117</v>
      </c>
      <c r="C1762" t="s">
        <v>644</v>
      </c>
      <c r="D1762" t="s">
        <v>801</v>
      </c>
      <c r="E1762" t="s">
        <v>402</v>
      </c>
      <c r="F1762">
        <v>0</v>
      </c>
      <c r="G1762">
        <v>10.3</v>
      </c>
      <c r="H1762" t="s">
        <v>151</v>
      </c>
      <c r="I1762" t="s">
        <v>1152</v>
      </c>
      <c r="J1762">
        <v>0</v>
      </c>
      <c r="K1762">
        <v>0</v>
      </c>
      <c r="L1762" t="s">
        <v>284</v>
      </c>
      <c r="M1762">
        <v>19120.53</v>
      </c>
      <c r="N1762" t="s">
        <v>4034</v>
      </c>
      <c r="O1762" t="s">
        <v>4032</v>
      </c>
    </row>
    <row r="1763" spans="1:15" x14ac:dyDescent="0.2">
      <c r="A1763">
        <v>99</v>
      </c>
      <c r="B1763" t="s">
        <v>2117</v>
      </c>
      <c r="C1763" t="s">
        <v>644</v>
      </c>
      <c r="D1763" t="s">
        <v>902</v>
      </c>
      <c r="E1763" t="s">
        <v>4030</v>
      </c>
      <c r="F1763">
        <v>0.15629999999999999</v>
      </c>
      <c r="G1763">
        <v>25</v>
      </c>
      <c r="H1763" t="s">
        <v>152</v>
      </c>
      <c r="I1763" t="s">
        <v>1152</v>
      </c>
      <c r="J1763">
        <v>3.9075000000000002</v>
      </c>
      <c r="K1763">
        <v>74713.470975000004</v>
      </c>
      <c r="L1763" t="s">
        <v>284</v>
      </c>
      <c r="M1763">
        <v>19120.53</v>
      </c>
      <c r="N1763" t="s">
        <v>4031</v>
      </c>
      <c r="O1763" t="s">
        <v>4032</v>
      </c>
    </row>
    <row r="1764" spans="1:15" x14ac:dyDescent="0.2">
      <c r="A1764">
        <v>99</v>
      </c>
      <c r="B1764" t="s">
        <v>2117</v>
      </c>
      <c r="C1764" t="s">
        <v>644</v>
      </c>
      <c r="D1764" t="s">
        <v>498</v>
      </c>
      <c r="E1764" t="s">
        <v>773</v>
      </c>
      <c r="F1764">
        <v>1.2</v>
      </c>
      <c r="G1764">
        <v>0</v>
      </c>
      <c r="H1764" t="s">
        <v>84</v>
      </c>
      <c r="I1764" t="s">
        <v>1152</v>
      </c>
      <c r="J1764">
        <v>0</v>
      </c>
      <c r="K1764">
        <v>0</v>
      </c>
      <c r="L1764" t="s">
        <v>284</v>
      </c>
      <c r="M1764">
        <v>19120.53</v>
      </c>
      <c r="N1764" t="s">
        <v>4036</v>
      </c>
      <c r="O1764" t="s">
        <v>4032</v>
      </c>
    </row>
    <row r="1765" spans="1:15" x14ac:dyDescent="0.2">
      <c r="A1765">
        <v>99</v>
      </c>
      <c r="B1765" t="s">
        <v>2117</v>
      </c>
      <c r="C1765" t="s">
        <v>644</v>
      </c>
      <c r="D1765" t="s">
        <v>1010</v>
      </c>
      <c r="E1765" t="s">
        <v>1140</v>
      </c>
      <c r="F1765">
        <v>0</v>
      </c>
      <c r="G1765">
        <v>35</v>
      </c>
      <c r="H1765" t="s">
        <v>151</v>
      </c>
      <c r="I1765" t="s">
        <v>1152</v>
      </c>
      <c r="J1765">
        <v>0</v>
      </c>
      <c r="K1765">
        <v>0</v>
      </c>
      <c r="L1765" t="s">
        <v>284</v>
      </c>
      <c r="M1765">
        <v>19120.53</v>
      </c>
      <c r="N1765" t="s">
        <v>4033</v>
      </c>
      <c r="O1765" t="s">
        <v>4032</v>
      </c>
    </row>
    <row r="1766" spans="1:15" x14ac:dyDescent="0.2">
      <c r="A1766">
        <v>99</v>
      </c>
      <c r="B1766" t="s">
        <v>2117</v>
      </c>
      <c r="C1766" t="s">
        <v>644</v>
      </c>
      <c r="D1766" t="s">
        <v>692</v>
      </c>
      <c r="E1766" t="s">
        <v>4004</v>
      </c>
      <c r="F1766">
        <v>1</v>
      </c>
      <c r="G1766">
        <v>16</v>
      </c>
      <c r="H1766" t="s">
        <v>1152</v>
      </c>
      <c r="I1766" t="s">
        <v>1152</v>
      </c>
      <c r="J1766">
        <v>16</v>
      </c>
      <c r="K1766">
        <v>305928.48</v>
      </c>
      <c r="L1766" t="s">
        <v>284</v>
      </c>
      <c r="M1766">
        <v>19120.53</v>
      </c>
      <c r="N1766" t="s">
        <v>4035</v>
      </c>
      <c r="O1766" t="s">
        <v>4032</v>
      </c>
    </row>
    <row r="1767" spans="1:15" x14ac:dyDescent="0.2">
      <c r="A1767">
        <v>99</v>
      </c>
      <c r="B1767" t="s">
        <v>2117</v>
      </c>
      <c r="C1767" t="s">
        <v>691</v>
      </c>
      <c r="D1767" t="s">
        <v>692</v>
      </c>
      <c r="E1767" t="s">
        <v>4004</v>
      </c>
      <c r="F1767">
        <v>1</v>
      </c>
      <c r="G1767">
        <v>16</v>
      </c>
      <c r="H1767" t="s">
        <v>1152</v>
      </c>
      <c r="I1767" t="s">
        <v>1152</v>
      </c>
      <c r="J1767">
        <v>16</v>
      </c>
      <c r="K1767">
        <v>350.08</v>
      </c>
      <c r="L1767" t="s">
        <v>288</v>
      </c>
      <c r="M1767">
        <v>21.88</v>
      </c>
      <c r="N1767" t="s">
        <v>4042</v>
      </c>
      <c r="O1767" t="s">
        <v>4039</v>
      </c>
    </row>
    <row r="1768" spans="1:15" x14ac:dyDescent="0.2">
      <c r="A1768">
        <v>99</v>
      </c>
      <c r="B1768" t="s">
        <v>2117</v>
      </c>
      <c r="C1768" t="s">
        <v>691</v>
      </c>
      <c r="D1768" t="s">
        <v>1010</v>
      </c>
      <c r="E1768" t="s">
        <v>1140</v>
      </c>
      <c r="F1768">
        <v>0</v>
      </c>
      <c r="G1768">
        <v>35</v>
      </c>
      <c r="H1768" t="s">
        <v>151</v>
      </c>
      <c r="I1768" t="s">
        <v>1152</v>
      </c>
      <c r="J1768">
        <v>0</v>
      </c>
      <c r="K1768">
        <v>0</v>
      </c>
      <c r="L1768" t="s">
        <v>288</v>
      </c>
      <c r="M1768">
        <v>21.88</v>
      </c>
      <c r="N1768" t="s">
        <v>4040</v>
      </c>
      <c r="O1768" t="s">
        <v>4039</v>
      </c>
    </row>
    <row r="1769" spans="1:15" x14ac:dyDescent="0.2">
      <c r="A1769">
        <v>99</v>
      </c>
      <c r="B1769" t="s">
        <v>2117</v>
      </c>
      <c r="C1769" t="s">
        <v>691</v>
      </c>
      <c r="D1769" t="s">
        <v>907</v>
      </c>
      <c r="E1769" t="s">
        <v>4037</v>
      </c>
      <c r="F1769">
        <v>0.15629999999999999</v>
      </c>
      <c r="G1769">
        <v>41.25</v>
      </c>
      <c r="H1769" t="s">
        <v>152</v>
      </c>
      <c r="I1769" t="s">
        <v>1152</v>
      </c>
      <c r="J1769">
        <v>6.4473750000000001</v>
      </c>
      <c r="K1769">
        <v>141.06856500000001</v>
      </c>
      <c r="L1769" t="s">
        <v>288</v>
      </c>
      <c r="M1769">
        <v>21.88</v>
      </c>
      <c r="N1769" t="s">
        <v>4038</v>
      </c>
      <c r="O1769" t="s">
        <v>4039</v>
      </c>
    </row>
    <row r="1770" spans="1:15" x14ac:dyDescent="0.2">
      <c r="A1770">
        <v>99</v>
      </c>
      <c r="B1770" t="s">
        <v>2117</v>
      </c>
      <c r="C1770" t="s">
        <v>691</v>
      </c>
      <c r="D1770" t="s">
        <v>498</v>
      </c>
      <c r="E1770" t="s">
        <v>773</v>
      </c>
      <c r="F1770">
        <v>1.2</v>
      </c>
      <c r="G1770">
        <v>0</v>
      </c>
      <c r="H1770" t="s">
        <v>84</v>
      </c>
      <c r="I1770" t="s">
        <v>1152</v>
      </c>
      <c r="J1770">
        <v>0</v>
      </c>
      <c r="K1770">
        <v>0</v>
      </c>
      <c r="L1770" t="s">
        <v>288</v>
      </c>
      <c r="M1770">
        <v>21.88</v>
      </c>
      <c r="N1770" t="s">
        <v>4043</v>
      </c>
      <c r="O1770" t="s">
        <v>4039</v>
      </c>
    </row>
    <row r="1771" spans="1:15" x14ac:dyDescent="0.2">
      <c r="A1771">
        <v>99</v>
      </c>
      <c r="B1771" t="s">
        <v>2117</v>
      </c>
      <c r="C1771" t="s">
        <v>691</v>
      </c>
      <c r="D1771" t="s">
        <v>801</v>
      </c>
      <c r="E1771" t="s">
        <v>402</v>
      </c>
      <c r="F1771">
        <v>0</v>
      </c>
      <c r="G1771">
        <v>10.3</v>
      </c>
      <c r="H1771" t="s">
        <v>151</v>
      </c>
      <c r="I1771" t="s">
        <v>1152</v>
      </c>
      <c r="J1771">
        <v>0</v>
      </c>
      <c r="K1771">
        <v>0</v>
      </c>
      <c r="L1771" t="s">
        <v>288</v>
      </c>
      <c r="M1771">
        <v>21.88</v>
      </c>
      <c r="N1771" t="s">
        <v>4041</v>
      </c>
      <c r="O1771" t="s">
        <v>4039</v>
      </c>
    </row>
    <row r="1772" spans="1:15" x14ac:dyDescent="0.2">
      <c r="A1772">
        <v>99</v>
      </c>
      <c r="B1772" t="s">
        <v>2117</v>
      </c>
      <c r="C1772" t="s">
        <v>695</v>
      </c>
      <c r="D1772" t="s">
        <v>801</v>
      </c>
      <c r="E1772" t="s">
        <v>402</v>
      </c>
      <c r="F1772">
        <v>0</v>
      </c>
      <c r="G1772">
        <v>10.3</v>
      </c>
      <c r="H1772" t="s">
        <v>151</v>
      </c>
      <c r="I1772" t="s">
        <v>1152</v>
      </c>
      <c r="J1772">
        <v>0</v>
      </c>
      <c r="K1772">
        <v>0</v>
      </c>
      <c r="L1772" t="s">
        <v>287</v>
      </c>
      <c r="M1772">
        <v>116.83</v>
      </c>
      <c r="N1772" t="s">
        <v>4048</v>
      </c>
      <c r="O1772" t="s">
        <v>4046</v>
      </c>
    </row>
    <row r="1773" spans="1:15" x14ac:dyDescent="0.2">
      <c r="A1773">
        <v>99</v>
      </c>
      <c r="B1773" t="s">
        <v>2117</v>
      </c>
      <c r="C1773" t="s">
        <v>695</v>
      </c>
      <c r="D1773" t="s">
        <v>498</v>
      </c>
      <c r="E1773" t="s">
        <v>773</v>
      </c>
      <c r="F1773">
        <v>1.2</v>
      </c>
      <c r="G1773">
        <v>0</v>
      </c>
      <c r="H1773" t="s">
        <v>84</v>
      </c>
      <c r="I1773" t="s">
        <v>1152</v>
      </c>
      <c r="J1773">
        <v>0</v>
      </c>
      <c r="K1773">
        <v>0</v>
      </c>
      <c r="L1773" t="s">
        <v>287</v>
      </c>
      <c r="M1773">
        <v>116.83</v>
      </c>
      <c r="N1773" t="s">
        <v>4050</v>
      </c>
      <c r="O1773" t="s">
        <v>4046</v>
      </c>
    </row>
    <row r="1774" spans="1:15" x14ac:dyDescent="0.2">
      <c r="A1774">
        <v>99</v>
      </c>
      <c r="B1774" t="s">
        <v>2117</v>
      </c>
      <c r="C1774" t="s">
        <v>695</v>
      </c>
      <c r="D1774" t="s">
        <v>1010</v>
      </c>
      <c r="E1774" t="s">
        <v>1140</v>
      </c>
      <c r="F1774">
        <v>0</v>
      </c>
      <c r="G1774">
        <v>35</v>
      </c>
      <c r="H1774" t="s">
        <v>151</v>
      </c>
      <c r="I1774" t="s">
        <v>1152</v>
      </c>
      <c r="J1774">
        <v>0</v>
      </c>
      <c r="K1774">
        <v>0</v>
      </c>
      <c r="L1774" t="s">
        <v>287</v>
      </c>
      <c r="M1774">
        <v>116.83</v>
      </c>
      <c r="N1774" t="s">
        <v>4047</v>
      </c>
      <c r="O1774" t="s">
        <v>4046</v>
      </c>
    </row>
    <row r="1775" spans="1:15" x14ac:dyDescent="0.2">
      <c r="A1775">
        <v>99</v>
      </c>
      <c r="B1775" t="s">
        <v>2117</v>
      </c>
      <c r="C1775" t="s">
        <v>695</v>
      </c>
      <c r="D1775" t="s">
        <v>692</v>
      </c>
      <c r="E1775" t="s">
        <v>4004</v>
      </c>
      <c r="F1775">
        <v>1</v>
      </c>
      <c r="G1775">
        <v>16</v>
      </c>
      <c r="H1775" t="s">
        <v>1152</v>
      </c>
      <c r="I1775" t="s">
        <v>1152</v>
      </c>
      <c r="J1775">
        <v>16</v>
      </c>
      <c r="K1775">
        <v>1869.28</v>
      </c>
      <c r="L1775" t="s">
        <v>287</v>
      </c>
      <c r="M1775">
        <v>116.83</v>
      </c>
      <c r="N1775" t="s">
        <v>4049</v>
      </c>
      <c r="O1775" t="s">
        <v>4046</v>
      </c>
    </row>
    <row r="1776" spans="1:15" x14ac:dyDescent="0.2">
      <c r="A1776">
        <v>99</v>
      </c>
      <c r="B1776" t="s">
        <v>2117</v>
      </c>
      <c r="C1776" t="s">
        <v>695</v>
      </c>
      <c r="D1776" t="s">
        <v>912</v>
      </c>
      <c r="E1776" t="s">
        <v>4044</v>
      </c>
      <c r="F1776">
        <v>0.15629999999999999</v>
      </c>
      <c r="G1776">
        <v>33.991700000000002</v>
      </c>
      <c r="H1776" t="s">
        <v>152</v>
      </c>
      <c r="I1776" t="s">
        <v>1152</v>
      </c>
      <c r="J1776">
        <v>5.3129027100000004</v>
      </c>
      <c r="K1776">
        <v>620.70642399999997</v>
      </c>
      <c r="L1776" t="s">
        <v>287</v>
      </c>
      <c r="M1776">
        <v>116.83</v>
      </c>
      <c r="N1776" t="s">
        <v>4045</v>
      </c>
      <c r="O1776" t="s">
        <v>4046</v>
      </c>
    </row>
    <row r="1777" spans="1:15" x14ac:dyDescent="0.2">
      <c r="A1777">
        <v>99</v>
      </c>
      <c r="B1777" t="s">
        <v>2117</v>
      </c>
      <c r="C1777" t="s">
        <v>698</v>
      </c>
      <c r="D1777" t="s">
        <v>692</v>
      </c>
      <c r="E1777" t="s">
        <v>4004</v>
      </c>
      <c r="F1777">
        <v>1</v>
      </c>
      <c r="G1777">
        <v>16</v>
      </c>
      <c r="H1777" t="s">
        <v>1152</v>
      </c>
      <c r="I1777" t="s">
        <v>1152</v>
      </c>
      <c r="J1777">
        <v>16</v>
      </c>
      <c r="K1777">
        <v>486.4</v>
      </c>
      <c r="L1777" t="s">
        <v>290</v>
      </c>
      <c r="M1777">
        <v>30.4</v>
      </c>
      <c r="N1777" t="s">
        <v>4056</v>
      </c>
      <c r="O1777" t="s">
        <v>4053</v>
      </c>
    </row>
    <row r="1778" spans="1:15" x14ac:dyDescent="0.2">
      <c r="A1778">
        <v>99</v>
      </c>
      <c r="B1778" t="s">
        <v>2117</v>
      </c>
      <c r="C1778" t="s">
        <v>698</v>
      </c>
      <c r="D1778" t="s">
        <v>917</v>
      </c>
      <c r="E1778" t="s">
        <v>4051</v>
      </c>
      <c r="F1778">
        <v>0.15629999999999999</v>
      </c>
      <c r="G1778">
        <v>25</v>
      </c>
      <c r="H1778" t="s">
        <v>152</v>
      </c>
      <c r="I1778" t="s">
        <v>1152</v>
      </c>
      <c r="J1778">
        <v>3.9075000000000002</v>
      </c>
      <c r="K1778">
        <v>118.788</v>
      </c>
      <c r="L1778" t="s">
        <v>290</v>
      </c>
      <c r="M1778">
        <v>30.4</v>
      </c>
      <c r="N1778" t="s">
        <v>4052</v>
      </c>
      <c r="O1778" t="s">
        <v>4053</v>
      </c>
    </row>
    <row r="1779" spans="1:15" x14ac:dyDescent="0.2">
      <c r="A1779">
        <v>99</v>
      </c>
      <c r="B1779" t="s">
        <v>2117</v>
      </c>
      <c r="C1779" t="s">
        <v>698</v>
      </c>
      <c r="D1779" t="s">
        <v>1010</v>
      </c>
      <c r="E1779" t="s">
        <v>1140</v>
      </c>
      <c r="F1779">
        <v>0</v>
      </c>
      <c r="G1779">
        <v>35</v>
      </c>
      <c r="H1779" t="s">
        <v>151</v>
      </c>
      <c r="I1779" t="s">
        <v>1152</v>
      </c>
      <c r="J1779">
        <v>0</v>
      </c>
      <c r="K1779">
        <v>0</v>
      </c>
      <c r="L1779" t="s">
        <v>290</v>
      </c>
      <c r="M1779">
        <v>30.4</v>
      </c>
      <c r="N1779" t="s">
        <v>4054</v>
      </c>
      <c r="O1779" t="s">
        <v>4053</v>
      </c>
    </row>
    <row r="1780" spans="1:15" x14ac:dyDescent="0.2">
      <c r="A1780">
        <v>99</v>
      </c>
      <c r="B1780" t="s">
        <v>2117</v>
      </c>
      <c r="C1780" t="s">
        <v>698</v>
      </c>
      <c r="D1780" t="s">
        <v>498</v>
      </c>
      <c r="E1780" t="s">
        <v>773</v>
      </c>
      <c r="F1780">
        <v>1.2</v>
      </c>
      <c r="G1780">
        <v>0</v>
      </c>
      <c r="H1780" t="s">
        <v>84</v>
      </c>
      <c r="I1780" t="s">
        <v>1152</v>
      </c>
      <c r="J1780">
        <v>0</v>
      </c>
      <c r="K1780">
        <v>0</v>
      </c>
      <c r="L1780" t="s">
        <v>290</v>
      </c>
      <c r="M1780">
        <v>30.4</v>
      </c>
      <c r="N1780" t="s">
        <v>4057</v>
      </c>
      <c r="O1780" t="s">
        <v>4053</v>
      </c>
    </row>
    <row r="1781" spans="1:15" x14ac:dyDescent="0.2">
      <c r="A1781">
        <v>99</v>
      </c>
      <c r="B1781" t="s">
        <v>2117</v>
      </c>
      <c r="C1781" t="s">
        <v>698</v>
      </c>
      <c r="D1781" t="s">
        <v>801</v>
      </c>
      <c r="E1781" t="s">
        <v>402</v>
      </c>
      <c r="F1781">
        <v>0</v>
      </c>
      <c r="G1781">
        <v>10.3</v>
      </c>
      <c r="H1781" t="s">
        <v>151</v>
      </c>
      <c r="I1781" t="s">
        <v>1152</v>
      </c>
      <c r="J1781">
        <v>0</v>
      </c>
      <c r="K1781">
        <v>0</v>
      </c>
      <c r="L1781" t="s">
        <v>290</v>
      </c>
      <c r="M1781">
        <v>30.4</v>
      </c>
      <c r="N1781" t="s">
        <v>4055</v>
      </c>
      <c r="O1781" t="s">
        <v>4053</v>
      </c>
    </row>
    <row r="1782" spans="1:15" x14ac:dyDescent="0.2">
      <c r="A1782">
        <v>99</v>
      </c>
      <c r="B1782" t="s">
        <v>2117</v>
      </c>
      <c r="C1782" t="s">
        <v>523</v>
      </c>
      <c r="D1782" t="s">
        <v>801</v>
      </c>
      <c r="E1782" t="s">
        <v>402</v>
      </c>
      <c r="F1782">
        <v>0</v>
      </c>
      <c r="G1782">
        <v>10.3</v>
      </c>
      <c r="H1782" t="s">
        <v>151</v>
      </c>
      <c r="I1782" t="s">
        <v>1152</v>
      </c>
      <c r="J1782">
        <v>0</v>
      </c>
      <c r="K1782">
        <v>0</v>
      </c>
      <c r="L1782" t="s">
        <v>452</v>
      </c>
      <c r="M1782">
        <v>198.54</v>
      </c>
      <c r="N1782" t="s">
        <v>4062</v>
      </c>
      <c r="O1782" t="s">
        <v>4060</v>
      </c>
    </row>
    <row r="1783" spans="1:15" x14ac:dyDescent="0.2">
      <c r="A1783">
        <v>99</v>
      </c>
      <c r="B1783" t="s">
        <v>2117</v>
      </c>
      <c r="C1783" t="s">
        <v>523</v>
      </c>
      <c r="D1783" t="s">
        <v>694</v>
      </c>
      <c r="E1783" t="s">
        <v>4063</v>
      </c>
      <c r="F1783">
        <v>1</v>
      </c>
      <c r="G1783">
        <v>26.5</v>
      </c>
      <c r="H1783" t="s">
        <v>1152</v>
      </c>
      <c r="I1783" t="s">
        <v>1152</v>
      </c>
      <c r="J1783">
        <v>26.5</v>
      </c>
      <c r="K1783">
        <v>5261.31</v>
      </c>
      <c r="L1783" t="s">
        <v>452</v>
      </c>
      <c r="M1783">
        <v>198.54</v>
      </c>
      <c r="N1783" t="s">
        <v>4064</v>
      </c>
      <c r="O1783" t="s">
        <v>4060</v>
      </c>
    </row>
    <row r="1784" spans="1:15" x14ac:dyDescent="0.2">
      <c r="A1784">
        <v>99</v>
      </c>
      <c r="B1784" t="s">
        <v>2117</v>
      </c>
      <c r="C1784" t="s">
        <v>523</v>
      </c>
      <c r="D1784" t="s">
        <v>498</v>
      </c>
      <c r="E1784" t="s">
        <v>773</v>
      </c>
      <c r="F1784">
        <v>1.2</v>
      </c>
      <c r="G1784">
        <v>0</v>
      </c>
      <c r="H1784" t="s">
        <v>84</v>
      </c>
      <c r="I1784" t="s">
        <v>1152</v>
      </c>
      <c r="J1784">
        <v>0</v>
      </c>
      <c r="K1784">
        <v>0</v>
      </c>
      <c r="L1784" t="s">
        <v>452</v>
      </c>
      <c r="M1784">
        <v>198.54</v>
      </c>
      <c r="N1784" t="s">
        <v>4065</v>
      </c>
      <c r="O1784" t="s">
        <v>4060</v>
      </c>
    </row>
    <row r="1785" spans="1:15" x14ac:dyDescent="0.2">
      <c r="A1785">
        <v>99</v>
      </c>
      <c r="B1785" t="s">
        <v>2117</v>
      </c>
      <c r="C1785" t="s">
        <v>523</v>
      </c>
      <c r="D1785" t="s">
        <v>1010</v>
      </c>
      <c r="E1785" t="s">
        <v>1140</v>
      </c>
      <c r="F1785">
        <v>0</v>
      </c>
      <c r="G1785">
        <v>35</v>
      </c>
      <c r="H1785" t="s">
        <v>151</v>
      </c>
      <c r="I1785" t="s">
        <v>1152</v>
      </c>
      <c r="J1785">
        <v>0</v>
      </c>
      <c r="K1785">
        <v>0</v>
      </c>
      <c r="L1785" t="s">
        <v>452</v>
      </c>
      <c r="M1785">
        <v>198.54</v>
      </c>
      <c r="N1785" t="s">
        <v>4061</v>
      </c>
      <c r="O1785" t="s">
        <v>4060</v>
      </c>
    </row>
    <row r="1786" spans="1:15" x14ac:dyDescent="0.2">
      <c r="A1786">
        <v>99</v>
      </c>
      <c r="B1786" t="s">
        <v>2117</v>
      </c>
      <c r="C1786" t="s">
        <v>523</v>
      </c>
      <c r="D1786" t="s">
        <v>986</v>
      </c>
      <c r="E1786" t="s">
        <v>4058</v>
      </c>
      <c r="F1786">
        <v>1</v>
      </c>
      <c r="G1786">
        <v>11</v>
      </c>
      <c r="H1786" t="s">
        <v>1052</v>
      </c>
      <c r="I1786" t="s">
        <v>1152</v>
      </c>
      <c r="J1786">
        <v>11</v>
      </c>
      <c r="K1786">
        <v>2183.94</v>
      </c>
      <c r="L1786" t="s">
        <v>452</v>
      </c>
      <c r="M1786">
        <v>198.54</v>
      </c>
      <c r="N1786" t="s">
        <v>4059</v>
      </c>
      <c r="O1786" t="s">
        <v>4060</v>
      </c>
    </row>
    <row r="1787" spans="1:15" x14ac:dyDescent="0.2">
      <c r="A1787">
        <v>99</v>
      </c>
      <c r="B1787" t="s">
        <v>2117</v>
      </c>
      <c r="C1787" t="s">
        <v>571</v>
      </c>
      <c r="D1787" t="s">
        <v>979</v>
      </c>
      <c r="E1787" t="s">
        <v>4066</v>
      </c>
      <c r="F1787">
        <v>2</v>
      </c>
      <c r="G1787">
        <v>7.75</v>
      </c>
      <c r="H1787" t="s">
        <v>1052</v>
      </c>
      <c r="I1787" t="s">
        <v>1152</v>
      </c>
      <c r="J1787">
        <v>15.5</v>
      </c>
      <c r="K1787">
        <v>61.69</v>
      </c>
      <c r="L1787" t="s">
        <v>405</v>
      </c>
      <c r="M1787">
        <v>3.98</v>
      </c>
      <c r="N1787" t="s">
        <v>4067</v>
      </c>
      <c r="O1787" t="s">
        <v>4068</v>
      </c>
    </row>
    <row r="1788" spans="1:15" x14ac:dyDescent="0.2">
      <c r="A1788">
        <v>99</v>
      </c>
      <c r="B1788" t="s">
        <v>2117</v>
      </c>
      <c r="C1788" t="s">
        <v>571</v>
      </c>
      <c r="D1788" t="s">
        <v>1010</v>
      </c>
      <c r="E1788" t="s">
        <v>1140</v>
      </c>
      <c r="F1788">
        <v>0</v>
      </c>
      <c r="G1788">
        <v>35</v>
      </c>
      <c r="H1788" t="s">
        <v>151</v>
      </c>
      <c r="I1788" t="s">
        <v>1152</v>
      </c>
      <c r="J1788">
        <v>0</v>
      </c>
      <c r="K1788">
        <v>0</v>
      </c>
      <c r="L1788" t="s">
        <v>405</v>
      </c>
      <c r="M1788">
        <v>3.98</v>
      </c>
      <c r="N1788" t="s">
        <v>4069</v>
      </c>
      <c r="O1788" t="s">
        <v>4068</v>
      </c>
    </row>
    <row r="1789" spans="1:15" x14ac:dyDescent="0.2">
      <c r="A1789">
        <v>99</v>
      </c>
      <c r="B1789" t="s">
        <v>2117</v>
      </c>
      <c r="C1789" t="s">
        <v>571</v>
      </c>
      <c r="D1789" t="s">
        <v>498</v>
      </c>
      <c r="E1789" t="s">
        <v>773</v>
      </c>
      <c r="F1789">
        <v>1.2</v>
      </c>
      <c r="G1789">
        <v>0</v>
      </c>
      <c r="H1789" t="s">
        <v>84</v>
      </c>
      <c r="I1789" t="s">
        <v>1152</v>
      </c>
      <c r="J1789">
        <v>0</v>
      </c>
      <c r="K1789">
        <v>0</v>
      </c>
      <c r="L1789" t="s">
        <v>405</v>
      </c>
      <c r="M1789">
        <v>3.98</v>
      </c>
      <c r="N1789" t="s">
        <v>4072</v>
      </c>
      <c r="O1789" t="s">
        <v>4068</v>
      </c>
    </row>
    <row r="1790" spans="1:15" x14ac:dyDescent="0.2">
      <c r="A1790">
        <v>99</v>
      </c>
      <c r="B1790" t="s">
        <v>2117</v>
      </c>
      <c r="C1790" t="s">
        <v>571</v>
      </c>
      <c r="D1790" t="s">
        <v>694</v>
      </c>
      <c r="E1790" t="s">
        <v>4063</v>
      </c>
      <c r="F1790">
        <v>1</v>
      </c>
      <c r="G1790">
        <v>26.5</v>
      </c>
      <c r="H1790" t="s">
        <v>1152</v>
      </c>
      <c r="I1790" t="s">
        <v>1152</v>
      </c>
      <c r="J1790">
        <v>26.5</v>
      </c>
      <c r="K1790">
        <v>105.47</v>
      </c>
      <c r="L1790" t="s">
        <v>405</v>
      </c>
      <c r="M1790">
        <v>3.98</v>
      </c>
      <c r="N1790" t="s">
        <v>4071</v>
      </c>
      <c r="O1790" t="s">
        <v>4068</v>
      </c>
    </row>
    <row r="1791" spans="1:15" x14ac:dyDescent="0.2">
      <c r="A1791">
        <v>99</v>
      </c>
      <c r="B1791" t="s">
        <v>2117</v>
      </c>
      <c r="C1791" t="s">
        <v>571</v>
      </c>
      <c r="D1791" t="s">
        <v>801</v>
      </c>
      <c r="E1791" t="s">
        <v>402</v>
      </c>
      <c r="F1791">
        <v>0</v>
      </c>
      <c r="G1791">
        <v>10.3</v>
      </c>
      <c r="H1791" t="s">
        <v>151</v>
      </c>
      <c r="I1791" t="s">
        <v>1152</v>
      </c>
      <c r="J1791">
        <v>0</v>
      </c>
      <c r="K1791">
        <v>0</v>
      </c>
      <c r="L1791" t="s">
        <v>405</v>
      </c>
      <c r="M1791">
        <v>3.98</v>
      </c>
      <c r="N1791" t="s">
        <v>4070</v>
      </c>
      <c r="O1791" t="s">
        <v>4068</v>
      </c>
    </row>
    <row r="1792" spans="1:15" x14ac:dyDescent="0.2">
      <c r="A1792">
        <v>99</v>
      </c>
      <c r="B1792" t="s">
        <v>2117</v>
      </c>
      <c r="C1792" t="s">
        <v>575</v>
      </c>
      <c r="D1792" t="s">
        <v>801</v>
      </c>
      <c r="E1792" t="s">
        <v>402</v>
      </c>
      <c r="F1792">
        <v>0</v>
      </c>
      <c r="G1792">
        <v>10.3</v>
      </c>
      <c r="H1792" t="s">
        <v>151</v>
      </c>
      <c r="I1792" t="s">
        <v>1152</v>
      </c>
      <c r="J1792">
        <v>0</v>
      </c>
      <c r="K1792">
        <v>0</v>
      </c>
      <c r="L1792" t="s">
        <v>406</v>
      </c>
      <c r="M1792">
        <v>45.53</v>
      </c>
      <c r="N1792" t="s">
        <v>4077</v>
      </c>
      <c r="O1792" t="s">
        <v>4075</v>
      </c>
    </row>
    <row r="1793" spans="1:15" x14ac:dyDescent="0.2">
      <c r="A1793">
        <v>99</v>
      </c>
      <c r="B1793" t="s">
        <v>2117</v>
      </c>
      <c r="C1793" t="s">
        <v>575</v>
      </c>
      <c r="D1793" t="s">
        <v>694</v>
      </c>
      <c r="E1793" t="s">
        <v>4063</v>
      </c>
      <c r="F1793">
        <v>1</v>
      </c>
      <c r="G1793">
        <v>26.5</v>
      </c>
      <c r="H1793" t="s">
        <v>1152</v>
      </c>
      <c r="I1793" t="s">
        <v>1152</v>
      </c>
      <c r="J1793">
        <v>26.5</v>
      </c>
      <c r="K1793">
        <v>1206.5450000000001</v>
      </c>
      <c r="L1793" t="s">
        <v>406</v>
      </c>
      <c r="M1793">
        <v>45.53</v>
      </c>
      <c r="N1793" t="s">
        <v>4078</v>
      </c>
      <c r="O1793" t="s">
        <v>4075</v>
      </c>
    </row>
    <row r="1794" spans="1:15" x14ac:dyDescent="0.2">
      <c r="A1794">
        <v>99</v>
      </c>
      <c r="B1794" t="s">
        <v>2117</v>
      </c>
      <c r="C1794" t="s">
        <v>575</v>
      </c>
      <c r="D1794" t="s">
        <v>498</v>
      </c>
      <c r="E1794" t="s">
        <v>773</v>
      </c>
      <c r="F1794">
        <v>1.2</v>
      </c>
      <c r="G1794">
        <v>0</v>
      </c>
      <c r="H1794" t="s">
        <v>84</v>
      </c>
      <c r="I1794" t="s">
        <v>1152</v>
      </c>
      <c r="J1794">
        <v>0</v>
      </c>
      <c r="K1794">
        <v>0</v>
      </c>
      <c r="L1794" t="s">
        <v>406</v>
      </c>
      <c r="M1794">
        <v>45.53</v>
      </c>
      <c r="N1794" t="s">
        <v>4079</v>
      </c>
      <c r="O1794" t="s">
        <v>4075</v>
      </c>
    </row>
    <row r="1795" spans="1:15" x14ac:dyDescent="0.2">
      <c r="A1795">
        <v>99</v>
      </c>
      <c r="B1795" t="s">
        <v>2117</v>
      </c>
      <c r="C1795" t="s">
        <v>575</v>
      </c>
      <c r="D1795" t="s">
        <v>1010</v>
      </c>
      <c r="E1795" t="s">
        <v>1140</v>
      </c>
      <c r="F1795">
        <v>0</v>
      </c>
      <c r="G1795">
        <v>35</v>
      </c>
      <c r="H1795" t="s">
        <v>151</v>
      </c>
      <c r="I1795" t="s">
        <v>1152</v>
      </c>
      <c r="J1795">
        <v>0</v>
      </c>
      <c r="K1795">
        <v>0</v>
      </c>
      <c r="L1795" t="s">
        <v>406</v>
      </c>
      <c r="M1795">
        <v>45.53</v>
      </c>
      <c r="N1795" t="s">
        <v>4076</v>
      </c>
      <c r="O1795" t="s">
        <v>4075</v>
      </c>
    </row>
    <row r="1796" spans="1:15" x14ac:dyDescent="0.2">
      <c r="A1796">
        <v>99</v>
      </c>
      <c r="B1796" t="s">
        <v>2117</v>
      </c>
      <c r="C1796" t="s">
        <v>575</v>
      </c>
      <c r="D1796" t="s">
        <v>982</v>
      </c>
      <c r="E1796" t="s">
        <v>4073</v>
      </c>
      <c r="F1796">
        <v>2</v>
      </c>
      <c r="G1796">
        <v>7.75</v>
      </c>
      <c r="H1796" t="s">
        <v>1052</v>
      </c>
      <c r="I1796" t="s">
        <v>1152</v>
      </c>
      <c r="J1796">
        <v>15.5</v>
      </c>
      <c r="K1796">
        <v>705.71500000000003</v>
      </c>
      <c r="L1796" t="s">
        <v>406</v>
      </c>
      <c r="M1796">
        <v>45.53</v>
      </c>
      <c r="N1796" t="s">
        <v>4074</v>
      </c>
      <c r="O1796" t="s">
        <v>4075</v>
      </c>
    </row>
    <row r="1797" spans="1:15" x14ac:dyDescent="0.2">
      <c r="A1797">
        <v>99</v>
      </c>
      <c r="B1797" t="s">
        <v>2117</v>
      </c>
      <c r="C1797" t="s">
        <v>426</v>
      </c>
      <c r="D1797" t="s">
        <v>1010</v>
      </c>
      <c r="E1797" t="s">
        <v>1140</v>
      </c>
      <c r="F1797">
        <v>0</v>
      </c>
      <c r="G1797">
        <v>35</v>
      </c>
      <c r="H1797" t="s">
        <v>151</v>
      </c>
      <c r="I1797" t="s">
        <v>1152</v>
      </c>
      <c r="J1797">
        <v>0</v>
      </c>
      <c r="K1797">
        <v>0</v>
      </c>
      <c r="L1797" t="s">
        <v>403</v>
      </c>
      <c r="M1797">
        <v>5.6</v>
      </c>
      <c r="N1797" t="s">
        <v>4083</v>
      </c>
      <c r="O1797" t="s">
        <v>4082</v>
      </c>
    </row>
    <row r="1798" spans="1:15" x14ac:dyDescent="0.2">
      <c r="A1798">
        <v>99</v>
      </c>
      <c r="B1798" t="s">
        <v>2117</v>
      </c>
      <c r="C1798" t="s">
        <v>426</v>
      </c>
      <c r="D1798" t="s">
        <v>703</v>
      </c>
      <c r="E1798" t="s">
        <v>4080</v>
      </c>
      <c r="F1798">
        <v>4.7800000000000002E-2</v>
      </c>
      <c r="G1798">
        <v>41.25</v>
      </c>
      <c r="H1798" t="s">
        <v>152</v>
      </c>
      <c r="I1798" t="s">
        <v>1152</v>
      </c>
      <c r="J1798">
        <v>1.9717499999999999</v>
      </c>
      <c r="K1798">
        <v>11.0418</v>
      </c>
      <c r="L1798" t="s">
        <v>403</v>
      </c>
      <c r="M1798">
        <v>5.6</v>
      </c>
      <c r="N1798" t="s">
        <v>4081</v>
      </c>
      <c r="O1798" t="s">
        <v>4082</v>
      </c>
    </row>
    <row r="1799" spans="1:15" x14ac:dyDescent="0.2">
      <c r="A1799">
        <v>99</v>
      </c>
      <c r="B1799" t="s">
        <v>2117</v>
      </c>
      <c r="C1799" t="s">
        <v>426</v>
      </c>
      <c r="D1799" t="s">
        <v>744</v>
      </c>
      <c r="E1799" t="s">
        <v>4085</v>
      </c>
      <c r="F1799">
        <v>1</v>
      </c>
      <c r="G1799">
        <v>50</v>
      </c>
      <c r="H1799" t="s">
        <v>1152</v>
      </c>
      <c r="I1799" t="s">
        <v>1152</v>
      </c>
      <c r="J1799">
        <v>50</v>
      </c>
      <c r="K1799">
        <v>280</v>
      </c>
      <c r="L1799" t="s">
        <v>403</v>
      </c>
      <c r="M1799">
        <v>5.6</v>
      </c>
      <c r="N1799" t="s">
        <v>4086</v>
      </c>
      <c r="O1799" t="s">
        <v>4082</v>
      </c>
    </row>
    <row r="1800" spans="1:15" x14ac:dyDescent="0.2">
      <c r="A1800">
        <v>99</v>
      </c>
      <c r="B1800" t="s">
        <v>2117</v>
      </c>
      <c r="C1800" t="s">
        <v>426</v>
      </c>
      <c r="D1800" t="s">
        <v>498</v>
      </c>
      <c r="E1800" t="s">
        <v>773</v>
      </c>
      <c r="F1800">
        <v>1.2</v>
      </c>
      <c r="G1800">
        <v>0</v>
      </c>
      <c r="H1800" t="s">
        <v>84</v>
      </c>
      <c r="I1800" t="s">
        <v>1152</v>
      </c>
      <c r="J1800">
        <v>0</v>
      </c>
      <c r="K1800">
        <v>0</v>
      </c>
      <c r="L1800" t="s">
        <v>403</v>
      </c>
      <c r="M1800">
        <v>5.6</v>
      </c>
      <c r="N1800" t="s">
        <v>4087</v>
      </c>
      <c r="O1800" t="s">
        <v>4082</v>
      </c>
    </row>
    <row r="1801" spans="1:15" x14ac:dyDescent="0.2">
      <c r="A1801">
        <v>99</v>
      </c>
      <c r="B1801" t="s">
        <v>2117</v>
      </c>
      <c r="C1801" t="s">
        <v>426</v>
      </c>
      <c r="D1801" t="s">
        <v>801</v>
      </c>
      <c r="E1801" t="s">
        <v>402</v>
      </c>
      <c r="F1801">
        <v>0</v>
      </c>
      <c r="G1801">
        <v>10.3</v>
      </c>
      <c r="H1801" t="s">
        <v>151</v>
      </c>
      <c r="I1801" t="s">
        <v>1152</v>
      </c>
      <c r="J1801">
        <v>0</v>
      </c>
      <c r="K1801">
        <v>0</v>
      </c>
      <c r="L1801" t="s">
        <v>403</v>
      </c>
      <c r="M1801">
        <v>5.6</v>
      </c>
      <c r="N1801" t="s">
        <v>4084</v>
      </c>
      <c r="O1801" t="s">
        <v>4082</v>
      </c>
    </row>
    <row r="1802" spans="1:15" x14ac:dyDescent="0.2">
      <c r="A1802">
        <v>99</v>
      </c>
      <c r="B1802" t="s">
        <v>2117</v>
      </c>
      <c r="C1802" t="s">
        <v>5178</v>
      </c>
      <c r="D1802" t="s">
        <v>801</v>
      </c>
      <c r="E1802" t="s">
        <v>402</v>
      </c>
      <c r="F1802">
        <v>0</v>
      </c>
      <c r="G1802">
        <v>10.3</v>
      </c>
      <c r="H1802" t="s">
        <v>151</v>
      </c>
      <c r="I1802" t="s">
        <v>153</v>
      </c>
      <c r="J1802">
        <v>0</v>
      </c>
      <c r="K1802">
        <v>0</v>
      </c>
      <c r="L1802" t="s">
        <v>5179</v>
      </c>
      <c r="M1802">
        <v>308.16000000000003</v>
      </c>
      <c r="N1802" t="s">
        <v>5180</v>
      </c>
      <c r="O1802" t="s">
        <v>5181</v>
      </c>
    </row>
    <row r="1803" spans="1:15" x14ac:dyDescent="0.2">
      <c r="A1803">
        <v>99</v>
      </c>
      <c r="B1803" t="s">
        <v>2117</v>
      </c>
      <c r="C1803" t="s">
        <v>5178</v>
      </c>
      <c r="D1803" t="s">
        <v>120</v>
      </c>
      <c r="E1803" t="s">
        <v>597</v>
      </c>
      <c r="F1803">
        <v>0</v>
      </c>
      <c r="G1803">
        <v>1.52</v>
      </c>
      <c r="H1803" t="s">
        <v>742</v>
      </c>
      <c r="I1803" t="s">
        <v>153</v>
      </c>
      <c r="J1803">
        <v>0</v>
      </c>
      <c r="K1803">
        <v>0</v>
      </c>
      <c r="L1803" t="s">
        <v>5179</v>
      </c>
      <c r="M1803">
        <v>308.16000000000003</v>
      </c>
      <c r="N1803" t="s">
        <v>5182</v>
      </c>
      <c r="O1803" t="s">
        <v>5181</v>
      </c>
    </row>
    <row r="1804" spans="1:15" x14ac:dyDescent="0.2">
      <c r="A1804">
        <v>99</v>
      </c>
      <c r="B1804" t="s">
        <v>2117</v>
      </c>
      <c r="C1804" t="s">
        <v>5178</v>
      </c>
      <c r="D1804" t="s">
        <v>5183</v>
      </c>
      <c r="E1804" t="s">
        <v>5184</v>
      </c>
      <c r="F1804">
        <v>1</v>
      </c>
      <c r="G1804">
        <v>9.81</v>
      </c>
      <c r="H1804" t="s">
        <v>153</v>
      </c>
      <c r="I1804" t="s">
        <v>153</v>
      </c>
      <c r="J1804">
        <v>9.81</v>
      </c>
      <c r="K1804">
        <v>3023.0495999999998</v>
      </c>
      <c r="L1804" t="s">
        <v>5179</v>
      </c>
      <c r="M1804">
        <v>308.16000000000003</v>
      </c>
      <c r="N1804" t="s">
        <v>5185</v>
      </c>
      <c r="O1804" t="s">
        <v>5181</v>
      </c>
    </row>
    <row r="1805" spans="1:15" x14ac:dyDescent="0.2">
      <c r="A1805">
        <v>99</v>
      </c>
      <c r="B1805" t="s">
        <v>2117</v>
      </c>
      <c r="C1805" t="s">
        <v>5178</v>
      </c>
      <c r="D1805" t="s">
        <v>1258</v>
      </c>
      <c r="E1805" t="s">
        <v>1526</v>
      </c>
      <c r="F1805">
        <v>2.2000000000000001E-3</v>
      </c>
      <c r="G1805">
        <v>148</v>
      </c>
      <c r="H1805" t="s">
        <v>1153</v>
      </c>
      <c r="I1805" t="s">
        <v>153</v>
      </c>
      <c r="J1805">
        <v>0.3256</v>
      </c>
      <c r="K1805">
        <v>100.336896</v>
      </c>
      <c r="L1805" t="s">
        <v>5179</v>
      </c>
      <c r="M1805">
        <v>308.16000000000003</v>
      </c>
      <c r="N1805" t="s">
        <v>5186</v>
      </c>
      <c r="O1805" t="s">
        <v>5181</v>
      </c>
    </row>
    <row r="1806" spans="1:15" x14ac:dyDescent="0.2">
      <c r="A1806">
        <v>99</v>
      </c>
      <c r="B1806" t="s">
        <v>2117</v>
      </c>
      <c r="C1806" t="s">
        <v>5178</v>
      </c>
      <c r="D1806" t="s">
        <v>1654</v>
      </c>
      <c r="E1806" t="s">
        <v>1551</v>
      </c>
      <c r="F1806">
        <v>0.97199999999999998</v>
      </c>
      <c r="G1806">
        <v>0.7974</v>
      </c>
      <c r="H1806" t="s">
        <v>1052</v>
      </c>
      <c r="I1806" t="s">
        <v>153</v>
      </c>
      <c r="J1806">
        <v>0.77507280000000001</v>
      </c>
      <c r="K1806">
        <v>238.84643399999999</v>
      </c>
      <c r="L1806" t="s">
        <v>5179</v>
      </c>
      <c r="M1806">
        <v>308.16000000000003</v>
      </c>
      <c r="N1806" t="s">
        <v>5187</v>
      </c>
      <c r="O1806" t="s">
        <v>5181</v>
      </c>
    </row>
    <row r="1807" spans="1:15" x14ac:dyDescent="0.2">
      <c r="A1807">
        <v>99</v>
      </c>
      <c r="B1807" t="s">
        <v>2117</v>
      </c>
      <c r="C1807" t="s">
        <v>5178</v>
      </c>
      <c r="D1807" t="s">
        <v>498</v>
      </c>
      <c r="E1807" t="s">
        <v>773</v>
      </c>
      <c r="F1807">
        <v>1.2</v>
      </c>
      <c r="G1807">
        <v>0</v>
      </c>
      <c r="H1807" t="s">
        <v>84</v>
      </c>
      <c r="I1807" t="s">
        <v>153</v>
      </c>
      <c r="J1807">
        <v>0</v>
      </c>
      <c r="K1807">
        <v>0</v>
      </c>
      <c r="L1807" t="s">
        <v>5179</v>
      </c>
      <c r="M1807">
        <v>308.16000000000003</v>
      </c>
      <c r="N1807" t="s">
        <v>5188</v>
      </c>
      <c r="O1807" t="s">
        <v>5181</v>
      </c>
    </row>
    <row r="1808" spans="1:15" x14ac:dyDescent="0.2">
      <c r="A1808">
        <v>99</v>
      </c>
      <c r="B1808" t="s">
        <v>2117</v>
      </c>
      <c r="C1808" t="s">
        <v>5178</v>
      </c>
      <c r="D1808" t="s">
        <v>66</v>
      </c>
      <c r="E1808" t="s">
        <v>617</v>
      </c>
      <c r="F1808">
        <v>0</v>
      </c>
      <c r="G1808">
        <v>5.45</v>
      </c>
      <c r="H1808" t="s">
        <v>764</v>
      </c>
      <c r="I1808" t="s">
        <v>153</v>
      </c>
      <c r="J1808">
        <v>0</v>
      </c>
      <c r="K1808">
        <v>0</v>
      </c>
      <c r="L1808" t="s">
        <v>5179</v>
      </c>
      <c r="M1808">
        <v>308.16000000000003</v>
      </c>
      <c r="N1808" t="s">
        <v>5189</v>
      </c>
      <c r="O1808" t="s">
        <v>5181</v>
      </c>
    </row>
    <row r="1809" spans="1:15" x14ac:dyDescent="0.2">
      <c r="A1809">
        <v>99</v>
      </c>
      <c r="B1809" t="s">
        <v>2117</v>
      </c>
      <c r="C1809" t="s">
        <v>5178</v>
      </c>
      <c r="D1809" t="s">
        <v>1133</v>
      </c>
      <c r="E1809" t="s">
        <v>2843</v>
      </c>
      <c r="F1809">
        <v>3.8899999999999997E-2</v>
      </c>
      <c r="G1809">
        <v>8.93</v>
      </c>
      <c r="H1809" t="s">
        <v>152</v>
      </c>
      <c r="I1809" t="s">
        <v>153</v>
      </c>
      <c r="J1809">
        <v>0.34737699999999999</v>
      </c>
      <c r="K1809">
        <v>107.047696</v>
      </c>
      <c r="L1809" t="s">
        <v>5179</v>
      </c>
      <c r="M1809">
        <v>308.16000000000003</v>
      </c>
      <c r="N1809" t="s">
        <v>5190</v>
      </c>
      <c r="O1809" t="s">
        <v>5181</v>
      </c>
    </row>
    <row r="1810" spans="1:15" x14ac:dyDescent="0.2">
      <c r="A1810">
        <v>99</v>
      </c>
      <c r="B1810" t="s">
        <v>2117</v>
      </c>
      <c r="C1810" t="s">
        <v>5178</v>
      </c>
      <c r="D1810" t="s">
        <v>1009</v>
      </c>
      <c r="E1810" t="s">
        <v>672</v>
      </c>
      <c r="F1810">
        <v>0</v>
      </c>
      <c r="G1810">
        <v>16.489999999999998</v>
      </c>
      <c r="H1810" t="s">
        <v>151</v>
      </c>
      <c r="I1810" t="s">
        <v>153</v>
      </c>
      <c r="J1810">
        <v>0</v>
      </c>
      <c r="K1810">
        <v>0</v>
      </c>
      <c r="L1810" t="s">
        <v>5179</v>
      </c>
      <c r="M1810">
        <v>308.16000000000003</v>
      </c>
      <c r="N1810" t="s">
        <v>5191</v>
      </c>
      <c r="O1810" t="s">
        <v>5181</v>
      </c>
    </row>
    <row r="1811" spans="1:15" x14ac:dyDescent="0.2">
      <c r="A1811">
        <v>99</v>
      </c>
      <c r="B1811" t="s">
        <v>2117</v>
      </c>
      <c r="C1811" t="s">
        <v>5178</v>
      </c>
      <c r="D1811" t="s">
        <v>547</v>
      </c>
      <c r="E1811" t="s">
        <v>2320</v>
      </c>
      <c r="F1811">
        <v>0</v>
      </c>
      <c r="G1811">
        <v>13.51</v>
      </c>
      <c r="H1811" t="s">
        <v>151</v>
      </c>
      <c r="I1811" t="s">
        <v>153</v>
      </c>
      <c r="J1811">
        <v>0</v>
      </c>
      <c r="K1811">
        <v>0</v>
      </c>
      <c r="L1811" t="s">
        <v>5179</v>
      </c>
      <c r="M1811">
        <v>308.16000000000003</v>
      </c>
      <c r="N1811" t="s">
        <v>5192</v>
      </c>
      <c r="O1811" t="s">
        <v>5181</v>
      </c>
    </row>
    <row r="1812" spans="1:15" x14ac:dyDescent="0.2">
      <c r="A1812">
        <v>99</v>
      </c>
      <c r="B1812" t="s">
        <v>2117</v>
      </c>
      <c r="C1812" t="s">
        <v>5193</v>
      </c>
      <c r="D1812" t="s">
        <v>547</v>
      </c>
      <c r="E1812" t="s">
        <v>2320</v>
      </c>
      <c r="F1812">
        <v>0</v>
      </c>
      <c r="G1812">
        <v>13.51</v>
      </c>
      <c r="H1812" t="s">
        <v>151</v>
      </c>
      <c r="I1812" t="s">
        <v>153</v>
      </c>
      <c r="J1812">
        <v>0</v>
      </c>
      <c r="K1812">
        <v>0</v>
      </c>
      <c r="L1812" t="s">
        <v>5194</v>
      </c>
      <c r="M1812">
        <v>174.14</v>
      </c>
      <c r="N1812" t="s">
        <v>5195</v>
      </c>
      <c r="O1812" t="s">
        <v>5196</v>
      </c>
    </row>
    <row r="1813" spans="1:15" x14ac:dyDescent="0.2">
      <c r="A1813">
        <v>99</v>
      </c>
      <c r="B1813" t="s">
        <v>2117</v>
      </c>
      <c r="C1813" t="s">
        <v>5193</v>
      </c>
      <c r="D1813" t="s">
        <v>1009</v>
      </c>
      <c r="E1813" t="s">
        <v>672</v>
      </c>
      <c r="F1813">
        <v>0</v>
      </c>
      <c r="G1813">
        <v>16.489999999999998</v>
      </c>
      <c r="H1813" t="s">
        <v>151</v>
      </c>
      <c r="I1813" t="s">
        <v>153</v>
      </c>
      <c r="J1813">
        <v>0</v>
      </c>
      <c r="K1813">
        <v>0</v>
      </c>
      <c r="L1813" t="s">
        <v>5194</v>
      </c>
      <c r="M1813">
        <v>174.14</v>
      </c>
      <c r="N1813" t="s">
        <v>5197</v>
      </c>
      <c r="O1813" t="s">
        <v>5196</v>
      </c>
    </row>
    <row r="1814" spans="1:15" x14ac:dyDescent="0.2">
      <c r="A1814">
        <v>99</v>
      </c>
      <c r="B1814" t="s">
        <v>2117</v>
      </c>
      <c r="C1814" t="s">
        <v>5193</v>
      </c>
      <c r="D1814" t="s">
        <v>1133</v>
      </c>
      <c r="E1814" t="s">
        <v>2843</v>
      </c>
      <c r="F1814">
        <v>3.8899999999999997E-2</v>
      </c>
      <c r="G1814">
        <v>8.93</v>
      </c>
      <c r="H1814" t="s">
        <v>152</v>
      </c>
      <c r="I1814" t="s">
        <v>153</v>
      </c>
      <c r="J1814">
        <v>0.34737699999999999</v>
      </c>
      <c r="K1814">
        <v>60.492230999999997</v>
      </c>
      <c r="L1814" t="s">
        <v>5194</v>
      </c>
      <c r="M1814">
        <v>174.14</v>
      </c>
      <c r="N1814" t="s">
        <v>5198</v>
      </c>
      <c r="O1814" t="s">
        <v>5196</v>
      </c>
    </row>
    <row r="1815" spans="1:15" x14ac:dyDescent="0.2">
      <c r="A1815">
        <v>99</v>
      </c>
      <c r="B1815" t="s">
        <v>2117</v>
      </c>
      <c r="C1815" t="s">
        <v>5193</v>
      </c>
      <c r="D1815" t="s">
        <v>66</v>
      </c>
      <c r="E1815" t="s">
        <v>617</v>
      </c>
      <c r="F1815">
        <v>0</v>
      </c>
      <c r="G1815">
        <v>5.45</v>
      </c>
      <c r="H1815" t="s">
        <v>764</v>
      </c>
      <c r="I1815" t="s">
        <v>153</v>
      </c>
      <c r="J1815">
        <v>0</v>
      </c>
      <c r="K1815">
        <v>0</v>
      </c>
      <c r="L1815" t="s">
        <v>5194</v>
      </c>
      <c r="M1815">
        <v>174.14</v>
      </c>
      <c r="N1815" t="s">
        <v>5199</v>
      </c>
      <c r="O1815" t="s">
        <v>5196</v>
      </c>
    </row>
    <row r="1816" spans="1:15" x14ac:dyDescent="0.2">
      <c r="A1816">
        <v>99</v>
      </c>
      <c r="B1816" t="s">
        <v>2117</v>
      </c>
      <c r="C1816" t="s">
        <v>5193</v>
      </c>
      <c r="D1816" t="s">
        <v>498</v>
      </c>
      <c r="E1816" t="s">
        <v>773</v>
      </c>
      <c r="F1816">
        <v>1.2</v>
      </c>
      <c r="G1816">
        <v>0</v>
      </c>
      <c r="H1816" t="s">
        <v>84</v>
      </c>
      <c r="I1816" t="s">
        <v>153</v>
      </c>
      <c r="J1816">
        <v>0</v>
      </c>
      <c r="K1816">
        <v>0</v>
      </c>
      <c r="L1816" t="s">
        <v>5194</v>
      </c>
      <c r="M1816">
        <v>174.14</v>
      </c>
      <c r="N1816" t="s">
        <v>5200</v>
      </c>
      <c r="O1816" t="s">
        <v>5196</v>
      </c>
    </row>
    <row r="1817" spans="1:15" x14ac:dyDescent="0.2">
      <c r="A1817">
        <v>99</v>
      </c>
      <c r="B1817" t="s">
        <v>2117</v>
      </c>
      <c r="C1817" t="s">
        <v>5193</v>
      </c>
      <c r="D1817" t="s">
        <v>1654</v>
      </c>
      <c r="E1817" t="s">
        <v>1551</v>
      </c>
      <c r="F1817">
        <v>0.97199999999999998</v>
      </c>
      <c r="G1817">
        <v>0.7974</v>
      </c>
      <c r="H1817" t="s">
        <v>1052</v>
      </c>
      <c r="I1817" t="s">
        <v>153</v>
      </c>
      <c r="J1817">
        <v>0.77507280000000001</v>
      </c>
      <c r="K1817">
        <v>134.97117700000001</v>
      </c>
      <c r="L1817" t="s">
        <v>5194</v>
      </c>
      <c r="M1817">
        <v>174.14</v>
      </c>
      <c r="N1817" t="s">
        <v>5201</v>
      </c>
      <c r="O1817" t="s">
        <v>5196</v>
      </c>
    </row>
    <row r="1818" spans="1:15" x14ac:dyDescent="0.2">
      <c r="A1818">
        <v>99</v>
      </c>
      <c r="B1818" t="s">
        <v>2117</v>
      </c>
      <c r="C1818" t="s">
        <v>5193</v>
      </c>
      <c r="D1818" t="s">
        <v>1258</v>
      </c>
      <c r="E1818" t="s">
        <v>1526</v>
      </c>
      <c r="F1818">
        <v>2.2000000000000001E-3</v>
      </c>
      <c r="G1818">
        <v>148</v>
      </c>
      <c r="H1818" t="s">
        <v>1153</v>
      </c>
      <c r="I1818" t="s">
        <v>153</v>
      </c>
      <c r="J1818">
        <v>0.3256</v>
      </c>
      <c r="K1818">
        <v>56.699984000000001</v>
      </c>
      <c r="L1818" t="s">
        <v>5194</v>
      </c>
      <c r="M1818">
        <v>174.14</v>
      </c>
      <c r="N1818" t="s">
        <v>5202</v>
      </c>
      <c r="O1818" t="s">
        <v>5196</v>
      </c>
    </row>
    <row r="1819" spans="1:15" x14ac:dyDescent="0.2">
      <c r="A1819">
        <v>99</v>
      </c>
      <c r="B1819" t="s">
        <v>2117</v>
      </c>
      <c r="C1819" t="s">
        <v>5193</v>
      </c>
      <c r="D1819" t="s">
        <v>5183</v>
      </c>
      <c r="E1819" t="s">
        <v>5184</v>
      </c>
      <c r="F1819">
        <v>1</v>
      </c>
      <c r="G1819">
        <v>9.81</v>
      </c>
      <c r="H1819" t="s">
        <v>153</v>
      </c>
      <c r="I1819" t="s">
        <v>153</v>
      </c>
      <c r="J1819">
        <v>9.81</v>
      </c>
      <c r="K1819">
        <v>1708.3134</v>
      </c>
      <c r="L1819" t="s">
        <v>5194</v>
      </c>
      <c r="M1819">
        <v>174.14</v>
      </c>
      <c r="N1819" t="s">
        <v>5203</v>
      </c>
      <c r="O1819" t="s">
        <v>5196</v>
      </c>
    </row>
    <row r="1820" spans="1:15" x14ac:dyDescent="0.2">
      <c r="A1820">
        <v>99</v>
      </c>
      <c r="B1820" t="s">
        <v>2117</v>
      </c>
      <c r="C1820" t="s">
        <v>5193</v>
      </c>
      <c r="D1820" t="s">
        <v>120</v>
      </c>
      <c r="E1820" t="s">
        <v>597</v>
      </c>
      <c r="F1820">
        <v>0</v>
      </c>
      <c r="G1820">
        <v>1.52</v>
      </c>
      <c r="H1820" t="s">
        <v>742</v>
      </c>
      <c r="I1820" t="s">
        <v>153</v>
      </c>
      <c r="J1820">
        <v>0</v>
      </c>
      <c r="K1820">
        <v>0</v>
      </c>
      <c r="L1820" t="s">
        <v>5194</v>
      </c>
      <c r="M1820">
        <v>174.14</v>
      </c>
      <c r="N1820" t="s">
        <v>5204</v>
      </c>
      <c r="O1820" t="s">
        <v>5196</v>
      </c>
    </row>
    <row r="1821" spans="1:15" x14ac:dyDescent="0.2">
      <c r="A1821">
        <v>99</v>
      </c>
      <c r="B1821" t="s">
        <v>2117</v>
      </c>
      <c r="C1821" t="s">
        <v>5193</v>
      </c>
      <c r="D1821" t="s">
        <v>801</v>
      </c>
      <c r="E1821" t="s">
        <v>402</v>
      </c>
      <c r="F1821">
        <v>0</v>
      </c>
      <c r="G1821">
        <v>10.3</v>
      </c>
      <c r="H1821" t="s">
        <v>151</v>
      </c>
      <c r="I1821" t="s">
        <v>153</v>
      </c>
      <c r="J1821">
        <v>0</v>
      </c>
      <c r="K1821">
        <v>0</v>
      </c>
      <c r="L1821" t="s">
        <v>5194</v>
      </c>
      <c r="M1821">
        <v>174.14</v>
      </c>
      <c r="N1821" t="s">
        <v>5205</v>
      </c>
      <c r="O1821" t="s">
        <v>5196</v>
      </c>
    </row>
    <row r="1822" spans="1:15" x14ac:dyDescent="0.2">
      <c r="A1822">
        <v>99</v>
      </c>
      <c r="B1822" t="s">
        <v>2117</v>
      </c>
      <c r="C1822" t="s">
        <v>5206</v>
      </c>
      <c r="D1822" t="s">
        <v>5207</v>
      </c>
      <c r="E1822" t="s">
        <v>5208</v>
      </c>
      <c r="F1822">
        <v>1</v>
      </c>
      <c r="G1822">
        <v>745.86189999999999</v>
      </c>
      <c r="H1822" t="s">
        <v>1819</v>
      </c>
      <c r="I1822" t="s">
        <v>1152</v>
      </c>
      <c r="J1822">
        <v>745.86189999999999</v>
      </c>
      <c r="K1822">
        <v>121736.59587</v>
      </c>
      <c r="L1822" t="s">
        <v>5209</v>
      </c>
      <c r="M1822">
        <v>163.21600000000001</v>
      </c>
      <c r="N1822" t="s">
        <v>5210</v>
      </c>
      <c r="O1822" t="s">
        <v>5211</v>
      </c>
    </row>
    <row r="1823" spans="1:15" x14ac:dyDescent="0.2">
      <c r="A1823">
        <v>99</v>
      </c>
      <c r="B1823" t="s">
        <v>2117</v>
      </c>
      <c r="C1823" t="s">
        <v>5206</v>
      </c>
      <c r="D1823" t="s">
        <v>5212</v>
      </c>
      <c r="E1823" t="s">
        <v>5213</v>
      </c>
      <c r="F1823">
        <v>1</v>
      </c>
      <c r="G1823">
        <v>303.33</v>
      </c>
      <c r="H1823" t="s">
        <v>1819</v>
      </c>
      <c r="I1823" t="s">
        <v>1152</v>
      </c>
      <c r="J1823">
        <v>303.33</v>
      </c>
      <c r="K1823">
        <v>49508.309280000001</v>
      </c>
      <c r="L1823" t="s">
        <v>5209</v>
      </c>
      <c r="M1823">
        <v>163.21600000000001</v>
      </c>
      <c r="N1823" t="s">
        <v>5214</v>
      </c>
      <c r="O1823" t="s">
        <v>5211</v>
      </c>
    </row>
    <row r="1824" spans="1:15" x14ac:dyDescent="0.2">
      <c r="A1824">
        <v>99</v>
      </c>
      <c r="B1824" t="s">
        <v>2117</v>
      </c>
      <c r="C1824" t="s">
        <v>5215</v>
      </c>
      <c r="D1824" t="s">
        <v>5216</v>
      </c>
      <c r="E1824" t="s">
        <v>5217</v>
      </c>
      <c r="F1824">
        <v>1</v>
      </c>
      <c r="G1824">
        <v>745.86189999999999</v>
      </c>
      <c r="H1824" t="s">
        <v>1819</v>
      </c>
      <c r="I1824" t="s">
        <v>1152</v>
      </c>
      <c r="J1824">
        <v>745.86189999999999</v>
      </c>
      <c r="K1824">
        <v>82324.507213000004</v>
      </c>
      <c r="L1824" t="s">
        <v>5218</v>
      </c>
      <c r="M1824">
        <v>110.375</v>
      </c>
      <c r="N1824" t="s">
        <v>5219</v>
      </c>
      <c r="O1824" t="s">
        <v>5220</v>
      </c>
    </row>
    <row r="1825" spans="1:15" x14ac:dyDescent="0.2">
      <c r="A1825">
        <v>99</v>
      </c>
      <c r="B1825" t="s">
        <v>2117</v>
      </c>
      <c r="C1825" t="s">
        <v>5215</v>
      </c>
      <c r="D1825" t="s">
        <v>5221</v>
      </c>
      <c r="E1825" t="s">
        <v>5222</v>
      </c>
      <c r="F1825">
        <v>1</v>
      </c>
      <c r="G1825">
        <v>303.33</v>
      </c>
      <c r="H1825" t="s">
        <v>1819</v>
      </c>
      <c r="I1825" t="s">
        <v>1152</v>
      </c>
      <c r="J1825">
        <v>303.33</v>
      </c>
      <c r="K1825">
        <v>33480.048750000002</v>
      </c>
      <c r="L1825" t="s">
        <v>5218</v>
      </c>
      <c r="M1825">
        <v>110.375</v>
      </c>
      <c r="N1825" t="s">
        <v>5223</v>
      </c>
      <c r="O1825" t="s">
        <v>5220</v>
      </c>
    </row>
    <row r="1826" spans="1:15" x14ac:dyDescent="0.2">
      <c r="A1826">
        <v>99</v>
      </c>
      <c r="B1826" t="s">
        <v>2117</v>
      </c>
      <c r="C1826" t="s">
        <v>591</v>
      </c>
      <c r="D1826" t="s">
        <v>1815</v>
      </c>
      <c r="E1826" t="s">
        <v>4088</v>
      </c>
      <c r="F1826">
        <v>1</v>
      </c>
      <c r="G1826">
        <v>1730.547</v>
      </c>
      <c r="H1826" t="s">
        <v>1819</v>
      </c>
      <c r="I1826" t="s">
        <v>1152</v>
      </c>
      <c r="J1826">
        <v>1730.547</v>
      </c>
      <c r="K1826">
        <v>3310951.5692250002</v>
      </c>
      <c r="L1826" t="s">
        <v>5224</v>
      </c>
      <c r="M1826">
        <v>1913.2399</v>
      </c>
      <c r="N1826" t="s">
        <v>4089</v>
      </c>
      <c r="O1826" t="s">
        <v>322</v>
      </c>
    </row>
    <row r="1827" spans="1:15" x14ac:dyDescent="0.2">
      <c r="A1827">
        <v>99</v>
      </c>
      <c r="B1827" t="s">
        <v>2117</v>
      </c>
      <c r="C1827" t="s">
        <v>591</v>
      </c>
      <c r="D1827" t="s">
        <v>1755</v>
      </c>
      <c r="E1827" t="s">
        <v>4090</v>
      </c>
      <c r="F1827">
        <v>1</v>
      </c>
      <c r="G1827">
        <v>741.66300000000001</v>
      </c>
      <c r="H1827" t="s">
        <v>1819</v>
      </c>
      <c r="I1827" t="s">
        <v>1152</v>
      </c>
      <c r="J1827">
        <v>741.66300000000001</v>
      </c>
      <c r="K1827">
        <v>1418979.2439540001</v>
      </c>
      <c r="L1827" t="s">
        <v>5224</v>
      </c>
      <c r="M1827">
        <v>1913.2399</v>
      </c>
      <c r="N1827" t="s">
        <v>4091</v>
      </c>
      <c r="O1827" t="s">
        <v>322</v>
      </c>
    </row>
    <row r="1828" spans="1:15" x14ac:dyDescent="0.2">
      <c r="A1828">
        <v>99</v>
      </c>
      <c r="B1828" t="s">
        <v>2117</v>
      </c>
      <c r="C1828" t="s">
        <v>593</v>
      </c>
      <c r="D1828" t="s">
        <v>1757</v>
      </c>
      <c r="E1828" t="s">
        <v>4094</v>
      </c>
      <c r="F1828">
        <v>1</v>
      </c>
      <c r="G1828">
        <v>741.66300000000001</v>
      </c>
      <c r="H1828" t="s">
        <v>1819</v>
      </c>
      <c r="I1828" t="s">
        <v>1152</v>
      </c>
      <c r="J1828">
        <v>741.66300000000001</v>
      </c>
      <c r="K1828">
        <v>2560836.2562899999</v>
      </c>
      <c r="L1828" t="s">
        <v>796</v>
      </c>
      <c r="M1828">
        <v>3452.83</v>
      </c>
      <c r="N1828" t="s">
        <v>4095</v>
      </c>
      <c r="O1828" t="s">
        <v>1238</v>
      </c>
    </row>
    <row r="1829" spans="1:15" x14ac:dyDescent="0.2">
      <c r="A1829">
        <v>99</v>
      </c>
      <c r="B1829" t="s">
        <v>2117</v>
      </c>
      <c r="C1829" t="s">
        <v>593</v>
      </c>
      <c r="D1829" t="s">
        <v>1818</v>
      </c>
      <c r="E1829" t="s">
        <v>4092</v>
      </c>
      <c r="F1829">
        <v>1</v>
      </c>
      <c r="G1829">
        <v>1730.547</v>
      </c>
      <c r="H1829" t="s">
        <v>1819</v>
      </c>
      <c r="I1829" t="s">
        <v>1152</v>
      </c>
      <c r="J1829">
        <v>1730.547</v>
      </c>
      <c r="K1829">
        <v>5975284.5980099998</v>
      </c>
      <c r="L1829" t="s">
        <v>796</v>
      </c>
      <c r="M1829">
        <v>3452.83</v>
      </c>
      <c r="N1829" t="s">
        <v>4093</v>
      </c>
      <c r="O1829" t="s">
        <v>1238</v>
      </c>
    </row>
    <row r="1830" spans="1:15" x14ac:dyDescent="0.2">
      <c r="A1830">
        <v>99</v>
      </c>
      <c r="B1830" t="s">
        <v>2117</v>
      </c>
      <c r="C1830" t="s">
        <v>5225</v>
      </c>
      <c r="D1830" t="s">
        <v>5226</v>
      </c>
      <c r="E1830" t="s">
        <v>5227</v>
      </c>
      <c r="F1830">
        <v>1</v>
      </c>
      <c r="G1830">
        <v>200</v>
      </c>
      <c r="H1830" t="s">
        <v>1819</v>
      </c>
      <c r="I1830" t="s">
        <v>1152</v>
      </c>
      <c r="J1830">
        <v>200</v>
      </c>
      <c r="K1830">
        <v>400</v>
      </c>
      <c r="L1830" t="s">
        <v>5228</v>
      </c>
      <c r="M1830">
        <v>2</v>
      </c>
      <c r="N1830" t="s">
        <v>5229</v>
      </c>
      <c r="O1830" t="s">
        <v>5230</v>
      </c>
    </row>
    <row r="1831" spans="1:15" x14ac:dyDescent="0.2">
      <c r="A1831">
        <v>99</v>
      </c>
      <c r="B1831" t="s">
        <v>2117</v>
      </c>
      <c r="C1831" t="s">
        <v>5225</v>
      </c>
      <c r="D1831" t="s">
        <v>5231</v>
      </c>
      <c r="E1831" t="s">
        <v>5232</v>
      </c>
      <c r="F1831">
        <v>1</v>
      </c>
      <c r="G1831">
        <v>600</v>
      </c>
      <c r="H1831" t="s">
        <v>1819</v>
      </c>
      <c r="I1831" t="s">
        <v>1152</v>
      </c>
      <c r="J1831">
        <v>600</v>
      </c>
      <c r="K1831">
        <v>1200</v>
      </c>
      <c r="L1831" t="s">
        <v>5228</v>
      </c>
      <c r="M1831">
        <v>2</v>
      </c>
      <c r="N1831" t="s">
        <v>5233</v>
      </c>
      <c r="O1831" t="s">
        <v>5230</v>
      </c>
    </row>
    <row r="1832" spans="1:15" x14ac:dyDescent="0.2">
      <c r="A1832">
        <v>99</v>
      </c>
      <c r="B1832" t="s">
        <v>2117</v>
      </c>
      <c r="C1832" t="s">
        <v>492</v>
      </c>
      <c r="D1832" t="s">
        <v>1530</v>
      </c>
      <c r="E1832" t="s">
        <v>856</v>
      </c>
      <c r="F1832">
        <v>1</v>
      </c>
      <c r="G1832">
        <v>750</v>
      </c>
      <c r="H1832" t="s">
        <v>1819</v>
      </c>
      <c r="I1832" t="s">
        <v>1152</v>
      </c>
      <c r="J1832">
        <v>750</v>
      </c>
      <c r="K1832">
        <v>279502.5</v>
      </c>
      <c r="L1832" t="s">
        <v>5234</v>
      </c>
      <c r="M1832">
        <v>372.67</v>
      </c>
      <c r="N1832" t="s">
        <v>4096</v>
      </c>
      <c r="O1832" t="s">
        <v>368</v>
      </c>
    </row>
    <row r="1833" spans="1:15" x14ac:dyDescent="0.2">
      <c r="A1833">
        <v>99</v>
      </c>
      <c r="B1833" t="s">
        <v>2117</v>
      </c>
      <c r="C1833" t="s">
        <v>492</v>
      </c>
      <c r="D1833" t="s">
        <v>1814</v>
      </c>
      <c r="E1833" t="s">
        <v>4097</v>
      </c>
      <c r="F1833">
        <v>1</v>
      </c>
      <c r="G1833">
        <v>350</v>
      </c>
      <c r="H1833" t="s">
        <v>1819</v>
      </c>
      <c r="I1833" t="s">
        <v>1152</v>
      </c>
      <c r="J1833">
        <v>350</v>
      </c>
      <c r="K1833">
        <v>130434.5</v>
      </c>
      <c r="L1833" t="s">
        <v>5234</v>
      </c>
      <c r="M1833">
        <v>372.67</v>
      </c>
      <c r="N1833" t="s">
        <v>4098</v>
      </c>
      <c r="O1833" t="s">
        <v>368</v>
      </c>
    </row>
    <row r="1834" spans="1:15" x14ac:dyDescent="0.2">
      <c r="A1834">
        <v>99</v>
      </c>
      <c r="B1834" t="s">
        <v>2117</v>
      </c>
      <c r="C1834" t="s">
        <v>496</v>
      </c>
      <c r="D1834" t="s">
        <v>1817</v>
      </c>
      <c r="E1834" t="s">
        <v>4100</v>
      </c>
      <c r="F1834">
        <v>1</v>
      </c>
      <c r="G1834">
        <v>952.64909999999998</v>
      </c>
      <c r="H1834" t="s">
        <v>1819</v>
      </c>
      <c r="I1834" t="s">
        <v>1152</v>
      </c>
      <c r="J1834">
        <v>952.64909999999998</v>
      </c>
      <c r="K1834">
        <v>45898.633637999999</v>
      </c>
      <c r="L1834" t="s">
        <v>5235</v>
      </c>
      <c r="M1834">
        <v>48.18</v>
      </c>
      <c r="N1834" t="s">
        <v>4101</v>
      </c>
      <c r="O1834" t="s">
        <v>1677</v>
      </c>
    </row>
    <row r="1835" spans="1:15" x14ac:dyDescent="0.2">
      <c r="A1835">
        <v>99</v>
      </c>
      <c r="B1835" t="s">
        <v>2117</v>
      </c>
      <c r="C1835" t="s">
        <v>496</v>
      </c>
      <c r="D1835" t="s">
        <v>1532</v>
      </c>
      <c r="E1835" t="s">
        <v>520</v>
      </c>
      <c r="F1835">
        <v>1</v>
      </c>
      <c r="G1835">
        <v>2196.6945000000001</v>
      </c>
      <c r="H1835" t="s">
        <v>1819</v>
      </c>
      <c r="I1835" t="s">
        <v>1152</v>
      </c>
      <c r="J1835">
        <v>2196.6945000000001</v>
      </c>
      <c r="K1835">
        <v>105836.74101</v>
      </c>
      <c r="L1835" t="s">
        <v>5235</v>
      </c>
      <c r="M1835">
        <v>48.18</v>
      </c>
      <c r="N1835" t="s">
        <v>4099</v>
      </c>
      <c r="O1835" t="s">
        <v>1677</v>
      </c>
    </row>
    <row r="1836" spans="1:15" x14ac:dyDescent="0.2">
      <c r="A1836">
        <v>99</v>
      </c>
      <c r="B1836" t="s">
        <v>2117</v>
      </c>
      <c r="C1836" t="s">
        <v>504</v>
      </c>
      <c r="D1836" t="s">
        <v>1943</v>
      </c>
      <c r="E1836" t="s">
        <v>4103</v>
      </c>
      <c r="F1836">
        <v>1</v>
      </c>
      <c r="G1836">
        <v>200</v>
      </c>
      <c r="H1836" t="s">
        <v>1819</v>
      </c>
      <c r="I1836" t="s">
        <v>1152</v>
      </c>
      <c r="J1836">
        <v>200</v>
      </c>
      <c r="K1836">
        <v>707186</v>
      </c>
      <c r="L1836" t="s">
        <v>665</v>
      </c>
      <c r="M1836">
        <v>3535.93</v>
      </c>
      <c r="N1836" t="s">
        <v>4104</v>
      </c>
      <c r="O1836" t="s">
        <v>382</v>
      </c>
    </row>
    <row r="1837" spans="1:15" x14ac:dyDescent="0.2">
      <c r="A1837">
        <v>99</v>
      </c>
      <c r="B1837" t="s">
        <v>2117</v>
      </c>
      <c r="C1837" t="s">
        <v>504</v>
      </c>
      <c r="D1837" t="s">
        <v>1539</v>
      </c>
      <c r="E1837" t="s">
        <v>415</v>
      </c>
      <c r="F1837">
        <v>1</v>
      </c>
      <c r="G1837">
        <v>400</v>
      </c>
      <c r="H1837" t="s">
        <v>1819</v>
      </c>
      <c r="I1837" t="s">
        <v>1152</v>
      </c>
      <c r="J1837">
        <v>400</v>
      </c>
      <c r="K1837">
        <v>1414372</v>
      </c>
      <c r="L1837" t="s">
        <v>665</v>
      </c>
      <c r="M1837">
        <v>3535.93</v>
      </c>
      <c r="N1837" t="s">
        <v>4102</v>
      </c>
      <c r="O1837" t="s">
        <v>382</v>
      </c>
    </row>
    <row r="1838" spans="1:15" x14ac:dyDescent="0.2">
      <c r="A1838">
        <v>99</v>
      </c>
      <c r="B1838" t="s">
        <v>2117</v>
      </c>
      <c r="C1838" t="s">
        <v>293</v>
      </c>
      <c r="D1838" t="s">
        <v>1275</v>
      </c>
      <c r="E1838" t="s">
        <v>4105</v>
      </c>
      <c r="F1838">
        <v>1</v>
      </c>
      <c r="G1838">
        <v>988</v>
      </c>
      <c r="H1838" t="s">
        <v>1781</v>
      </c>
      <c r="I1838" t="s">
        <v>1781</v>
      </c>
      <c r="J1838">
        <v>988</v>
      </c>
      <c r="K1838">
        <v>331968</v>
      </c>
      <c r="L1838" t="s">
        <v>193</v>
      </c>
      <c r="M1838">
        <v>336</v>
      </c>
      <c r="N1838" t="s">
        <v>4106</v>
      </c>
      <c r="O1838" t="s">
        <v>4107</v>
      </c>
    </row>
    <row r="1839" spans="1:15" x14ac:dyDescent="0.2">
      <c r="A1839">
        <v>99</v>
      </c>
      <c r="B1839" t="s">
        <v>2117</v>
      </c>
      <c r="C1839" t="s">
        <v>293</v>
      </c>
      <c r="D1839" t="s">
        <v>945</v>
      </c>
      <c r="E1839" t="s">
        <v>267</v>
      </c>
      <c r="F1839">
        <v>0</v>
      </c>
      <c r="G1839">
        <v>39</v>
      </c>
      <c r="H1839" t="s">
        <v>151</v>
      </c>
      <c r="I1839" t="s">
        <v>1781</v>
      </c>
      <c r="J1839">
        <v>0</v>
      </c>
      <c r="K1839">
        <v>0</v>
      </c>
      <c r="L1839" t="s">
        <v>193</v>
      </c>
      <c r="M1839">
        <v>336</v>
      </c>
      <c r="N1839" t="s">
        <v>4110</v>
      </c>
      <c r="O1839" t="s">
        <v>4107</v>
      </c>
    </row>
    <row r="1840" spans="1:15" x14ac:dyDescent="0.2">
      <c r="A1840">
        <v>99</v>
      </c>
      <c r="B1840" t="s">
        <v>2117</v>
      </c>
      <c r="C1840" t="s">
        <v>293</v>
      </c>
      <c r="D1840" t="s">
        <v>1978</v>
      </c>
      <c r="E1840" t="s">
        <v>4112</v>
      </c>
      <c r="F1840">
        <v>1</v>
      </c>
      <c r="G1840">
        <v>110</v>
      </c>
      <c r="H1840" t="s">
        <v>1781</v>
      </c>
      <c r="I1840" t="s">
        <v>1781</v>
      </c>
      <c r="J1840">
        <v>110</v>
      </c>
      <c r="K1840">
        <v>36960</v>
      </c>
      <c r="L1840" t="s">
        <v>193</v>
      </c>
      <c r="M1840">
        <v>336</v>
      </c>
      <c r="N1840" t="s">
        <v>4113</v>
      </c>
      <c r="O1840" t="s">
        <v>4107</v>
      </c>
    </row>
    <row r="1841" spans="1:15" x14ac:dyDescent="0.2">
      <c r="A1841">
        <v>99</v>
      </c>
      <c r="B1841" t="s">
        <v>2117</v>
      </c>
      <c r="C1841" t="s">
        <v>293</v>
      </c>
      <c r="D1841" t="s">
        <v>1143</v>
      </c>
      <c r="E1841" t="s">
        <v>1740</v>
      </c>
      <c r="F1841">
        <v>3</v>
      </c>
      <c r="G1841">
        <v>15.08</v>
      </c>
      <c r="H1841" t="s">
        <v>1781</v>
      </c>
      <c r="I1841" t="s">
        <v>1781</v>
      </c>
      <c r="J1841">
        <v>45.24</v>
      </c>
      <c r="K1841">
        <v>15200.64</v>
      </c>
      <c r="L1841" t="s">
        <v>193</v>
      </c>
      <c r="M1841">
        <v>336</v>
      </c>
      <c r="N1841" t="s">
        <v>4108</v>
      </c>
      <c r="O1841" t="s">
        <v>4107</v>
      </c>
    </row>
    <row r="1842" spans="1:15" x14ac:dyDescent="0.2">
      <c r="A1842">
        <v>99</v>
      </c>
      <c r="B1842" t="s">
        <v>2117</v>
      </c>
      <c r="C1842" t="s">
        <v>293</v>
      </c>
      <c r="D1842" t="s">
        <v>311</v>
      </c>
      <c r="E1842" t="s">
        <v>1441</v>
      </c>
      <c r="F1842">
        <v>1.1619999999999999</v>
      </c>
      <c r="G1842">
        <v>38</v>
      </c>
      <c r="H1842" t="s">
        <v>1781</v>
      </c>
      <c r="I1842" t="s">
        <v>1781</v>
      </c>
      <c r="J1842">
        <v>44.155999999999999</v>
      </c>
      <c r="K1842">
        <v>14836.415999999999</v>
      </c>
      <c r="L1842" t="s">
        <v>193</v>
      </c>
      <c r="M1842">
        <v>336</v>
      </c>
      <c r="N1842" t="s">
        <v>4109</v>
      </c>
      <c r="O1842" t="s">
        <v>4107</v>
      </c>
    </row>
    <row r="1843" spans="1:15" x14ac:dyDescent="0.2">
      <c r="A1843">
        <v>99</v>
      </c>
      <c r="B1843" t="s">
        <v>2117</v>
      </c>
      <c r="C1843" t="s">
        <v>293</v>
      </c>
      <c r="D1843" t="s">
        <v>801</v>
      </c>
      <c r="E1843" t="s">
        <v>402</v>
      </c>
      <c r="F1843">
        <v>0</v>
      </c>
      <c r="G1843">
        <v>10.3</v>
      </c>
      <c r="H1843" t="s">
        <v>151</v>
      </c>
      <c r="I1843" t="s">
        <v>1781</v>
      </c>
      <c r="J1843">
        <v>0</v>
      </c>
      <c r="K1843">
        <v>0</v>
      </c>
      <c r="L1843" t="s">
        <v>193</v>
      </c>
      <c r="M1843">
        <v>336</v>
      </c>
      <c r="N1843" t="s">
        <v>4111</v>
      </c>
      <c r="O1843" t="s">
        <v>4107</v>
      </c>
    </row>
    <row r="1844" spans="1:15" x14ac:dyDescent="0.2">
      <c r="A1844">
        <v>99</v>
      </c>
      <c r="B1844" t="s">
        <v>2117</v>
      </c>
      <c r="C1844" t="s">
        <v>293</v>
      </c>
      <c r="D1844" t="s">
        <v>498</v>
      </c>
      <c r="E1844" t="s">
        <v>773</v>
      </c>
      <c r="F1844">
        <v>1.2</v>
      </c>
      <c r="G1844">
        <v>0</v>
      </c>
      <c r="H1844" t="s">
        <v>84</v>
      </c>
      <c r="I1844" t="s">
        <v>1781</v>
      </c>
      <c r="J1844">
        <v>0</v>
      </c>
      <c r="K1844">
        <v>0</v>
      </c>
      <c r="L1844" t="s">
        <v>193</v>
      </c>
      <c r="M1844">
        <v>336</v>
      </c>
      <c r="N1844" t="s">
        <v>4114</v>
      </c>
      <c r="O1844" t="s">
        <v>4107</v>
      </c>
    </row>
    <row r="1845" spans="1:15" x14ac:dyDescent="0.2">
      <c r="A1845">
        <v>99</v>
      </c>
      <c r="B1845" t="s">
        <v>2117</v>
      </c>
      <c r="C1845" t="s">
        <v>296</v>
      </c>
      <c r="D1845" t="s">
        <v>498</v>
      </c>
      <c r="E1845" t="s">
        <v>773</v>
      </c>
      <c r="F1845">
        <v>1.2</v>
      </c>
      <c r="G1845">
        <v>0</v>
      </c>
      <c r="H1845" t="s">
        <v>84</v>
      </c>
      <c r="I1845" t="s">
        <v>1781</v>
      </c>
      <c r="J1845">
        <v>0</v>
      </c>
      <c r="K1845">
        <v>0</v>
      </c>
      <c r="L1845" t="s">
        <v>214</v>
      </c>
      <c r="M1845">
        <v>25</v>
      </c>
      <c r="N1845" t="s">
        <v>4121</v>
      </c>
      <c r="O1845" t="s">
        <v>4116</v>
      </c>
    </row>
    <row r="1846" spans="1:15" x14ac:dyDescent="0.2">
      <c r="A1846">
        <v>99</v>
      </c>
      <c r="B1846" t="s">
        <v>2117</v>
      </c>
      <c r="C1846" t="s">
        <v>296</v>
      </c>
      <c r="D1846" t="s">
        <v>801</v>
      </c>
      <c r="E1846" t="s">
        <v>402</v>
      </c>
      <c r="F1846">
        <v>0</v>
      </c>
      <c r="G1846">
        <v>10.3</v>
      </c>
      <c r="H1846" t="s">
        <v>151</v>
      </c>
      <c r="I1846" t="s">
        <v>1781</v>
      </c>
      <c r="J1846">
        <v>0</v>
      </c>
      <c r="K1846">
        <v>0</v>
      </c>
      <c r="L1846" t="s">
        <v>214</v>
      </c>
      <c r="M1846">
        <v>25</v>
      </c>
      <c r="N1846" t="s">
        <v>4119</v>
      </c>
      <c r="O1846" t="s">
        <v>4116</v>
      </c>
    </row>
    <row r="1847" spans="1:15" x14ac:dyDescent="0.2">
      <c r="A1847">
        <v>99</v>
      </c>
      <c r="B1847" t="s">
        <v>2117</v>
      </c>
      <c r="C1847" t="s">
        <v>296</v>
      </c>
      <c r="D1847" t="s">
        <v>311</v>
      </c>
      <c r="E1847" t="s">
        <v>1441</v>
      </c>
      <c r="F1847">
        <v>1.1619999999999999</v>
      </c>
      <c r="G1847">
        <v>38</v>
      </c>
      <c r="H1847" t="s">
        <v>1781</v>
      </c>
      <c r="I1847" t="s">
        <v>1781</v>
      </c>
      <c r="J1847">
        <v>44.155999999999999</v>
      </c>
      <c r="K1847">
        <v>1103.9000000000001</v>
      </c>
      <c r="L1847" t="s">
        <v>214</v>
      </c>
      <c r="M1847">
        <v>25</v>
      </c>
      <c r="N1847" t="s">
        <v>4117</v>
      </c>
      <c r="O1847" t="s">
        <v>4116</v>
      </c>
    </row>
    <row r="1848" spans="1:15" x14ac:dyDescent="0.2">
      <c r="A1848">
        <v>99</v>
      </c>
      <c r="B1848" t="s">
        <v>2117</v>
      </c>
      <c r="C1848" t="s">
        <v>296</v>
      </c>
      <c r="D1848" t="s">
        <v>1279</v>
      </c>
      <c r="E1848" t="s">
        <v>4122</v>
      </c>
      <c r="F1848">
        <v>1</v>
      </c>
      <c r="G1848">
        <v>1028.56</v>
      </c>
      <c r="H1848" t="s">
        <v>1781</v>
      </c>
      <c r="I1848" t="s">
        <v>1781</v>
      </c>
      <c r="J1848">
        <v>1028.56</v>
      </c>
      <c r="K1848">
        <v>25714</v>
      </c>
      <c r="L1848" t="s">
        <v>214</v>
      </c>
      <c r="M1848">
        <v>25</v>
      </c>
      <c r="N1848" t="s">
        <v>4123</v>
      </c>
      <c r="O1848" t="s">
        <v>4116</v>
      </c>
    </row>
    <row r="1849" spans="1:15" x14ac:dyDescent="0.2">
      <c r="A1849">
        <v>99</v>
      </c>
      <c r="B1849" t="s">
        <v>2117</v>
      </c>
      <c r="C1849" t="s">
        <v>296</v>
      </c>
      <c r="D1849" t="s">
        <v>1143</v>
      </c>
      <c r="E1849" t="s">
        <v>1740</v>
      </c>
      <c r="F1849">
        <v>3</v>
      </c>
      <c r="G1849">
        <v>15.08</v>
      </c>
      <c r="H1849" t="s">
        <v>1781</v>
      </c>
      <c r="I1849" t="s">
        <v>1781</v>
      </c>
      <c r="J1849">
        <v>45.24</v>
      </c>
      <c r="K1849">
        <v>1131</v>
      </c>
      <c r="L1849" t="s">
        <v>214</v>
      </c>
      <c r="M1849">
        <v>25</v>
      </c>
      <c r="N1849" t="s">
        <v>4115</v>
      </c>
      <c r="O1849" t="s">
        <v>4116</v>
      </c>
    </row>
    <row r="1850" spans="1:15" x14ac:dyDescent="0.2">
      <c r="A1850">
        <v>99</v>
      </c>
      <c r="B1850" t="s">
        <v>2117</v>
      </c>
      <c r="C1850" t="s">
        <v>296</v>
      </c>
      <c r="D1850" t="s">
        <v>1978</v>
      </c>
      <c r="E1850" t="s">
        <v>4112</v>
      </c>
      <c r="F1850">
        <v>1</v>
      </c>
      <c r="G1850">
        <v>110</v>
      </c>
      <c r="H1850" t="s">
        <v>1781</v>
      </c>
      <c r="I1850" t="s">
        <v>1781</v>
      </c>
      <c r="J1850">
        <v>110</v>
      </c>
      <c r="K1850">
        <v>2750</v>
      </c>
      <c r="L1850" t="s">
        <v>214</v>
      </c>
      <c r="M1850">
        <v>25</v>
      </c>
      <c r="N1850" t="s">
        <v>4120</v>
      </c>
      <c r="O1850" t="s">
        <v>4116</v>
      </c>
    </row>
    <row r="1851" spans="1:15" x14ac:dyDescent="0.2">
      <c r="A1851">
        <v>99</v>
      </c>
      <c r="B1851" t="s">
        <v>2117</v>
      </c>
      <c r="C1851" t="s">
        <v>296</v>
      </c>
      <c r="D1851" t="s">
        <v>945</v>
      </c>
      <c r="E1851" t="s">
        <v>267</v>
      </c>
      <c r="F1851">
        <v>0</v>
      </c>
      <c r="G1851">
        <v>39</v>
      </c>
      <c r="H1851" t="s">
        <v>151</v>
      </c>
      <c r="I1851" t="s">
        <v>1781</v>
      </c>
      <c r="J1851">
        <v>0</v>
      </c>
      <c r="K1851">
        <v>0</v>
      </c>
      <c r="L1851" t="s">
        <v>214</v>
      </c>
      <c r="M1851">
        <v>25</v>
      </c>
      <c r="N1851" t="s">
        <v>4118</v>
      </c>
      <c r="O1851" t="s">
        <v>4116</v>
      </c>
    </row>
    <row r="1852" spans="1:15" x14ac:dyDescent="0.2">
      <c r="A1852">
        <v>99</v>
      </c>
      <c r="B1852" t="s">
        <v>2117</v>
      </c>
      <c r="C1852" t="s">
        <v>301</v>
      </c>
      <c r="D1852" t="s">
        <v>945</v>
      </c>
      <c r="E1852" t="s">
        <v>267</v>
      </c>
      <c r="F1852">
        <v>0</v>
      </c>
      <c r="G1852">
        <v>39</v>
      </c>
      <c r="H1852" t="s">
        <v>151</v>
      </c>
      <c r="I1852" t="s">
        <v>1781</v>
      </c>
      <c r="J1852">
        <v>0</v>
      </c>
      <c r="K1852">
        <v>0</v>
      </c>
      <c r="L1852" t="s">
        <v>219</v>
      </c>
      <c r="M1852">
        <v>3</v>
      </c>
      <c r="N1852" t="s">
        <v>4130</v>
      </c>
      <c r="O1852" t="s">
        <v>4126</v>
      </c>
    </row>
    <row r="1853" spans="1:15" x14ac:dyDescent="0.2">
      <c r="A1853">
        <v>99</v>
      </c>
      <c r="B1853" t="s">
        <v>2117</v>
      </c>
      <c r="C1853" t="s">
        <v>301</v>
      </c>
      <c r="D1853" t="s">
        <v>1343</v>
      </c>
      <c r="E1853" t="s">
        <v>4124</v>
      </c>
      <c r="F1853">
        <v>1</v>
      </c>
      <c r="G1853">
        <v>1224.47</v>
      </c>
      <c r="H1853" t="s">
        <v>1781</v>
      </c>
      <c r="I1853" t="s">
        <v>1781</v>
      </c>
      <c r="J1853">
        <v>1224.47</v>
      </c>
      <c r="K1853">
        <v>3673.41</v>
      </c>
      <c r="L1853" t="s">
        <v>219</v>
      </c>
      <c r="M1853">
        <v>3</v>
      </c>
      <c r="N1853" t="s">
        <v>4125</v>
      </c>
      <c r="O1853" t="s">
        <v>4126</v>
      </c>
    </row>
    <row r="1854" spans="1:15" x14ac:dyDescent="0.2">
      <c r="A1854">
        <v>99</v>
      </c>
      <c r="B1854" t="s">
        <v>2117</v>
      </c>
      <c r="C1854" t="s">
        <v>301</v>
      </c>
      <c r="D1854" t="s">
        <v>1139</v>
      </c>
      <c r="E1854" t="s">
        <v>276</v>
      </c>
      <c r="F1854">
        <v>4</v>
      </c>
      <c r="G1854">
        <v>15.07</v>
      </c>
      <c r="H1854" t="s">
        <v>1781</v>
      </c>
      <c r="I1854" t="s">
        <v>1781</v>
      </c>
      <c r="J1854">
        <v>60.28</v>
      </c>
      <c r="K1854">
        <v>180.84</v>
      </c>
      <c r="L1854" t="s">
        <v>219</v>
      </c>
      <c r="M1854">
        <v>3</v>
      </c>
      <c r="N1854" t="s">
        <v>4127</v>
      </c>
      <c r="O1854" t="s">
        <v>4126</v>
      </c>
    </row>
    <row r="1855" spans="1:15" x14ac:dyDescent="0.2">
      <c r="A1855">
        <v>99</v>
      </c>
      <c r="B1855" t="s">
        <v>2117</v>
      </c>
      <c r="C1855" t="s">
        <v>301</v>
      </c>
      <c r="D1855" t="s">
        <v>1978</v>
      </c>
      <c r="E1855" t="s">
        <v>4112</v>
      </c>
      <c r="F1855">
        <v>1</v>
      </c>
      <c r="G1855">
        <v>110</v>
      </c>
      <c r="H1855" t="s">
        <v>1781</v>
      </c>
      <c r="I1855" t="s">
        <v>1781</v>
      </c>
      <c r="J1855">
        <v>110</v>
      </c>
      <c r="K1855">
        <v>330</v>
      </c>
      <c r="L1855" t="s">
        <v>219</v>
      </c>
      <c r="M1855">
        <v>3</v>
      </c>
      <c r="N1855" t="s">
        <v>4132</v>
      </c>
      <c r="O1855" t="s">
        <v>4126</v>
      </c>
    </row>
    <row r="1856" spans="1:15" x14ac:dyDescent="0.2">
      <c r="A1856">
        <v>99</v>
      </c>
      <c r="B1856" t="s">
        <v>2117</v>
      </c>
      <c r="C1856" t="s">
        <v>301</v>
      </c>
      <c r="D1856" t="s">
        <v>311</v>
      </c>
      <c r="E1856" t="s">
        <v>1441</v>
      </c>
      <c r="F1856">
        <v>1.1619999999999999</v>
      </c>
      <c r="G1856">
        <v>38</v>
      </c>
      <c r="H1856" t="s">
        <v>1781</v>
      </c>
      <c r="I1856" t="s">
        <v>1781</v>
      </c>
      <c r="J1856">
        <v>44.155999999999999</v>
      </c>
      <c r="K1856">
        <v>132.46799999999999</v>
      </c>
      <c r="L1856" t="s">
        <v>219</v>
      </c>
      <c r="M1856">
        <v>3</v>
      </c>
      <c r="N1856" t="s">
        <v>4129</v>
      </c>
      <c r="O1856" t="s">
        <v>4126</v>
      </c>
    </row>
    <row r="1857" spans="1:15" x14ac:dyDescent="0.2">
      <c r="A1857">
        <v>99</v>
      </c>
      <c r="B1857" t="s">
        <v>2117</v>
      </c>
      <c r="C1857" t="s">
        <v>301</v>
      </c>
      <c r="D1857" t="s">
        <v>801</v>
      </c>
      <c r="E1857" t="s">
        <v>402</v>
      </c>
      <c r="F1857">
        <v>0</v>
      </c>
      <c r="G1857">
        <v>10.3</v>
      </c>
      <c r="H1857" t="s">
        <v>151</v>
      </c>
      <c r="I1857" t="s">
        <v>1781</v>
      </c>
      <c r="J1857">
        <v>0</v>
      </c>
      <c r="K1857">
        <v>0</v>
      </c>
      <c r="L1857" t="s">
        <v>219</v>
      </c>
      <c r="M1857">
        <v>3</v>
      </c>
      <c r="N1857" t="s">
        <v>4131</v>
      </c>
      <c r="O1857" t="s">
        <v>4126</v>
      </c>
    </row>
    <row r="1858" spans="1:15" x14ac:dyDescent="0.2">
      <c r="A1858">
        <v>99</v>
      </c>
      <c r="B1858" t="s">
        <v>2117</v>
      </c>
      <c r="C1858" t="s">
        <v>301</v>
      </c>
      <c r="D1858" t="s">
        <v>498</v>
      </c>
      <c r="E1858" t="s">
        <v>773</v>
      </c>
      <c r="F1858">
        <v>1.2</v>
      </c>
      <c r="G1858">
        <v>0</v>
      </c>
      <c r="H1858" t="s">
        <v>84</v>
      </c>
      <c r="I1858" t="s">
        <v>1781</v>
      </c>
      <c r="J1858">
        <v>0</v>
      </c>
      <c r="K1858">
        <v>0</v>
      </c>
      <c r="L1858" t="s">
        <v>219</v>
      </c>
      <c r="M1858">
        <v>3</v>
      </c>
      <c r="N1858" t="s">
        <v>4133</v>
      </c>
      <c r="O1858" t="s">
        <v>4126</v>
      </c>
    </row>
    <row r="1859" spans="1:15" x14ac:dyDescent="0.2">
      <c r="A1859">
        <v>99</v>
      </c>
      <c r="B1859" t="s">
        <v>2117</v>
      </c>
      <c r="C1859" t="s">
        <v>301</v>
      </c>
      <c r="D1859" t="s">
        <v>1144</v>
      </c>
      <c r="E1859" t="s">
        <v>1325</v>
      </c>
      <c r="F1859">
        <v>1</v>
      </c>
      <c r="G1859">
        <v>184.11</v>
      </c>
      <c r="H1859" t="s">
        <v>1781</v>
      </c>
      <c r="I1859" t="s">
        <v>1781</v>
      </c>
      <c r="J1859">
        <v>184.11</v>
      </c>
      <c r="K1859">
        <v>552.33000000000004</v>
      </c>
      <c r="L1859" t="s">
        <v>219</v>
      </c>
      <c r="M1859">
        <v>3</v>
      </c>
      <c r="N1859" t="s">
        <v>4128</v>
      </c>
      <c r="O1859" t="s">
        <v>4126</v>
      </c>
    </row>
    <row r="1860" spans="1:15" x14ac:dyDescent="0.2">
      <c r="A1860">
        <v>99</v>
      </c>
      <c r="B1860" t="s">
        <v>2117</v>
      </c>
      <c r="C1860" t="s">
        <v>503</v>
      </c>
      <c r="D1860" t="s">
        <v>1144</v>
      </c>
      <c r="E1860" t="s">
        <v>1325</v>
      </c>
      <c r="F1860">
        <v>1</v>
      </c>
      <c r="G1860">
        <v>184.11</v>
      </c>
      <c r="H1860" t="s">
        <v>1781</v>
      </c>
      <c r="I1860" t="s">
        <v>1781</v>
      </c>
      <c r="J1860">
        <v>184.11</v>
      </c>
      <c r="K1860">
        <v>1472.88</v>
      </c>
      <c r="L1860" t="s">
        <v>197</v>
      </c>
      <c r="M1860">
        <v>8</v>
      </c>
      <c r="N1860" t="s">
        <v>4138</v>
      </c>
      <c r="O1860" t="s">
        <v>4136</v>
      </c>
    </row>
    <row r="1861" spans="1:15" x14ac:dyDescent="0.2">
      <c r="A1861">
        <v>99</v>
      </c>
      <c r="B1861" t="s">
        <v>2117</v>
      </c>
      <c r="C1861" t="s">
        <v>503</v>
      </c>
      <c r="D1861" t="s">
        <v>498</v>
      </c>
      <c r="E1861" t="s">
        <v>773</v>
      </c>
      <c r="F1861">
        <v>1.2</v>
      </c>
      <c r="G1861">
        <v>0</v>
      </c>
      <c r="H1861" t="s">
        <v>84</v>
      </c>
      <c r="I1861" t="s">
        <v>1781</v>
      </c>
      <c r="J1861">
        <v>0</v>
      </c>
      <c r="K1861">
        <v>0</v>
      </c>
      <c r="L1861" t="s">
        <v>197</v>
      </c>
      <c r="M1861">
        <v>8</v>
      </c>
      <c r="N1861" t="s">
        <v>4143</v>
      </c>
      <c r="O1861" t="s">
        <v>4136</v>
      </c>
    </row>
    <row r="1862" spans="1:15" x14ac:dyDescent="0.2">
      <c r="A1862">
        <v>99</v>
      </c>
      <c r="B1862" t="s">
        <v>2117</v>
      </c>
      <c r="C1862" t="s">
        <v>503</v>
      </c>
      <c r="D1862" t="s">
        <v>801</v>
      </c>
      <c r="E1862" t="s">
        <v>402</v>
      </c>
      <c r="F1862">
        <v>0</v>
      </c>
      <c r="G1862">
        <v>10.3</v>
      </c>
      <c r="H1862" t="s">
        <v>151</v>
      </c>
      <c r="I1862" t="s">
        <v>1781</v>
      </c>
      <c r="J1862">
        <v>0</v>
      </c>
      <c r="K1862">
        <v>0</v>
      </c>
      <c r="L1862" t="s">
        <v>197</v>
      </c>
      <c r="M1862">
        <v>8</v>
      </c>
      <c r="N1862" t="s">
        <v>4141</v>
      </c>
      <c r="O1862" t="s">
        <v>4136</v>
      </c>
    </row>
    <row r="1863" spans="1:15" x14ac:dyDescent="0.2">
      <c r="A1863">
        <v>99</v>
      </c>
      <c r="B1863" t="s">
        <v>2117</v>
      </c>
      <c r="C1863" t="s">
        <v>503</v>
      </c>
      <c r="D1863" t="s">
        <v>1545</v>
      </c>
      <c r="E1863" t="s">
        <v>4134</v>
      </c>
      <c r="F1863">
        <v>1</v>
      </c>
      <c r="G1863">
        <v>1260.1500000000001</v>
      </c>
      <c r="H1863" t="s">
        <v>1781</v>
      </c>
      <c r="I1863" t="s">
        <v>1781</v>
      </c>
      <c r="J1863">
        <v>1260.1500000000001</v>
      </c>
      <c r="K1863">
        <v>10081.200000000001</v>
      </c>
      <c r="L1863" t="s">
        <v>197</v>
      </c>
      <c r="M1863">
        <v>8</v>
      </c>
      <c r="N1863" t="s">
        <v>4135</v>
      </c>
      <c r="O1863" t="s">
        <v>4136</v>
      </c>
    </row>
    <row r="1864" spans="1:15" x14ac:dyDescent="0.2">
      <c r="A1864">
        <v>99</v>
      </c>
      <c r="B1864" t="s">
        <v>2117</v>
      </c>
      <c r="C1864" t="s">
        <v>503</v>
      </c>
      <c r="D1864" t="s">
        <v>311</v>
      </c>
      <c r="E1864" t="s">
        <v>1441</v>
      </c>
      <c r="F1864">
        <v>1.1619999999999999</v>
      </c>
      <c r="G1864">
        <v>38</v>
      </c>
      <c r="H1864" t="s">
        <v>1781</v>
      </c>
      <c r="I1864" t="s">
        <v>1781</v>
      </c>
      <c r="J1864">
        <v>44.155999999999999</v>
      </c>
      <c r="K1864">
        <v>353.24799999999999</v>
      </c>
      <c r="L1864" t="s">
        <v>197</v>
      </c>
      <c r="M1864">
        <v>8</v>
      </c>
      <c r="N1864" t="s">
        <v>4139</v>
      </c>
      <c r="O1864" t="s">
        <v>4136</v>
      </c>
    </row>
    <row r="1865" spans="1:15" x14ac:dyDescent="0.2">
      <c r="A1865">
        <v>99</v>
      </c>
      <c r="B1865" t="s">
        <v>2117</v>
      </c>
      <c r="C1865" t="s">
        <v>503</v>
      </c>
      <c r="D1865" t="s">
        <v>1978</v>
      </c>
      <c r="E1865" t="s">
        <v>4112</v>
      </c>
      <c r="F1865">
        <v>1</v>
      </c>
      <c r="G1865">
        <v>110</v>
      </c>
      <c r="H1865" t="s">
        <v>1781</v>
      </c>
      <c r="I1865" t="s">
        <v>1781</v>
      </c>
      <c r="J1865">
        <v>110</v>
      </c>
      <c r="K1865">
        <v>880</v>
      </c>
      <c r="L1865" t="s">
        <v>197</v>
      </c>
      <c r="M1865">
        <v>8</v>
      </c>
      <c r="N1865" t="s">
        <v>4142</v>
      </c>
      <c r="O1865" t="s">
        <v>4136</v>
      </c>
    </row>
    <row r="1866" spans="1:15" x14ac:dyDescent="0.2">
      <c r="A1866">
        <v>99</v>
      </c>
      <c r="B1866" t="s">
        <v>2117</v>
      </c>
      <c r="C1866" t="s">
        <v>503</v>
      </c>
      <c r="D1866" t="s">
        <v>1139</v>
      </c>
      <c r="E1866" t="s">
        <v>276</v>
      </c>
      <c r="F1866">
        <v>4</v>
      </c>
      <c r="G1866">
        <v>15.07</v>
      </c>
      <c r="H1866" t="s">
        <v>1781</v>
      </c>
      <c r="I1866" t="s">
        <v>1781</v>
      </c>
      <c r="J1866">
        <v>60.28</v>
      </c>
      <c r="K1866">
        <v>482.24</v>
      </c>
      <c r="L1866" t="s">
        <v>197</v>
      </c>
      <c r="M1866">
        <v>8</v>
      </c>
      <c r="N1866" t="s">
        <v>4137</v>
      </c>
      <c r="O1866" t="s">
        <v>4136</v>
      </c>
    </row>
    <row r="1867" spans="1:15" x14ac:dyDescent="0.2">
      <c r="A1867">
        <v>99</v>
      </c>
      <c r="B1867" t="s">
        <v>2117</v>
      </c>
      <c r="C1867" t="s">
        <v>503</v>
      </c>
      <c r="D1867" t="s">
        <v>945</v>
      </c>
      <c r="E1867" t="s">
        <v>267</v>
      </c>
      <c r="F1867">
        <v>0</v>
      </c>
      <c r="G1867">
        <v>39</v>
      </c>
      <c r="H1867" t="s">
        <v>151</v>
      </c>
      <c r="I1867" t="s">
        <v>1781</v>
      </c>
      <c r="J1867">
        <v>0</v>
      </c>
      <c r="K1867">
        <v>0</v>
      </c>
      <c r="L1867" t="s">
        <v>197</v>
      </c>
      <c r="M1867">
        <v>8</v>
      </c>
      <c r="N1867" t="s">
        <v>4140</v>
      </c>
      <c r="O1867" t="s">
        <v>4136</v>
      </c>
    </row>
    <row r="1868" spans="1:15" x14ac:dyDescent="0.2">
      <c r="A1868">
        <v>99</v>
      </c>
      <c r="B1868" t="s">
        <v>2117</v>
      </c>
      <c r="C1868" t="s">
        <v>506</v>
      </c>
      <c r="D1868" t="s">
        <v>945</v>
      </c>
      <c r="E1868" t="s">
        <v>267</v>
      </c>
      <c r="F1868">
        <v>0</v>
      </c>
      <c r="G1868">
        <v>39</v>
      </c>
      <c r="H1868" t="s">
        <v>151</v>
      </c>
      <c r="I1868" t="s">
        <v>1781</v>
      </c>
      <c r="J1868">
        <v>0</v>
      </c>
      <c r="K1868">
        <v>0</v>
      </c>
      <c r="L1868" t="s">
        <v>200</v>
      </c>
      <c r="M1868">
        <v>6</v>
      </c>
      <c r="N1868" t="s">
        <v>4147</v>
      </c>
      <c r="O1868" t="s">
        <v>4145</v>
      </c>
    </row>
    <row r="1869" spans="1:15" x14ac:dyDescent="0.2">
      <c r="A1869">
        <v>99</v>
      </c>
      <c r="B1869" t="s">
        <v>2117</v>
      </c>
      <c r="C1869" t="s">
        <v>506</v>
      </c>
      <c r="D1869" t="s">
        <v>1139</v>
      </c>
      <c r="E1869" t="s">
        <v>276</v>
      </c>
      <c r="F1869">
        <v>4</v>
      </c>
      <c r="G1869">
        <v>15.07</v>
      </c>
      <c r="H1869" t="s">
        <v>1781</v>
      </c>
      <c r="I1869" t="s">
        <v>1781</v>
      </c>
      <c r="J1869">
        <v>60.28</v>
      </c>
      <c r="K1869">
        <v>361.68</v>
      </c>
      <c r="L1869" t="s">
        <v>200</v>
      </c>
      <c r="M1869">
        <v>6</v>
      </c>
      <c r="N1869" t="s">
        <v>4153</v>
      </c>
      <c r="O1869" t="s">
        <v>4145</v>
      </c>
    </row>
    <row r="1870" spans="1:15" x14ac:dyDescent="0.2">
      <c r="A1870">
        <v>99</v>
      </c>
      <c r="B1870" t="s">
        <v>2117</v>
      </c>
      <c r="C1870" t="s">
        <v>506</v>
      </c>
      <c r="D1870" t="s">
        <v>1978</v>
      </c>
      <c r="E1870" t="s">
        <v>4112</v>
      </c>
      <c r="F1870">
        <v>1</v>
      </c>
      <c r="G1870">
        <v>110</v>
      </c>
      <c r="H1870" t="s">
        <v>1781</v>
      </c>
      <c r="I1870" t="s">
        <v>1781</v>
      </c>
      <c r="J1870">
        <v>110</v>
      </c>
      <c r="K1870">
        <v>660</v>
      </c>
      <c r="L1870" t="s">
        <v>200</v>
      </c>
      <c r="M1870">
        <v>6</v>
      </c>
      <c r="N1870" t="s">
        <v>4149</v>
      </c>
      <c r="O1870" t="s">
        <v>4145</v>
      </c>
    </row>
    <row r="1871" spans="1:15" x14ac:dyDescent="0.2">
      <c r="A1871">
        <v>99</v>
      </c>
      <c r="B1871" t="s">
        <v>2117</v>
      </c>
      <c r="C1871" t="s">
        <v>506</v>
      </c>
      <c r="D1871" t="s">
        <v>311</v>
      </c>
      <c r="E1871" t="s">
        <v>1441</v>
      </c>
      <c r="F1871">
        <v>1.1619999999999999</v>
      </c>
      <c r="G1871">
        <v>38</v>
      </c>
      <c r="H1871" t="s">
        <v>1781</v>
      </c>
      <c r="I1871" t="s">
        <v>1781</v>
      </c>
      <c r="J1871">
        <v>44.155999999999999</v>
      </c>
      <c r="K1871">
        <v>264.93599999999998</v>
      </c>
      <c r="L1871" t="s">
        <v>200</v>
      </c>
      <c r="M1871">
        <v>6</v>
      </c>
      <c r="N1871" t="s">
        <v>4146</v>
      </c>
      <c r="O1871" t="s">
        <v>4145</v>
      </c>
    </row>
    <row r="1872" spans="1:15" x14ac:dyDescent="0.2">
      <c r="A1872">
        <v>99</v>
      </c>
      <c r="B1872" t="s">
        <v>2117</v>
      </c>
      <c r="C1872" t="s">
        <v>506</v>
      </c>
      <c r="D1872" t="s">
        <v>801</v>
      </c>
      <c r="E1872" t="s">
        <v>402</v>
      </c>
      <c r="F1872">
        <v>0</v>
      </c>
      <c r="G1872">
        <v>10.3</v>
      </c>
      <c r="H1872" t="s">
        <v>151</v>
      </c>
      <c r="I1872" t="s">
        <v>1781</v>
      </c>
      <c r="J1872">
        <v>0</v>
      </c>
      <c r="K1872">
        <v>0</v>
      </c>
      <c r="L1872" t="s">
        <v>200</v>
      </c>
      <c r="M1872">
        <v>6</v>
      </c>
      <c r="N1872" t="s">
        <v>4148</v>
      </c>
      <c r="O1872" t="s">
        <v>4145</v>
      </c>
    </row>
    <row r="1873" spans="1:15" x14ac:dyDescent="0.2">
      <c r="A1873">
        <v>99</v>
      </c>
      <c r="B1873" t="s">
        <v>2117</v>
      </c>
      <c r="C1873" t="s">
        <v>506</v>
      </c>
      <c r="D1873" t="s">
        <v>1548</v>
      </c>
      <c r="E1873" t="s">
        <v>4151</v>
      </c>
      <c r="F1873">
        <v>1</v>
      </c>
      <c r="G1873">
        <v>1386.16</v>
      </c>
      <c r="H1873" t="s">
        <v>1781</v>
      </c>
      <c r="I1873" t="s">
        <v>1781</v>
      </c>
      <c r="J1873">
        <v>1386.16</v>
      </c>
      <c r="K1873">
        <v>8316.9599999999991</v>
      </c>
      <c r="L1873" t="s">
        <v>200</v>
      </c>
      <c r="M1873">
        <v>6</v>
      </c>
      <c r="N1873" t="s">
        <v>4152</v>
      </c>
      <c r="O1873" t="s">
        <v>4145</v>
      </c>
    </row>
    <row r="1874" spans="1:15" x14ac:dyDescent="0.2">
      <c r="A1874">
        <v>99</v>
      </c>
      <c r="B1874" t="s">
        <v>2117</v>
      </c>
      <c r="C1874" t="s">
        <v>506</v>
      </c>
      <c r="D1874" t="s">
        <v>498</v>
      </c>
      <c r="E1874" t="s">
        <v>773</v>
      </c>
      <c r="F1874">
        <v>1.2</v>
      </c>
      <c r="G1874">
        <v>0</v>
      </c>
      <c r="H1874" t="s">
        <v>84</v>
      </c>
      <c r="I1874" t="s">
        <v>1781</v>
      </c>
      <c r="J1874">
        <v>0</v>
      </c>
      <c r="K1874">
        <v>0</v>
      </c>
      <c r="L1874" t="s">
        <v>200</v>
      </c>
      <c r="M1874">
        <v>6</v>
      </c>
      <c r="N1874" t="s">
        <v>4150</v>
      </c>
      <c r="O1874" t="s">
        <v>4145</v>
      </c>
    </row>
    <row r="1875" spans="1:15" x14ac:dyDescent="0.2">
      <c r="A1875">
        <v>99</v>
      </c>
      <c r="B1875" t="s">
        <v>2117</v>
      </c>
      <c r="C1875" t="s">
        <v>506</v>
      </c>
      <c r="D1875" t="s">
        <v>1144</v>
      </c>
      <c r="E1875" t="s">
        <v>1325</v>
      </c>
      <c r="F1875">
        <v>1</v>
      </c>
      <c r="G1875">
        <v>184.11</v>
      </c>
      <c r="H1875" t="s">
        <v>1781</v>
      </c>
      <c r="I1875" t="s">
        <v>1781</v>
      </c>
      <c r="J1875">
        <v>184.11</v>
      </c>
      <c r="K1875">
        <v>1104.6600000000001</v>
      </c>
      <c r="L1875" t="s">
        <v>200</v>
      </c>
      <c r="M1875">
        <v>6</v>
      </c>
      <c r="N1875" t="s">
        <v>4144</v>
      </c>
      <c r="O1875" t="s">
        <v>4145</v>
      </c>
    </row>
    <row r="1876" spans="1:15" x14ac:dyDescent="0.2">
      <c r="A1876">
        <v>99</v>
      </c>
      <c r="B1876" t="s">
        <v>2117</v>
      </c>
      <c r="C1876" t="s">
        <v>508</v>
      </c>
      <c r="D1876" t="s">
        <v>1144</v>
      </c>
      <c r="E1876" t="s">
        <v>1325</v>
      </c>
      <c r="F1876">
        <v>1</v>
      </c>
      <c r="G1876">
        <v>184.11</v>
      </c>
      <c r="H1876" t="s">
        <v>1781</v>
      </c>
      <c r="I1876" t="s">
        <v>1781</v>
      </c>
      <c r="J1876">
        <v>184.11</v>
      </c>
      <c r="K1876">
        <v>184.11</v>
      </c>
      <c r="L1876" t="s">
        <v>204</v>
      </c>
      <c r="M1876">
        <v>1</v>
      </c>
      <c r="N1876" t="s">
        <v>4160</v>
      </c>
      <c r="O1876" t="s">
        <v>4155</v>
      </c>
    </row>
    <row r="1877" spans="1:15" x14ac:dyDescent="0.2">
      <c r="A1877">
        <v>99</v>
      </c>
      <c r="B1877" t="s">
        <v>2117</v>
      </c>
      <c r="C1877" t="s">
        <v>508</v>
      </c>
      <c r="D1877" t="s">
        <v>1620</v>
      </c>
      <c r="E1877" t="s">
        <v>4157</v>
      </c>
      <c r="F1877">
        <v>1</v>
      </c>
      <c r="G1877">
        <v>1436.57</v>
      </c>
      <c r="H1877" t="s">
        <v>1781</v>
      </c>
      <c r="I1877" t="s">
        <v>1781</v>
      </c>
      <c r="J1877">
        <v>1436.57</v>
      </c>
      <c r="K1877">
        <v>1436.57</v>
      </c>
      <c r="L1877" t="s">
        <v>204</v>
      </c>
      <c r="M1877">
        <v>1</v>
      </c>
      <c r="N1877" t="s">
        <v>4158</v>
      </c>
      <c r="O1877" t="s">
        <v>4155</v>
      </c>
    </row>
    <row r="1878" spans="1:15" x14ac:dyDescent="0.2">
      <c r="A1878">
        <v>99</v>
      </c>
      <c r="B1878" t="s">
        <v>2117</v>
      </c>
      <c r="C1878" t="s">
        <v>508</v>
      </c>
      <c r="D1878" t="s">
        <v>498</v>
      </c>
      <c r="E1878" t="s">
        <v>773</v>
      </c>
      <c r="F1878">
        <v>1.2</v>
      </c>
      <c r="G1878">
        <v>0</v>
      </c>
      <c r="H1878" t="s">
        <v>84</v>
      </c>
      <c r="I1878" t="s">
        <v>1781</v>
      </c>
      <c r="J1878">
        <v>0</v>
      </c>
      <c r="K1878">
        <v>0</v>
      </c>
      <c r="L1878" t="s">
        <v>204</v>
      </c>
      <c r="M1878">
        <v>1</v>
      </c>
      <c r="N1878" t="s">
        <v>4156</v>
      </c>
      <c r="O1878" t="s">
        <v>4155</v>
      </c>
    </row>
    <row r="1879" spans="1:15" x14ac:dyDescent="0.2">
      <c r="A1879">
        <v>99</v>
      </c>
      <c r="B1879" t="s">
        <v>2117</v>
      </c>
      <c r="C1879" t="s">
        <v>508</v>
      </c>
      <c r="D1879" t="s">
        <v>801</v>
      </c>
      <c r="E1879" t="s">
        <v>402</v>
      </c>
      <c r="F1879">
        <v>0</v>
      </c>
      <c r="G1879">
        <v>10.3</v>
      </c>
      <c r="H1879" t="s">
        <v>151</v>
      </c>
      <c r="I1879" t="s">
        <v>1781</v>
      </c>
      <c r="J1879">
        <v>0</v>
      </c>
      <c r="K1879">
        <v>0</v>
      </c>
      <c r="L1879" t="s">
        <v>204</v>
      </c>
      <c r="M1879">
        <v>1</v>
      </c>
      <c r="N1879" t="s">
        <v>4163</v>
      </c>
      <c r="O1879" t="s">
        <v>4155</v>
      </c>
    </row>
    <row r="1880" spans="1:15" x14ac:dyDescent="0.2">
      <c r="A1880">
        <v>99</v>
      </c>
      <c r="B1880" t="s">
        <v>2117</v>
      </c>
      <c r="C1880" t="s">
        <v>508</v>
      </c>
      <c r="D1880" t="s">
        <v>311</v>
      </c>
      <c r="E1880" t="s">
        <v>1441</v>
      </c>
      <c r="F1880">
        <v>1.1619999999999999</v>
      </c>
      <c r="G1880">
        <v>38</v>
      </c>
      <c r="H1880" t="s">
        <v>1781</v>
      </c>
      <c r="I1880" t="s">
        <v>1781</v>
      </c>
      <c r="J1880">
        <v>44.155999999999999</v>
      </c>
      <c r="K1880">
        <v>44.155999999999999</v>
      </c>
      <c r="L1880" t="s">
        <v>204</v>
      </c>
      <c r="M1880">
        <v>1</v>
      </c>
      <c r="N1880" t="s">
        <v>4161</v>
      </c>
      <c r="O1880" t="s">
        <v>4155</v>
      </c>
    </row>
    <row r="1881" spans="1:15" x14ac:dyDescent="0.2">
      <c r="A1881">
        <v>99</v>
      </c>
      <c r="B1881" t="s">
        <v>2117</v>
      </c>
      <c r="C1881" t="s">
        <v>508</v>
      </c>
      <c r="D1881" t="s">
        <v>1978</v>
      </c>
      <c r="E1881" t="s">
        <v>4112</v>
      </c>
      <c r="F1881">
        <v>1</v>
      </c>
      <c r="G1881">
        <v>110</v>
      </c>
      <c r="H1881" t="s">
        <v>1781</v>
      </c>
      <c r="I1881" t="s">
        <v>1781</v>
      </c>
      <c r="J1881">
        <v>110</v>
      </c>
      <c r="K1881">
        <v>110</v>
      </c>
      <c r="L1881" t="s">
        <v>204</v>
      </c>
      <c r="M1881">
        <v>1</v>
      </c>
      <c r="N1881" t="s">
        <v>4154</v>
      </c>
      <c r="O1881" t="s">
        <v>4155</v>
      </c>
    </row>
    <row r="1882" spans="1:15" x14ac:dyDescent="0.2">
      <c r="A1882">
        <v>99</v>
      </c>
      <c r="B1882" t="s">
        <v>2117</v>
      </c>
      <c r="C1882" t="s">
        <v>508</v>
      </c>
      <c r="D1882" t="s">
        <v>1139</v>
      </c>
      <c r="E1882" t="s">
        <v>276</v>
      </c>
      <c r="F1882">
        <v>4</v>
      </c>
      <c r="G1882">
        <v>15.07</v>
      </c>
      <c r="H1882" t="s">
        <v>1781</v>
      </c>
      <c r="I1882" t="s">
        <v>1781</v>
      </c>
      <c r="J1882">
        <v>60.28</v>
      </c>
      <c r="K1882">
        <v>60.28</v>
      </c>
      <c r="L1882" t="s">
        <v>204</v>
      </c>
      <c r="M1882">
        <v>1</v>
      </c>
      <c r="N1882" t="s">
        <v>4159</v>
      </c>
      <c r="O1882" t="s">
        <v>4155</v>
      </c>
    </row>
    <row r="1883" spans="1:15" x14ac:dyDescent="0.2">
      <c r="A1883">
        <v>99</v>
      </c>
      <c r="B1883" t="s">
        <v>2117</v>
      </c>
      <c r="C1883" t="s">
        <v>508</v>
      </c>
      <c r="D1883" t="s">
        <v>945</v>
      </c>
      <c r="E1883" t="s">
        <v>267</v>
      </c>
      <c r="F1883">
        <v>0</v>
      </c>
      <c r="G1883">
        <v>39</v>
      </c>
      <c r="H1883" t="s">
        <v>151</v>
      </c>
      <c r="I1883" t="s">
        <v>1781</v>
      </c>
      <c r="J1883">
        <v>0</v>
      </c>
      <c r="K1883">
        <v>0</v>
      </c>
      <c r="L1883" t="s">
        <v>204</v>
      </c>
      <c r="M1883">
        <v>1</v>
      </c>
      <c r="N1883" t="s">
        <v>4162</v>
      </c>
      <c r="O1883" t="s">
        <v>4155</v>
      </c>
    </row>
    <row r="1884" spans="1:15" x14ac:dyDescent="0.2">
      <c r="A1884">
        <v>99</v>
      </c>
      <c r="B1884" t="s">
        <v>2117</v>
      </c>
      <c r="C1884" t="s">
        <v>511</v>
      </c>
      <c r="D1884" t="s">
        <v>945</v>
      </c>
      <c r="E1884" t="s">
        <v>267</v>
      </c>
      <c r="F1884">
        <v>0</v>
      </c>
      <c r="G1884">
        <v>39</v>
      </c>
      <c r="H1884" t="s">
        <v>151</v>
      </c>
      <c r="I1884" t="s">
        <v>1781</v>
      </c>
      <c r="J1884">
        <v>0</v>
      </c>
      <c r="K1884">
        <v>0</v>
      </c>
      <c r="L1884" t="s">
        <v>209</v>
      </c>
      <c r="M1884">
        <v>7</v>
      </c>
      <c r="N1884" t="s">
        <v>4170</v>
      </c>
      <c r="O1884" t="s">
        <v>4166</v>
      </c>
    </row>
    <row r="1885" spans="1:15" x14ac:dyDescent="0.2">
      <c r="A1885">
        <v>99</v>
      </c>
      <c r="B1885" t="s">
        <v>2117</v>
      </c>
      <c r="C1885" t="s">
        <v>511</v>
      </c>
      <c r="D1885" t="s">
        <v>1139</v>
      </c>
      <c r="E1885" t="s">
        <v>276</v>
      </c>
      <c r="F1885">
        <v>4</v>
      </c>
      <c r="G1885">
        <v>15.07</v>
      </c>
      <c r="H1885" t="s">
        <v>1781</v>
      </c>
      <c r="I1885" t="s">
        <v>1781</v>
      </c>
      <c r="J1885">
        <v>60.28</v>
      </c>
      <c r="K1885">
        <v>421.96</v>
      </c>
      <c r="L1885" t="s">
        <v>209</v>
      </c>
      <c r="M1885">
        <v>7</v>
      </c>
      <c r="N1885" t="s">
        <v>4167</v>
      </c>
      <c r="O1885" t="s">
        <v>4166</v>
      </c>
    </row>
    <row r="1886" spans="1:15" x14ac:dyDescent="0.2">
      <c r="A1886">
        <v>99</v>
      </c>
      <c r="B1886" t="s">
        <v>2117</v>
      </c>
      <c r="C1886" t="s">
        <v>511</v>
      </c>
      <c r="D1886" t="s">
        <v>1621</v>
      </c>
      <c r="E1886" t="s">
        <v>4164</v>
      </c>
      <c r="F1886">
        <v>1</v>
      </c>
      <c r="G1886">
        <v>1461.77</v>
      </c>
      <c r="H1886" t="s">
        <v>1781</v>
      </c>
      <c r="I1886" t="s">
        <v>1781</v>
      </c>
      <c r="J1886">
        <v>1461.77</v>
      </c>
      <c r="K1886">
        <v>10232.39</v>
      </c>
      <c r="L1886" t="s">
        <v>209</v>
      </c>
      <c r="M1886">
        <v>7</v>
      </c>
      <c r="N1886" t="s">
        <v>4165</v>
      </c>
      <c r="O1886" t="s">
        <v>4166</v>
      </c>
    </row>
    <row r="1887" spans="1:15" x14ac:dyDescent="0.2">
      <c r="A1887">
        <v>99</v>
      </c>
      <c r="B1887" t="s">
        <v>2117</v>
      </c>
      <c r="C1887" t="s">
        <v>511</v>
      </c>
      <c r="D1887" t="s">
        <v>1978</v>
      </c>
      <c r="E1887" t="s">
        <v>4112</v>
      </c>
      <c r="F1887">
        <v>1</v>
      </c>
      <c r="G1887">
        <v>110</v>
      </c>
      <c r="H1887" t="s">
        <v>1781</v>
      </c>
      <c r="I1887" t="s">
        <v>1781</v>
      </c>
      <c r="J1887">
        <v>110</v>
      </c>
      <c r="K1887">
        <v>770</v>
      </c>
      <c r="L1887" t="s">
        <v>209</v>
      </c>
      <c r="M1887">
        <v>7</v>
      </c>
      <c r="N1887" t="s">
        <v>4172</v>
      </c>
      <c r="O1887" t="s">
        <v>4166</v>
      </c>
    </row>
    <row r="1888" spans="1:15" x14ac:dyDescent="0.2">
      <c r="A1888">
        <v>99</v>
      </c>
      <c r="B1888" t="s">
        <v>2117</v>
      </c>
      <c r="C1888" t="s">
        <v>511</v>
      </c>
      <c r="D1888" t="s">
        <v>311</v>
      </c>
      <c r="E1888" t="s">
        <v>1441</v>
      </c>
      <c r="F1888">
        <v>1.1619999999999999</v>
      </c>
      <c r="G1888">
        <v>38</v>
      </c>
      <c r="H1888" t="s">
        <v>1781</v>
      </c>
      <c r="I1888" t="s">
        <v>1781</v>
      </c>
      <c r="J1888">
        <v>44.155999999999999</v>
      </c>
      <c r="K1888">
        <v>309.09199999999998</v>
      </c>
      <c r="L1888" t="s">
        <v>209</v>
      </c>
      <c r="M1888">
        <v>7</v>
      </c>
      <c r="N1888" t="s">
        <v>4169</v>
      </c>
      <c r="O1888" t="s">
        <v>4166</v>
      </c>
    </row>
    <row r="1889" spans="1:15" x14ac:dyDescent="0.2">
      <c r="A1889">
        <v>99</v>
      </c>
      <c r="B1889" t="s">
        <v>2117</v>
      </c>
      <c r="C1889" t="s">
        <v>511</v>
      </c>
      <c r="D1889" t="s">
        <v>801</v>
      </c>
      <c r="E1889" t="s">
        <v>402</v>
      </c>
      <c r="F1889">
        <v>0</v>
      </c>
      <c r="G1889">
        <v>10.3</v>
      </c>
      <c r="H1889" t="s">
        <v>151</v>
      </c>
      <c r="I1889" t="s">
        <v>1781</v>
      </c>
      <c r="J1889">
        <v>0</v>
      </c>
      <c r="K1889">
        <v>0</v>
      </c>
      <c r="L1889" t="s">
        <v>209</v>
      </c>
      <c r="M1889">
        <v>7</v>
      </c>
      <c r="N1889" t="s">
        <v>4171</v>
      </c>
      <c r="O1889" t="s">
        <v>4166</v>
      </c>
    </row>
    <row r="1890" spans="1:15" x14ac:dyDescent="0.2">
      <c r="A1890">
        <v>99</v>
      </c>
      <c r="B1890" t="s">
        <v>2117</v>
      </c>
      <c r="C1890" t="s">
        <v>511</v>
      </c>
      <c r="D1890" t="s">
        <v>498</v>
      </c>
      <c r="E1890" t="s">
        <v>773</v>
      </c>
      <c r="F1890">
        <v>1.2</v>
      </c>
      <c r="G1890">
        <v>0</v>
      </c>
      <c r="H1890" t="s">
        <v>84</v>
      </c>
      <c r="I1890" t="s">
        <v>1781</v>
      </c>
      <c r="J1890">
        <v>0</v>
      </c>
      <c r="K1890">
        <v>0</v>
      </c>
      <c r="L1890" t="s">
        <v>209</v>
      </c>
      <c r="M1890">
        <v>7</v>
      </c>
      <c r="N1890" t="s">
        <v>4173</v>
      </c>
      <c r="O1890" t="s">
        <v>4166</v>
      </c>
    </row>
    <row r="1891" spans="1:15" x14ac:dyDescent="0.2">
      <c r="A1891">
        <v>99</v>
      </c>
      <c r="B1891" t="s">
        <v>2117</v>
      </c>
      <c r="C1891" t="s">
        <v>511</v>
      </c>
      <c r="D1891" t="s">
        <v>1144</v>
      </c>
      <c r="E1891" t="s">
        <v>1325</v>
      </c>
      <c r="F1891">
        <v>1</v>
      </c>
      <c r="G1891">
        <v>184.11</v>
      </c>
      <c r="H1891" t="s">
        <v>1781</v>
      </c>
      <c r="I1891" t="s">
        <v>1781</v>
      </c>
      <c r="J1891">
        <v>184.11</v>
      </c>
      <c r="K1891">
        <v>1288.77</v>
      </c>
      <c r="L1891" t="s">
        <v>209</v>
      </c>
      <c r="M1891">
        <v>7</v>
      </c>
      <c r="N1891" t="s">
        <v>4168</v>
      </c>
      <c r="O1891" t="s">
        <v>4166</v>
      </c>
    </row>
    <row r="1892" spans="1:15" x14ac:dyDescent="0.2">
      <c r="A1892">
        <v>99</v>
      </c>
      <c r="B1892" t="s">
        <v>2117</v>
      </c>
      <c r="C1892" t="s">
        <v>513</v>
      </c>
      <c r="D1892" t="s">
        <v>1144</v>
      </c>
      <c r="E1892" t="s">
        <v>1325</v>
      </c>
      <c r="F1892">
        <v>1</v>
      </c>
      <c r="G1892">
        <v>184.11</v>
      </c>
      <c r="H1892" t="s">
        <v>1781</v>
      </c>
      <c r="I1892" t="s">
        <v>1781</v>
      </c>
      <c r="J1892">
        <v>184.11</v>
      </c>
      <c r="K1892">
        <v>552.33000000000004</v>
      </c>
      <c r="L1892" t="s">
        <v>222</v>
      </c>
      <c r="M1892">
        <v>3</v>
      </c>
      <c r="N1892" t="s">
        <v>4181</v>
      </c>
      <c r="O1892" t="s">
        <v>4175</v>
      </c>
    </row>
    <row r="1893" spans="1:15" x14ac:dyDescent="0.2">
      <c r="A1893">
        <v>99</v>
      </c>
      <c r="B1893" t="s">
        <v>2117</v>
      </c>
      <c r="C1893" t="s">
        <v>513</v>
      </c>
      <c r="D1893" t="s">
        <v>498</v>
      </c>
      <c r="E1893" t="s">
        <v>773</v>
      </c>
      <c r="F1893">
        <v>1.2</v>
      </c>
      <c r="G1893">
        <v>0</v>
      </c>
      <c r="H1893" t="s">
        <v>84</v>
      </c>
      <c r="I1893" t="s">
        <v>1781</v>
      </c>
      <c r="J1893">
        <v>0</v>
      </c>
      <c r="K1893">
        <v>0</v>
      </c>
      <c r="L1893" t="s">
        <v>222</v>
      </c>
      <c r="M1893">
        <v>3</v>
      </c>
      <c r="N1893" t="s">
        <v>4177</v>
      </c>
      <c r="O1893" t="s">
        <v>4175</v>
      </c>
    </row>
    <row r="1894" spans="1:15" x14ac:dyDescent="0.2">
      <c r="A1894">
        <v>99</v>
      </c>
      <c r="B1894" t="s">
        <v>2117</v>
      </c>
      <c r="C1894" t="s">
        <v>513</v>
      </c>
      <c r="D1894" t="s">
        <v>801</v>
      </c>
      <c r="E1894" t="s">
        <v>402</v>
      </c>
      <c r="F1894">
        <v>0</v>
      </c>
      <c r="G1894">
        <v>10.3</v>
      </c>
      <c r="H1894" t="s">
        <v>151</v>
      </c>
      <c r="I1894" t="s">
        <v>1781</v>
      </c>
      <c r="J1894">
        <v>0</v>
      </c>
      <c r="K1894">
        <v>0</v>
      </c>
      <c r="L1894" t="s">
        <v>222</v>
      </c>
      <c r="M1894">
        <v>3</v>
      </c>
      <c r="N1894" t="s">
        <v>4174</v>
      </c>
      <c r="O1894" t="s">
        <v>4175</v>
      </c>
    </row>
    <row r="1895" spans="1:15" x14ac:dyDescent="0.2">
      <c r="A1895">
        <v>99</v>
      </c>
      <c r="B1895" t="s">
        <v>2117</v>
      </c>
      <c r="C1895" t="s">
        <v>513</v>
      </c>
      <c r="D1895" t="s">
        <v>311</v>
      </c>
      <c r="E1895" t="s">
        <v>1441</v>
      </c>
      <c r="F1895">
        <v>1.1619999999999999</v>
      </c>
      <c r="G1895">
        <v>38</v>
      </c>
      <c r="H1895" t="s">
        <v>1781</v>
      </c>
      <c r="I1895" t="s">
        <v>1781</v>
      </c>
      <c r="J1895">
        <v>44.155999999999999</v>
      </c>
      <c r="K1895">
        <v>132.46799999999999</v>
      </c>
      <c r="L1895" t="s">
        <v>222</v>
      </c>
      <c r="M1895">
        <v>3</v>
      </c>
      <c r="N1895" t="s">
        <v>4182</v>
      </c>
      <c r="O1895" t="s">
        <v>4175</v>
      </c>
    </row>
    <row r="1896" spans="1:15" x14ac:dyDescent="0.2">
      <c r="A1896">
        <v>99</v>
      </c>
      <c r="B1896" t="s">
        <v>2117</v>
      </c>
      <c r="C1896" t="s">
        <v>513</v>
      </c>
      <c r="D1896" t="s">
        <v>1978</v>
      </c>
      <c r="E1896" t="s">
        <v>4112</v>
      </c>
      <c r="F1896">
        <v>1</v>
      </c>
      <c r="G1896">
        <v>110</v>
      </c>
      <c r="H1896" t="s">
        <v>1781</v>
      </c>
      <c r="I1896" t="s">
        <v>1781</v>
      </c>
      <c r="J1896">
        <v>110</v>
      </c>
      <c r="K1896">
        <v>330</v>
      </c>
      <c r="L1896" t="s">
        <v>222</v>
      </c>
      <c r="M1896">
        <v>3</v>
      </c>
      <c r="N1896" t="s">
        <v>4176</v>
      </c>
      <c r="O1896" t="s">
        <v>4175</v>
      </c>
    </row>
    <row r="1897" spans="1:15" x14ac:dyDescent="0.2">
      <c r="A1897">
        <v>99</v>
      </c>
      <c r="B1897" t="s">
        <v>2117</v>
      </c>
      <c r="C1897" t="s">
        <v>513</v>
      </c>
      <c r="D1897" t="s">
        <v>1139</v>
      </c>
      <c r="E1897" t="s">
        <v>276</v>
      </c>
      <c r="F1897">
        <v>4</v>
      </c>
      <c r="G1897">
        <v>15.07</v>
      </c>
      <c r="H1897" t="s">
        <v>1781</v>
      </c>
      <c r="I1897" t="s">
        <v>1781</v>
      </c>
      <c r="J1897">
        <v>60.28</v>
      </c>
      <c r="K1897">
        <v>180.84</v>
      </c>
      <c r="L1897" t="s">
        <v>222</v>
      </c>
      <c r="M1897">
        <v>3</v>
      </c>
      <c r="N1897" t="s">
        <v>4180</v>
      </c>
      <c r="O1897" t="s">
        <v>4175</v>
      </c>
    </row>
    <row r="1898" spans="1:15" x14ac:dyDescent="0.2">
      <c r="A1898">
        <v>99</v>
      </c>
      <c r="B1898" t="s">
        <v>2117</v>
      </c>
      <c r="C1898" t="s">
        <v>513</v>
      </c>
      <c r="D1898" t="s">
        <v>1624</v>
      </c>
      <c r="E1898" t="s">
        <v>4178</v>
      </c>
      <c r="F1898">
        <v>1</v>
      </c>
      <c r="G1898">
        <v>1346.92</v>
      </c>
      <c r="H1898" t="s">
        <v>1781</v>
      </c>
      <c r="I1898" t="s">
        <v>1781</v>
      </c>
      <c r="J1898">
        <v>1346.92</v>
      </c>
      <c r="K1898">
        <v>4040.76</v>
      </c>
      <c r="L1898" t="s">
        <v>222</v>
      </c>
      <c r="M1898">
        <v>3</v>
      </c>
      <c r="N1898" t="s">
        <v>4179</v>
      </c>
      <c r="O1898" t="s">
        <v>4175</v>
      </c>
    </row>
    <row r="1899" spans="1:15" x14ac:dyDescent="0.2">
      <c r="A1899">
        <v>99</v>
      </c>
      <c r="B1899" t="s">
        <v>2117</v>
      </c>
      <c r="C1899" t="s">
        <v>513</v>
      </c>
      <c r="D1899" t="s">
        <v>945</v>
      </c>
      <c r="E1899" t="s">
        <v>267</v>
      </c>
      <c r="F1899">
        <v>0</v>
      </c>
      <c r="G1899">
        <v>39</v>
      </c>
      <c r="H1899" t="s">
        <v>151</v>
      </c>
      <c r="I1899" t="s">
        <v>1781</v>
      </c>
      <c r="J1899">
        <v>0</v>
      </c>
      <c r="K1899">
        <v>0</v>
      </c>
      <c r="L1899" t="s">
        <v>222</v>
      </c>
      <c r="M1899">
        <v>3</v>
      </c>
      <c r="N1899" t="s">
        <v>4183</v>
      </c>
      <c r="O1899" t="s">
        <v>4175</v>
      </c>
    </row>
    <row r="1900" spans="1:15" x14ac:dyDescent="0.2">
      <c r="A1900">
        <v>99</v>
      </c>
      <c r="B1900" t="s">
        <v>2117</v>
      </c>
      <c r="C1900" t="s">
        <v>515</v>
      </c>
      <c r="D1900" t="s">
        <v>945</v>
      </c>
      <c r="E1900" t="s">
        <v>267</v>
      </c>
      <c r="F1900">
        <v>0</v>
      </c>
      <c r="G1900">
        <v>39</v>
      </c>
      <c r="H1900" t="s">
        <v>151</v>
      </c>
      <c r="I1900" t="s">
        <v>1781</v>
      </c>
      <c r="J1900">
        <v>0</v>
      </c>
      <c r="K1900">
        <v>0</v>
      </c>
      <c r="L1900" t="s">
        <v>228</v>
      </c>
      <c r="M1900">
        <v>1</v>
      </c>
      <c r="N1900" t="s">
        <v>4190</v>
      </c>
      <c r="O1900" t="s">
        <v>4186</v>
      </c>
    </row>
    <row r="1901" spans="1:15" x14ac:dyDescent="0.2">
      <c r="A1901">
        <v>99</v>
      </c>
      <c r="B1901" t="s">
        <v>2117</v>
      </c>
      <c r="C1901" t="s">
        <v>515</v>
      </c>
      <c r="D1901" t="s">
        <v>1139</v>
      </c>
      <c r="E1901" t="s">
        <v>276</v>
      </c>
      <c r="F1901">
        <v>4</v>
      </c>
      <c r="G1901">
        <v>15.07</v>
      </c>
      <c r="H1901" t="s">
        <v>1781</v>
      </c>
      <c r="I1901" t="s">
        <v>1781</v>
      </c>
      <c r="J1901">
        <v>60.28</v>
      </c>
      <c r="K1901">
        <v>60.28</v>
      </c>
      <c r="L1901" t="s">
        <v>228</v>
      </c>
      <c r="M1901">
        <v>1</v>
      </c>
      <c r="N1901" t="s">
        <v>4187</v>
      </c>
      <c r="O1901" t="s">
        <v>4186</v>
      </c>
    </row>
    <row r="1902" spans="1:15" x14ac:dyDescent="0.2">
      <c r="A1902">
        <v>99</v>
      </c>
      <c r="B1902" t="s">
        <v>2117</v>
      </c>
      <c r="C1902" t="s">
        <v>515</v>
      </c>
      <c r="D1902" t="s">
        <v>1627</v>
      </c>
      <c r="E1902" t="s">
        <v>4184</v>
      </c>
      <c r="F1902">
        <v>1</v>
      </c>
      <c r="G1902">
        <v>1420.39</v>
      </c>
      <c r="H1902" t="s">
        <v>1781</v>
      </c>
      <c r="I1902" t="s">
        <v>1781</v>
      </c>
      <c r="J1902">
        <v>1420.39</v>
      </c>
      <c r="K1902">
        <v>1420.39</v>
      </c>
      <c r="L1902" t="s">
        <v>228</v>
      </c>
      <c r="M1902">
        <v>1</v>
      </c>
      <c r="N1902" t="s">
        <v>4185</v>
      </c>
      <c r="O1902" t="s">
        <v>4186</v>
      </c>
    </row>
    <row r="1903" spans="1:15" x14ac:dyDescent="0.2">
      <c r="A1903">
        <v>99</v>
      </c>
      <c r="B1903" t="s">
        <v>2117</v>
      </c>
      <c r="C1903" t="s">
        <v>515</v>
      </c>
      <c r="D1903" t="s">
        <v>1978</v>
      </c>
      <c r="E1903" t="s">
        <v>4112</v>
      </c>
      <c r="F1903">
        <v>1</v>
      </c>
      <c r="G1903">
        <v>110</v>
      </c>
      <c r="H1903" t="s">
        <v>1781</v>
      </c>
      <c r="I1903" t="s">
        <v>1781</v>
      </c>
      <c r="J1903">
        <v>110</v>
      </c>
      <c r="K1903">
        <v>110</v>
      </c>
      <c r="L1903" t="s">
        <v>228</v>
      </c>
      <c r="M1903">
        <v>1</v>
      </c>
      <c r="N1903" t="s">
        <v>4192</v>
      </c>
      <c r="O1903" t="s">
        <v>4186</v>
      </c>
    </row>
    <row r="1904" spans="1:15" x14ac:dyDescent="0.2">
      <c r="A1904">
        <v>99</v>
      </c>
      <c r="B1904" t="s">
        <v>2117</v>
      </c>
      <c r="C1904" t="s">
        <v>515</v>
      </c>
      <c r="D1904" t="s">
        <v>311</v>
      </c>
      <c r="E1904" t="s">
        <v>1441</v>
      </c>
      <c r="F1904">
        <v>1.1619999999999999</v>
      </c>
      <c r="G1904">
        <v>38</v>
      </c>
      <c r="H1904" t="s">
        <v>1781</v>
      </c>
      <c r="I1904" t="s">
        <v>1781</v>
      </c>
      <c r="J1904">
        <v>44.155999999999999</v>
      </c>
      <c r="K1904">
        <v>44.155999999999999</v>
      </c>
      <c r="L1904" t="s">
        <v>228</v>
      </c>
      <c r="M1904">
        <v>1</v>
      </c>
      <c r="N1904" t="s">
        <v>4189</v>
      </c>
      <c r="O1904" t="s">
        <v>4186</v>
      </c>
    </row>
    <row r="1905" spans="1:15" x14ac:dyDescent="0.2">
      <c r="A1905">
        <v>99</v>
      </c>
      <c r="B1905" t="s">
        <v>2117</v>
      </c>
      <c r="C1905" t="s">
        <v>515</v>
      </c>
      <c r="D1905" t="s">
        <v>801</v>
      </c>
      <c r="E1905" t="s">
        <v>402</v>
      </c>
      <c r="F1905">
        <v>0</v>
      </c>
      <c r="G1905">
        <v>10.3</v>
      </c>
      <c r="H1905" t="s">
        <v>151</v>
      </c>
      <c r="I1905" t="s">
        <v>1781</v>
      </c>
      <c r="J1905">
        <v>0</v>
      </c>
      <c r="K1905">
        <v>0</v>
      </c>
      <c r="L1905" t="s">
        <v>228</v>
      </c>
      <c r="M1905">
        <v>1</v>
      </c>
      <c r="N1905" t="s">
        <v>4191</v>
      </c>
      <c r="O1905" t="s">
        <v>4186</v>
      </c>
    </row>
    <row r="1906" spans="1:15" x14ac:dyDescent="0.2">
      <c r="A1906">
        <v>99</v>
      </c>
      <c r="B1906" t="s">
        <v>2117</v>
      </c>
      <c r="C1906" t="s">
        <v>515</v>
      </c>
      <c r="D1906" t="s">
        <v>498</v>
      </c>
      <c r="E1906" t="s">
        <v>773</v>
      </c>
      <c r="F1906">
        <v>1.2</v>
      </c>
      <c r="G1906">
        <v>0</v>
      </c>
      <c r="H1906" t="s">
        <v>84</v>
      </c>
      <c r="I1906" t="s">
        <v>1781</v>
      </c>
      <c r="J1906">
        <v>0</v>
      </c>
      <c r="K1906">
        <v>0</v>
      </c>
      <c r="L1906" t="s">
        <v>228</v>
      </c>
      <c r="M1906">
        <v>1</v>
      </c>
      <c r="N1906" t="s">
        <v>4193</v>
      </c>
      <c r="O1906" t="s">
        <v>4186</v>
      </c>
    </row>
    <row r="1907" spans="1:15" x14ac:dyDescent="0.2">
      <c r="A1907">
        <v>99</v>
      </c>
      <c r="B1907" t="s">
        <v>2117</v>
      </c>
      <c r="C1907" t="s">
        <v>515</v>
      </c>
      <c r="D1907" t="s">
        <v>1144</v>
      </c>
      <c r="E1907" t="s">
        <v>1325</v>
      </c>
      <c r="F1907">
        <v>1</v>
      </c>
      <c r="G1907">
        <v>184.11</v>
      </c>
      <c r="H1907" t="s">
        <v>1781</v>
      </c>
      <c r="I1907" t="s">
        <v>1781</v>
      </c>
      <c r="J1907">
        <v>184.11</v>
      </c>
      <c r="K1907">
        <v>184.11</v>
      </c>
      <c r="L1907" t="s">
        <v>228</v>
      </c>
      <c r="M1907">
        <v>1</v>
      </c>
      <c r="N1907" t="s">
        <v>4188</v>
      </c>
      <c r="O1907" t="s">
        <v>4186</v>
      </c>
    </row>
    <row r="1908" spans="1:15" x14ac:dyDescent="0.2">
      <c r="A1908">
        <v>99</v>
      </c>
      <c r="B1908" t="s">
        <v>2117</v>
      </c>
      <c r="C1908" t="s">
        <v>517</v>
      </c>
      <c r="D1908" t="s">
        <v>1144</v>
      </c>
      <c r="E1908" t="s">
        <v>1325</v>
      </c>
      <c r="F1908">
        <v>2</v>
      </c>
      <c r="G1908">
        <v>184.11</v>
      </c>
      <c r="H1908" t="s">
        <v>1781</v>
      </c>
      <c r="I1908" t="s">
        <v>1781</v>
      </c>
      <c r="J1908">
        <v>368.22</v>
      </c>
      <c r="K1908">
        <v>736.44</v>
      </c>
      <c r="L1908" t="s">
        <v>265</v>
      </c>
      <c r="M1908">
        <v>2</v>
      </c>
      <c r="N1908" t="s">
        <v>4198</v>
      </c>
      <c r="O1908" t="s">
        <v>4196</v>
      </c>
    </row>
    <row r="1909" spans="1:15" x14ac:dyDescent="0.2">
      <c r="A1909">
        <v>99</v>
      </c>
      <c r="B1909" t="s">
        <v>2117</v>
      </c>
      <c r="C1909" t="s">
        <v>517</v>
      </c>
      <c r="D1909" t="s">
        <v>498</v>
      </c>
      <c r="E1909" t="s">
        <v>773</v>
      </c>
      <c r="F1909">
        <v>1.2</v>
      </c>
      <c r="G1909">
        <v>0</v>
      </c>
      <c r="H1909" t="s">
        <v>84</v>
      </c>
      <c r="I1909" t="s">
        <v>1781</v>
      </c>
      <c r="J1909">
        <v>0</v>
      </c>
      <c r="K1909">
        <v>0</v>
      </c>
      <c r="L1909" t="s">
        <v>265</v>
      </c>
      <c r="M1909">
        <v>2</v>
      </c>
      <c r="N1909" t="s">
        <v>4203</v>
      </c>
      <c r="O1909" t="s">
        <v>4196</v>
      </c>
    </row>
    <row r="1910" spans="1:15" x14ac:dyDescent="0.2">
      <c r="A1910">
        <v>99</v>
      </c>
      <c r="B1910" t="s">
        <v>2117</v>
      </c>
      <c r="C1910" t="s">
        <v>517</v>
      </c>
      <c r="D1910" t="s">
        <v>801</v>
      </c>
      <c r="E1910" t="s">
        <v>402</v>
      </c>
      <c r="F1910">
        <v>0</v>
      </c>
      <c r="G1910">
        <v>10.3</v>
      </c>
      <c r="H1910" t="s">
        <v>151</v>
      </c>
      <c r="I1910" t="s">
        <v>1781</v>
      </c>
      <c r="J1910">
        <v>0</v>
      </c>
      <c r="K1910">
        <v>0</v>
      </c>
      <c r="L1910" t="s">
        <v>265</v>
      </c>
      <c r="M1910">
        <v>2</v>
      </c>
      <c r="N1910" t="s">
        <v>4201</v>
      </c>
      <c r="O1910" t="s">
        <v>4196</v>
      </c>
    </row>
    <row r="1911" spans="1:15" x14ac:dyDescent="0.2">
      <c r="A1911">
        <v>99</v>
      </c>
      <c r="B1911" t="s">
        <v>2117</v>
      </c>
      <c r="C1911" t="s">
        <v>517</v>
      </c>
      <c r="D1911" t="s">
        <v>1630</v>
      </c>
      <c r="E1911" t="s">
        <v>4194</v>
      </c>
      <c r="F1911">
        <v>1</v>
      </c>
      <c r="G1911">
        <v>2354.25</v>
      </c>
      <c r="H1911" t="s">
        <v>1781</v>
      </c>
      <c r="I1911" t="s">
        <v>1781</v>
      </c>
      <c r="J1911">
        <v>2354.25</v>
      </c>
      <c r="K1911">
        <v>4708.5</v>
      </c>
      <c r="L1911" t="s">
        <v>265</v>
      </c>
      <c r="M1911">
        <v>2</v>
      </c>
      <c r="N1911" t="s">
        <v>4195</v>
      </c>
      <c r="O1911" t="s">
        <v>4196</v>
      </c>
    </row>
    <row r="1912" spans="1:15" x14ac:dyDescent="0.2">
      <c r="A1912">
        <v>99</v>
      </c>
      <c r="B1912" t="s">
        <v>2117</v>
      </c>
      <c r="C1912" t="s">
        <v>517</v>
      </c>
      <c r="D1912" t="s">
        <v>311</v>
      </c>
      <c r="E1912" t="s">
        <v>1441</v>
      </c>
      <c r="F1912">
        <v>1.7430000000000001</v>
      </c>
      <c r="G1912">
        <v>38</v>
      </c>
      <c r="H1912" t="s">
        <v>1781</v>
      </c>
      <c r="I1912" t="s">
        <v>1781</v>
      </c>
      <c r="J1912">
        <v>66.233999999999995</v>
      </c>
      <c r="K1912">
        <v>132.46799999999999</v>
      </c>
      <c r="L1912" t="s">
        <v>265</v>
      </c>
      <c r="M1912">
        <v>2</v>
      </c>
      <c r="N1912" t="s">
        <v>4199</v>
      </c>
      <c r="O1912" t="s">
        <v>4196</v>
      </c>
    </row>
    <row r="1913" spans="1:15" x14ac:dyDescent="0.2">
      <c r="A1913">
        <v>99</v>
      </c>
      <c r="B1913" t="s">
        <v>2117</v>
      </c>
      <c r="C1913" t="s">
        <v>517</v>
      </c>
      <c r="D1913" t="s">
        <v>1978</v>
      </c>
      <c r="E1913" t="s">
        <v>4112</v>
      </c>
      <c r="F1913">
        <v>1</v>
      </c>
      <c r="G1913">
        <v>110</v>
      </c>
      <c r="H1913" t="s">
        <v>1781</v>
      </c>
      <c r="I1913" t="s">
        <v>1781</v>
      </c>
      <c r="J1913">
        <v>110</v>
      </c>
      <c r="K1913">
        <v>220</v>
      </c>
      <c r="L1913" t="s">
        <v>265</v>
      </c>
      <c r="M1913">
        <v>2</v>
      </c>
      <c r="N1913" t="s">
        <v>4202</v>
      </c>
      <c r="O1913" t="s">
        <v>4196</v>
      </c>
    </row>
    <row r="1914" spans="1:15" x14ac:dyDescent="0.2">
      <c r="A1914">
        <v>99</v>
      </c>
      <c r="B1914" t="s">
        <v>2117</v>
      </c>
      <c r="C1914" t="s">
        <v>517</v>
      </c>
      <c r="D1914" t="s">
        <v>1139</v>
      </c>
      <c r="E1914" t="s">
        <v>276</v>
      </c>
      <c r="F1914">
        <v>6</v>
      </c>
      <c r="G1914">
        <v>15.07</v>
      </c>
      <c r="H1914" t="s">
        <v>1781</v>
      </c>
      <c r="I1914" t="s">
        <v>1781</v>
      </c>
      <c r="J1914">
        <v>90.42</v>
      </c>
      <c r="K1914">
        <v>180.84</v>
      </c>
      <c r="L1914" t="s">
        <v>265</v>
      </c>
      <c r="M1914">
        <v>2</v>
      </c>
      <c r="N1914" t="s">
        <v>4197</v>
      </c>
      <c r="O1914" t="s">
        <v>4196</v>
      </c>
    </row>
    <row r="1915" spans="1:15" x14ac:dyDescent="0.2">
      <c r="A1915">
        <v>99</v>
      </c>
      <c r="B1915" t="s">
        <v>2117</v>
      </c>
      <c r="C1915" t="s">
        <v>517</v>
      </c>
      <c r="D1915" t="s">
        <v>945</v>
      </c>
      <c r="E1915" t="s">
        <v>267</v>
      </c>
      <c r="F1915">
        <v>0</v>
      </c>
      <c r="G1915">
        <v>39</v>
      </c>
      <c r="H1915" t="s">
        <v>151</v>
      </c>
      <c r="I1915" t="s">
        <v>1781</v>
      </c>
      <c r="J1915">
        <v>0</v>
      </c>
      <c r="K1915">
        <v>0</v>
      </c>
      <c r="L1915" t="s">
        <v>265</v>
      </c>
      <c r="M1915">
        <v>2</v>
      </c>
      <c r="N1915" t="s">
        <v>4200</v>
      </c>
      <c r="O1915" t="s">
        <v>4196</v>
      </c>
    </row>
    <row r="1916" spans="1:15" x14ac:dyDescent="0.2">
      <c r="A1916">
        <v>99</v>
      </c>
      <c r="B1916" t="s">
        <v>2117</v>
      </c>
      <c r="C1916" t="s">
        <v>519</v>
      </c>
      <c r="D1916" t="s">
        <v>945</v>
      </c>
      <c r="E1916" t="s">
        <v>267</v>
      </c>
      <c r="F1916">
        <v>0</v>
      </c>
      <c r="G1916">
        <v>39</v>
      </c>
      <c r="H1916" t="s">
        <v>151</v>
      </c>
      <c r="I1916" t="s">
        <v>1781</v>
      </c>
      <c r="J1916">
        <v>0</v>
      </c>
      <c r="K1916">
        <v>0</v>
      </c>
      <c r="L1916" t="s">
        <v>266</v>
      </c>
      <c r="M1916">
        <v>1</v>
      </c>
      <c r="N1916" t="s">
        <v>4210</v>
      </c>
      <c r="O1916" t="s">
        <v>4206</v>
      </c>
    </row>
    <row r="1917" spans="1:15" x14ac:dyDescent="0.2">
      <c r="A1917">
        <v>99</v>
      </c>
      <c r="B1917" t="s">
        <v>2117</v>
      </c>
      <c r="C1917" t="s">
        <v>519</v>
      </c>
      <c r="D1917" t="s">
        <v>1139</v>
      </c>
      <c r="E1917" t="s">
        <v>276</v>
      </c>
      <c r="F1917">
        <v>8</v>
      </c>
      <c r="G1917">
        <v>15.07</v>
      </c>
      <c r="H1917" t="s">
        <v>1781</v>
      </c>
      <c r="I1917" t="s">
        <v>1781</v>
      </c>
      <c r="J1917">
        <v>120.56</v>
      </c>
      <c r="K1917">
        <v>120.56</v>
      </c>
      <c r="L1917" t="s">
        <v>266</v>
      </c>
      <c r="M1917">
        <v>1</v>
      </c>
      <c r="N1917" t="s">
        <v>4207</v>
      </c>
      <c r="O1917" t="s">
        <v>4206</v>
      </c>
    </row>
    <row r="1918" spans="1:15" x14ac:dyDescent="0.2">
      <c r="A1918">
        <v>99</v>
      </c>
      <c r="B1918" t="s">
        <v>2117</v>
      </c>
      <c r="C1918" t="s">
        <v>519</v>
      </c>
      <c r="D1918" t="s">
        <v>1978</v>
      </c>
      <c r="E1918" t="s">
        <v>4112</v>
      </c>
      <c r="F1918">
        <v>1</v>
      </c>
      <c r="G1918">
        <v>110</v>
      </c>
      <c r="H1918" t="s">
        <v>1781</v>
      </c>
      <c r="I1918" t="s">
        <v>1781</v>
      </c>
      <c r="J1918">
        <v>110</v>
      </c>
      <c r="K1918">
        <v>110</v>
      </c>
      <c r="L1918" t="s">
        <v>266</v>
      </c>
      <c r="M1918">
        <v>1</v>
      </c>
      <c r="N1918" t="s">
        <v>4212</v>
      </c>
      <c r="O1918" t="s">
        <v>4206</v>
      </c>
    </row>
    <row r="1919" spans="1:15" x14ac:dyDescent="0.2">
      <c r="A1919">
        <v>99</v>
      </c>
      <c r="B1919" t="s">
        <v>2117</v>
      </c>
      <c r="C1919" t="s">
        <v>519</v>
      </c>
      <c r="D1919" t="s">
        <v>311</v>
      </c>
      <c r="E1919" t="s">
        <v>1441</v>
      </c>
      <c r="F1919">
        <v>1.7430000000000001</v>
      </c>
      <c r="G1919">
        <v>38</v>
      </c>
      <c r="H1919" t="s">
        <v>1781</v>
      </c>
      <c r="I1919" t="s">
        <v>1781</v>
      </c>
      <c r="J1919">
        <v>66.233999999999995</v>
      </c>
      <c r="K1919">
        <v>66.233999999999995</v>
      </c>
      <c r="L1919" t="s">
        <v>266</v>
      </c>
      <c r="M1919">
        <v>1</v>
      </c>
      <c r="N1919" t="s">
        <v>4209</v>
      </c>
      <c r="O1919" t="s">
        <v>4206</v>
      </c>
    </row>
    <row r="1920" spans="1:15" x14ac:dyDescent="0.2">
      <c r="A1920">
        <v>99</v>
      </c>
      <c r="B1920" t="s">
        <v>2117</v>
      </c>
      <c r="C1920" t="s">
        <v>519</v>
      </c>
      <c r="D1920" t="s">
        <v>1633</v>
      </c>
      <c r="E1920" t="s">
        <v>4204</v>
      </c>
      <c r="F1920">
        <v>1</v>
      </c>
      <c r="G1920">
        <v>2802.68</v>
      </c>
      <c r="H1920" t="s">
        <v>1781</v>
      </c>
      <c r="I1920" t="s">
        <v>1781</v>
      </c>
      <c r="J1920">
        <v>2802.68</v>
      </c>
      <c r="K1920">
        <v>2802.68</v>
      </c>
      <c r="L1920" t="s">
        <v>266</v>
      </c>
      <c r="M1920">
        <v>1</v>
      </c>
      <c r="N1920" t="s">
        <v>4205</v>
      </c>
      <c r="O1920" t="s">
        <v>4206</v>
      </c>
    </row>
    <row r="1921" spans="1:15" x14ac:dyDescent="0.2">
      <c r="A1921">
        <v>99</v>
      </c>
      <c r="B1921" t="s">
        <v>2117</v>
      </c>
      <c r="C1921" t="s">
        <v>519</v>
      </c>
      <c r="D1921" t="s">
        <v>801</v>
      </c>
      <c r="E1921" t="s">
        <v>402</v>
      </c>
      <c r="F1921">
        <v>0</v>
      </c>
      <c r="G1921">
        <v>10.3</v>
      </c>
      <c r="H1921" t="s">
        <v>151</v>
      </c>
      <c r="I1921" t="s">
        <v>1781</v>
      </c>
      <c r="J1921">
        <v>0</v>
      </c>
      <c r="K1921">
        <v>0</v>
      </c>
      <c r="L1921" t="s">
        <v>266</v>
      </c>
      <c r="M1921">
        <v>1</v>
      </c>
      <c r="N1921" t="s">
        <v>4211</v>
      </c>
      <c r="O1921" t="s">
        <v>4206</v>
      </c>
    </row>
    <row r="1922" spans="1:15" x14ac:dyDescent="0.2">
      <c r="A1922">
        <v>99</v>
      </c>
      <c r="B1922" t="s">
        <v>2117</v>
      </c>
      <c r="C1922" t="s">
        <v>519</v>
      </c>
      <c r="D1922" t="s">
        <v>498</v>
      </c>
      <c r="E1922" t="s">
        <v>773</v>
      </c>
      <c r="F1922">
        <v>1.2</v>
      </c>
      <c r="G1922">
        <v>0</v>
      </c>
      <c r="H1922" t="s">
        <v>84</v>
      </c>
      <c r="I1922" t="s">
        <v>1781</v>
      </c>
      <c r="J1922">
        <v>0</v>
      </c>
      <c r="K1922">
        <v>0</v>
      </c>
      <c r="L1922" t="s">
        <v>266</v>
      </c>
      <c r="M1922">
        <v>1</v>
      </c>
      <c r="N1922" t="s">
        <v>4213</v>
      </c>
      <c r="O1922" t="s">
        <v>4206</v>
      </c>
    </row>
    <row r="1923" spans="1:15" x14ac:dyDescent="0.2">
      <c r="A1923">
        <v>99</v>
      </c>
      <c r="B1923" t="s">
        <v>2117</v>
      </c>
      <c r="C1923" t="s">
        <v>519</v>
      </c>
      <c r="D1923" t="s">
        <v>1144</v>
      </c>
      <c r="E1923" t="s">
        <v>1325</v>
      </c>
      <c r="F1923">
        <v>2</v>
      </c>
      <c r="G1923">
        <v>184.11</v>
      </c>
      <c r="H1923" t="s">
        <v>1781</v>
      </c>
      <c r="I1923" t="s">
        <v>1781</v>
      </c>
      <c r="J1923">
        <v>368.22</v>
      </c>
      <c r="K1923">
        <v>368.22</v>
      </c>
      <c r="L1923" t="s">
        <v>266</v>
      </c>
      <c r="M1923">
        <v>1</v>
      </c>
      <c r="N1923" t="s">
        <v>4208</v>
      </c>
      <c r="O1923" t="s">
        <v>4206</v>
      </c>
    </row>
    <row r="1924" spans="1:15" x14ac:dyDescent="0.2">
      <c r="A1924">
        <v>99</v>
      </c>
      <c r="B1924" t="s">
        <v>2117</v>
      </c>
      <c r="C1924" t="s">
        <v>40</v>
      </c>
      <c r="D1924" t="s">
        <v>1761</v>
      </c>
      <c r="E1924" t="s">
        <v>4217</v>
      </c>
      <c r="F1924">
        <v>1</v>
      </c>
      <c r="G1924">
        <v>110</v>
      </c>
      <c r="H1924" t="s">
        <v>1819</v>
      </c>
      <c r="I1924" t="s">
        <v>153</v>
      </c>
      <c r="J1924">
        <v>110</v>
      </c>
      <c r="K1924">
        <v>513.70000000000005</v>
      </c>
      <c r="L1924" t="s">
        <v>5236</v>
      </c>
      <c r="M1924">
        <v>4.67</v>
      </c>
      <c r="N1924" t="s">
        <v>4218</v>
      </c>
      <c r="O1924" t="s">
        <v>4216</v>
      </c>
    </row>
    <row r="1925" spans="1:15" x14ac:dyDescent="0.2">
      <c r="A1925">
        <v>99</v>
      </c>
      <c r="B1925" t="s">
        <v>2117</v>
      </c>
      <c r="C1925" t="s">
        <v>40</v>
      </c>
      <c r="D1925" t="s">
        <v>1666</v>
      </c>
      <c r="E1925" t="s">
        <v>4214</v>
      </c>
      <c r="F1925">
        <v>1</v>
      </c>
      <c r="G1925">
        <v>120</v>
      </c>
      <c r="H1925" t="s">
        <v>1819</v>
      </c>
      <c r="I1925" t="s">
        <v>153</v>
      </c>
      <c r="J1925">
        <v>120</v>
      </c>
      <c r="K1925">
        <v>560.4</v>
      </c>
      <c r="L1925" t="s">
        <v>5236</v>
      </c>
      <c r="M1925">
        <v>4.67</v>
      </c>
      <c r="N1925" t="s">
        <v>4215</v>
      </c>
      <c r="O1925" t="s">
        <v>4216</v>
      </c>
    </row>
    <row r="1926" spans="1:15" x14ac:dyDescent="0.2">
      <c r="A1926">
        <v>99</v>
      </c>
      <c r="B1926" t="s">
        <v>2117</v>
      </c>
      <c r="C1926" t="s">
        <v>43</v>
      </c>
      <c r="D1926" t="s">
        <v>1670</v>
      </c>
      <c r="E1926" t="s">
        <v>4219</v>
      </c>
      <c r="F1926">
        <v>1</v>
      </c>
      <c r="G1926">
        <v>226.77</v>
      </c>
      <c r="H1926" t="s">
        <v>1819</v>
      </c>
      <c r="I1926" t="s">
        <v>153</v>
      </c>
      <c r="J1926">
        <v>226.77</v>
      </c>
      <c r="K1926">
        <v>54241.116300000002</v>
      </c>
      <c r="L1926" t="s">
        <v>548</v>
      </c>
      <c r="M1926">
        <v>239.19</v>
      </c>
      <c r="N1926" t="s">
        <v>4220</v>
      </c>
      <c r="O1926" t="s">
        <v>4221</v>
      </c>
    </row>
    <row r="1927" spans="1:15" x14ac:dyDescent="0.2">
      <c r="A1927">
        <v>99</v>
      </c>
      <c r="B1927" t="s">
        <v>2117</v>
      </c>
      <c r="C1927" t="s">
        <v>43</v>
      </c>
      <c r="D1927" t="s">
        <v>1763</v>
      </c>
      <c r="E1927" t="s">
        <v>4222</v>
      </c>
      <c r="F1927">
        <v>1</v>
      </c>
      <c r="G1927">
        <v>110</v>
      </c>
      <c r="H1927" t="s">
        <v>1819</v>
      </c>
      <c r="I1927" t="s">
        <v>153</v>
      </c>
      <c r="J1927">
        <v>110</v>
      </c>
      <c r="K1927">
        <v>26310.9</v>
      </c>
      <c r="L1927" t="s">
        <v>548</v>
      </c>
      <c r="M1927">
        <v>239.19</v>
      </c>
      <c r="N1927" t="s">
        <v>4223</v>
      </c>
      <c r="O1927" t="s">
        <v>4221</v>
      </c>
    </row>
    <row r="1928" spans="1:15" x14ac:dyDescent="0.2">
      <c r="A1928">
        <v>99</v>
      </c>
      <c r="B1928" t="s">
        <v>2117</v>
      </c>
      <c r="C1928" t="s">
        <v>50</v>
      </c>
      <c r="D1928" t="s">
        <v>1675</v>
      </c>
      <c r="E1928" t="s">
        <v>4224</v>
      </c>
      <c r="F1928">
        <v>1</v>
      </c>
      <c r="G1928">
        <v>563.72</v>
      </c>
      <c r="H1928" t="s">
        <v>1819</v>
      </c>
      <c r="I1928" t="s">
        <v>153</v>
      </c>
      <c r="J1928">
        <v>563.72</v>
      </c>
      <c r="K1928">
        <v>7745.5128000000004</v>
      </c>
      <c r="L1928" t="s">
        <v>5237</v>
      </c>
      <c r="M1928">
        <v>13.74</v>
      </c>
      <c r="N1928" t="s">
        <v>4225</v>
      </c>
      <c r="O1928" t="s">
        <v>441</v>
      </c>
    </row>
    <row r="1929" spans="1:15" x14ac:dyDescent="0.2">
      <c r="A1929">
        <v>99</v>
      </c>
      <c r="B1929" t="s">
        <v>2117</v>
      </c>
      <c r="C1929" t="s">
        <v>50</v>
      </c>
      <c r="D1929" t="s">
        <v>1767</v>
      </c>
      <c r="E1929" t="s">
        <v>4226</v>
      </c>
      <c r="F1929">
        <v>1</v>
      </c>
      <c r="G1929">
        <v>110</v>
      </c>
      <c r="H1929" t="s">
        <v>1819</v>
      </c>
      <c r="I1929" t="s">
        <v>153</v>
      </c>
      <c r="J1929">
        <v>110</v>
      </c>
      <c r="K1929">
        <v>1511.4</v>
      </c>
      <c r="L1929" t="s">
        <v>5237</v>
      </c>
      <c r="M1929">
        <v>13.74</v>
      </c>
      <c r="N1929" t="s">
        <v>4227</v>
      </c>
      <c r="O1929" t="s">
        <v>441</v>
      </c>
    </row>
    <row r="1930" spans="1:15" x14ac:dyDescent="0.2">
      <c r="A1930">
        <v>99</v>
      </c>
      <c r="B1930" t="s">
        <v>2117</v>
      </c>
      <c r="C1930" t="s">
        <v>53</v>
      </c>
      <c r="D1930" t="s">
        <v>1977</v>
      </c>
      <c r="E1930" t="s">
        <v>4231</v>
      </c>
      <c r="F1930">
        <v>1</v>
      </c>
      <c r="G1930">
        <v>110</v>
      </c>
      <c r="H1930" t="s">
        <v>1819</v>
      </c>
      <c r="I1930" t="s">
        <v>153</v>
      </c>
      <c r="J1930">
        <v>110</v>
      </c>
      <c r="K1930">
        <v>1943.7</v>
      </c>
      <c r="L1930" t="s">
        <v>5238</v>
      </c>
      <c r="M1930">
        <v>17.670000000000002</v>
      </c>
      <c r="N1930" t="s">
        <v>4232</v>
      </c>
      <c r="O1930" t="s">
        <v>4230</v>
      </c>
    </row>
    <row r="1931" spans="1:15" x14ac:dyDescent="0.2">
      <c r="A1931">
        <v>99</v>
      </c>
      <c r="B1931" t="s">
        <v>2117</v>
      </c>
      <c r="C1931" t="s">
        <v>53</v>
      </c>
      <c r="D1931" t="s">
        <v>1678</v>
      </c>
      <c r="E1931" t="s">
        <v>4228</v>
      </c>
      <c r="F1931">
        <v>1</v>
      </c>
      <c r="G1931">
        <v>636.96</v>
      </c>
      <c r="H1931" t="s">
        <v>1819</v>
      </c>
      <c r="I1931" t="s">
        <v>153</v>
      </c>
      <c r="J1931">
        <v>636.96</v>
      </c>
      <c r="K1931">
        <v>11255.083199999999</v>
      </c>
      <c r="L1931" t="s">
        <v>5238</v>
      </c>
      <c r="M1931">
        <v>17.670000000000002</v>
      </c>
      <c r="N1931" t="s">
        <v>4229</v>
      </c>
      <c r="O1931" t="s">
        <v>4230</v>
      </c>
    </row>
    <row r="1932" spans="1:15" x14ac:dyDescent="0.2">
      <c r="A1932">
        <v>99</v>
      </c>
      <c r="B1932" t="s">
        <v>2117</v>
      </c>
      <c r="C1932" t="s">
        <v>1916</v>
      </c>
      <c r="D1932" t="s">
        <v>547</v>
      </c>
      <c r="E1932" t="s">
        <v>2320</v>
      </c>
      <c r="F1932">
        <v>0</v>
      </c>
      <c r="G1932">
        <v>13.51</v>
      </c>
      <c r="H1932" t="s">
        <v>151</v>
      </c>
      <c r="I1932" t="s">
        <v>1781</v>
      </c>
      <c r="J1932">
        <v>0</v>
      </c>
      <c r="K1932">
        <v>0</v>
      </c>
      <c r="L1932" t="s">
        <v>1958</v>
      </c>
      <c r="M1932">
        <v>20</v>
      </c>
      <c r="N1932" t="s">
        <v>4236</v>
      </c>
      <c r="O1932" t="s">
        <v>4234</v>
      </c>
    </row>
    <row r="1933" spans="1:15" x14ac:dyDescent="0.2">
      <c r="A1933">
        <v>99</v>
      </c>
      <c r="B1933" t="s">
        <v>2117</v>
      </c>
      <c r="C1933" t="s">
        <v>1916</v>
      </c>
      <c r="D1933" t="s">
        <v>23</v>
      </c>
      <c r="E1933" t="s">
        <v>4243</v>
      </c>
      <c r="F1933">
        <v>1</v>
      </c>
      <c r="G1933">
        <v>1319</v>
      </c>
      <c r="H1933" t="s">
        <v>1781</v>
      </c>
      <c r="I1933" t="s">
        <v>1781</v>
      </c>
      <c r="J1933">
        <v>1319</v>
      </c>
      <c r="K1933">
        <v>26380</v>
      </c>
      <c r="L1933" t="s">
        <v>1958</v>
      </c>
      <c r="M1933">
        <v>20</v>
      </c>
      <c r="N1933" t="s">
        <v>4244</v>
      </c>
      <c r="O1933" t="s">
        <v>4234</v>
      </c>
    </row>
    <row r="1934" spans="1:15" x14ac:dyDescent="0.2">
      <c r="A1934">
        <v>99</v>
      </c>
      <c r="B1934" t="s">
        <v>2117</v>
      </c>
      <c r="C1934" t="s">
        <v>1916</v>
      </c>
      <c r="D1934" t="s">
        <v>1654</v>
      </c>
      <c r="E1934" t="s">
        <v>1551</v>
      </c>
      <c r="F1934">
        <v>20.5092</v>
      </c>
      <c r="G1934">
        <v>0.7974</v>
      </c>
      <c r="H1934" t="s">
        <v>1052</v>
      </c>
      <c r="I1934" t="s">
        <v>1781</v>
      </c>
      <c r="J1934">
        <v>16.35403608</v>
      </c>
      <c r="K1934">
        <v>327.08072199999998</v>
      </c>
      <c r="L1934" t="s">
        <v>1958</v>
      </c>
      <c r="M1934">
        <v>20</v>
      </c>
      <c r="N1934" t="s">
        <v>4240</v>
      </c>
      <c r="O1934" t="s">
        <v>4234</v>
      </c>
    </row>
    <row r="1935" spans="1:15" x14ac:dyDescent="0.2">
      <c r="A1935">
        <v>99</v>
      </c>
      <c r="B1935" t="s">
        <v>2117</v>
      </c>
      <c r="C1935" t="s">
        <v>1916</v>
      </c>
      <c r="D1935" t="s">
        <v>1258</v>
      </c>
      <c r="E1935" t="s">
        <v>1526</v>
      </c>
      <c r="F1935">
        <v>4.5600000000000002E-2</v>
      </c>
      <c r="G1935">
        <v>148</v>
      </c>
      <c r="H1935" t="s">
        <v>1153</v>
      </c>
      <c r="I1935" t="s">
        <v>1781</v>
      </c>
      <c r="J1935">
        <v>6.7488000000000001</v>
      </c>
      <c r="K1935">
        <v>134.976</v>
      </c>
      <c r="L1935" t="s">
        <v>1958</v>
      </c>
      <c r="M1935">
        <v>20</v>
      </c>
      <c r="N1935" t="s">
        <v>4241</v>
      </c>
      <c r="O1935" t="s">
        <v>4234</v>
      </c>
    </row>
    <row r="1936" spans="1:15" x14ac:dyDescent="0.2">
      <c r="A1936">
        <v>99</v>
      </c>
      <c r="B1936" t="s">
        <v>2117</v>
      </c>
      <c r="C1936" t="s">
        <v>1916</v>
      </c>
      <c r="D1936" t="s">
        <v>801</v>
      </c>
      <c r="E1936" t="s">
        <v>402</v>
      </c>
      <c r="F1936">
        <v>0</v>
      </c>
      <c r="G1936">
        <v>10.3</v>
      </c>
      <c r="H1936" t="s">
        <v>151</v>
      </c>
      <c r="I1936" t="s">
        <v>1781</v>
      </c>
      <c r="J1936">
        <v>0</v>
      </c>
      <c r="K1936">
        <v>0</v>
      </c>
      <c r="L1936" t="s">
        <v>1958</v>
      </c>
      <c r="M1936">
        <v>20</v>
      </c>
      <c r="N1936" t="s">
        <v>4235</v>
      </c>
      <c r="O1936" t="s">
        <v>4234</v>
      </c>
    </row>
    <row r="1937" spans="1:15" x14ac:dyDescent="0.2">
      <c r="A1937">
        <v>99</v>
      </c>
      <c r="B1937" t="s">
        <v>2117</v>
      </c>
      <c r="C1937" t="s">
        <v>1916</v>
      </c>
      <c r="D1937" t="s">
        <v>120</v>
      </c>
      <c r="E1937" t="s">
        <v>597</v>
      </c>
      <c r="F1937">
        <v>0</v>
      </c>
      <c r="G1937">
        <v>1.52</v>
      </c>
      <c r="H1937" t="s">
        <v>742</v>
      </c>
      <c r="I1937" t="s">
        <v>1781</v>
      </c>
      <c r="J1937">
        <v>0</v>
      </c>
      <c r="K1937">
        <v>0</v>
      </c>
      <c r="L1937" t="s">
        <v>1958</v>
      </c>
      <c r="M1937">
        <v>20</v>
      </c>
      <c r="N1937" t="s">
        <v>4239</v>
      </c>
      <c r="O1937" t="s">
        <v>4234</v>
      </c>
    </row>
    <row r="1938" spans="1:15" x14ac:dyDescent="0.2">
      <c r="A1938">
        <v>99</v>
      </c>
      <c r="B1938" t="s">
        <v>2117</v>
      </c>
      <c r="C1938" t="s">
        <v>1916</v>
      </c>
      <c r="D1938" t="s">
        <v>66</v>
      </c>
      <c r="E1938" t="s">
        <v>617</v>
      </c>
      <c r="F1938">
        <v>0</v>
      </c>
      <c r="G1938">
        <v>5.45</v>
      </c>
      <c r="H1938" t="s">
        <v>764</v>
      </c>
      <c r="I1938" t="s">
        <v>1781</v>
      </c>
      <c r="J1938">
        <v>0</v>
      </c>
      <c r="K1938">
        <v>0</v>
      </c>
      <c r="L1938" t="s">
        <v>1958</v>
      </c>
      <c r="M1938">
        <v>20</v>
      </c>
      <c r="N1938" t="s">
        <v>4238</v>
      </c>
      <c r="O1938" t="s">
        <v>4234</v>
      </c>
    </row>
    <row r="1939" spans="1:15" x14ac:dyDescent="0.2">
      <c r="A1939">
        <v>99</v>
      </c>
      <c r="B1939" t="s">
        <v>2117</v>
      </c>
      <c r="C1939" t="s">
        <v>1916</v>
      </c>
      <c r="D1939" t="s">
        <v>498</v>
      </c>
      <c r="E1939" t="s">
        <v>773</v>
      </c>
      <c r="F1939">
        <v>1.2</v>
      </c>
      <c r="G1939">
        <v>0</v>
      </c>
      <c r="H1939" t="s">
        <v>84</v>
      </c>
      <c r="I1939" t="s">
        <v>1781</v>
      </c>
      <c r="J1939">
        <v>0</v>
      </c>
      <c r="K1939">
        <v>0</v>
      </c>
      <c r="L1939" t="s">
        <v>1958</v>
      </c>
      <c r="M1939">
        <v>20</v>
      </c>
      <c r="N1939" t="s">
        <v>4237</v>
      </c>
      <c r="O1939" t="s">
        <v>4234</v>
      </c>
    </row>
    <row r="1940" spans="1:15" x14ac:dyDescent="0.2">
      <c r="A1940">
        <v>99</v>
      </c>
      <c r="B1940" t="s">
        <v>2117</v>
      </c>
      <c r="C1940" t="s">
        <v>1916</v>
      </c>
      <c r="D1940" t="s">
        <v>1133</v>
      </c>
      <c r="E1940" t="s">
        <v>2843</v>
      </c>
      <c r="F1940">
        <v>0.82040000000000002</v>
      </c>
      <c r="G1940">
        <v>8.93</v>
      </c>
      <c r="H1940" t="s">
        <v>152</v>
      </c>
      <c r="I1940" t="s">
        <v>1781</v>
      </c>
      <c r="J1940">
        <v>7.3261719999999997</v>
      </c>
      <c r="K1940">
        <v>146.52343999999999</v>
      </c>
      <c r="L1940" t="s">
        <v>1958</v>
      </c>
      <c r="M1940">
        <v>20</v>
      </c>
      <c r="N1940" t="s">
        <v>4242</v>
      </c>
      <c r="O1940" t="s">
        <v>4234</v>
      </c>
    </row>
    <row r="1941" spans="1:15" x14ac:dyDescent="0.2">
      <c r="A1941">
        <v>99</v>
      </c>
      <c r="B1941" t="s">
        <v>2117</v>
      </c>
      <c r="C1941" t="s">
        <v>1916</v>
      </c>
      <c r="D1941" t="s">
        <v>1009</v>
      </c>
      <c r="E1941" t="s">
        <v>672</v>
      </c>
      <c r="F1941">
        <v>0</v>
      </c>
      <c r="G1941">
        <v>16.489999999999998</v>
      </c>
      <c r="H1941" t="s">
        <v>151</v>
      </c>
      <c r="I1941" t="s">
        <v>1781</v>
      </c>
      <c r="J1941">
        <v>0</v>
      </c>
      <c r="K1941">
        <v>0</v>
      </c>
      <c r="L1941" t="s">
        <v>1958</v>
      </c>
      <c r="M1941">
        <v>20</v>
      </c>
      <c r="N1941" t="s">
        <v>4233</v>
      </c>
      <c r="O1941" t="s">
        <v>4234</v>
      </c>
    </row>
    <row r="1942" spans="1:15" x14ac:dyDescent="0.2">
      <c r="A1942">
        <v>99</v>
      </c>
      <c r="B1942" t="s">
        <v>2117</v>
      </c>
      <c r="C1942" t="s">
        <v>1801</v>
      </c>
      <c r="D1942" t="s">
        <v>1009</v>
      </c>
      <c r="E1942" t="s">
        <v>672</v>
      </c>
      <c r="F1942">
        <v>0</v>
      </c>
      <c r="G1942">
        <v>16.489999999999998</v>
      </c>
      <c r="H1942" t="s">
        <v>151</v>
      </c>
      <c r="I1942" t="s">
        <v>1152</v>
      </c>
      <c r="J1942">
        <v>0</v>
      </c>
      <c r="K1942">
        <v>0</v>
      </c>
      <c r="L1942" t="s">
        <v>1961</v>
      </c>
      <c r="M1942">
        <v>17.5</v>
      </c>
      <c r="N1942" t="s">
        <v>4253</v>
      </c>
      <c r="O1942" t="s">
        <v>4246</v>
      </c>
    </row>
    <row r="1943" spans="1:15" x14ac:dyDescent="0.2">
      <c r="A1943">
        <v>99</v>
      </c>
      <c r="B1943" t="s">
        <v>2117</v>
      </c>
      <c r="C1943" t="s">
        <v>1801</v>
      </c>
      <c r="D1943" t="s">
        <v>498</v>
      </c>
      <c r="E1943" t="s">
        <v>773</v>
      </c>
      <c r="F1943">
        <v>1.2</v>
      </c>
      <c r="G1943">
        <v>0</v>
      </c>
      <c r="H1943" t="s">
        <v>84</v>
      </c>
      <c r="I1943" t="s">
        <v>1152</v>
      </c>
      <c r="J1943">
        <v>0</v>
      </c>
      <c r="K1943">
        <v>0</v>
      </c>
      <c r="L1943" t="s">
        <v>1961</v>
      </c>
      <c r="M1943">
        <v>17.5</v>
      </c>
      <c r="N1943" t="s">
        <v>4245</v>
      </c>
      <c r="O1943" t="s">
        <v>4246</v>
      </c>
    </row>
    <row r="1944" spans="1:15" x14ac:dyDescent="0.2">
      <c r="A1944">
        <v>99</v>
      </c>
      <c r="B1944" t="s">
        <v>2117</v>
      </c>
      <c r="C1944" t="s">
        <v>1801</v>
      </c>
      <c r="D1944" t="s">
        <v>1133</v>
      </c>
      <c r="E1944" t="s">
        <v>2843</v>
      </c>
      <c r="F1944">
        <v>0.24690000000000001</v>
      </c>
      <c r="G1944">
        <v>8.93</v>
      </c>
      <c r="H1944" t="s">
        <v>152</v>
      </c>
      <c r="I1944" t="s">
        <v>1152</v>
      </c>
      <c r="J1944">
        <v>2.2048169999999998</v>
      </c>
      <c r="K1944">
        <v>38.584297999999997</v>
      </c>
      <c r="L1944" t="s">
        <v>1961</v>
      </c>
      <c r="M1944">
        <v>17.5</v>
      </c>
      <c r="N1944" t="s">
        <v>4249</v>
      </c>
      <c r="O1944" t="s">
        <v>4246</v>
      </c>
    </row>
    <row r="1945" spans="1:15" x14ac:dyDescent="0.2">
      <c r="A1945">
        <v>99</v>
      </c>
      <c r="B1945" t="s">
        <v>2117</v>
      </c>
      <c r="C1945" t="s">
        <v>1801</v>
      </c>
      <c r="D1945" t="s">
        <v>1897</v>
      </c>
      <c r="E1945" t="s">
        <v>4250</v>
      </c>
      <c r="F1945">
        <v>1</v>
      </c>
      <c r="G1945">
        <v>650</v>
      </c>
      <c r="H1945" t="s">
        <v>1152</v>
      </c>
      <c r="I1945" t="s">
        <v>1152</v>
      </c>
      <c r="J1945">
        <v>650</v>
      </c>
      <c r="K1945">
        <v>11375</v>
      </c>
      <c r="L1945" t="s">
        <v>1961</v>
      </c>
      <c r="M1945">
        <v>17.5</v>
      </c>
      <c r="N1945" t="s">
        <v>4251</v>
      </c>
      <c r="O1945" t="s">
        <v>4246</v>
      </c>
    </row>
    <row r="1946" spans="1:15" x14ac:dyDescent="0.2">
      <c r="A1946">
        <v>99</v>
      </c>
      <c r="B1946" t="s">
        <v>2117</v>
      </c>
      <c r="C1946" t="s">
        <v>1801</v>
      </c>
      <c r="D1946" t="s">
        <v>66</v>
      </c>
      <c r="E1946" t="s">
        <v>617</v>
      </c>
      <c r="F1946">
        <v>0</v>
      </c>
      <c r="G1946">
        <v>5.45</v>
      </c>
      <c r="H1946" t="s">
        <v>764</v>
      </c>
      <c r="I1946" t="s">
        <v>1152</v>
      </c>
      <c r="J1946">
        <v>0</v>
      </c>
      <c r="K1946">
        <v>0</v>
      </c>
      <c r="L1946" t="s">
        <v>1961</v>
      </c>
      <c r="M1946">
        <v>17.5</v>
      </c>
      <c r="N1946" t="s">
        <v>4247</v>
      </c>
      <c r="O1946" t="s">
        <v>4246</v>
      </c>
    </row>
    <row r="1947" spans="1:15" x14ac:dyDescent="0.2">
      <c r="A1947">
        <v>99</v>
      </c>
      <c r="B1947" t="s">
        <v>2117</v>
      </c>
      <c r="C1947" t="s">
        <v>1801</v>
      </c>
      <c r="D1947" t="s">
        <v>120</v>
      </c>
      <c r="E1947" t="s">
        <v>597</v>
      </c>
      <c r="F1947">
        <v>0</v>
      </c>
      <c r="G1947">
        <v>1.52</v>
      </c>
      <c r="H1947" t="s">
        <v>742</v>
      </c>
      <c r="I1947" t="s">
        <v>1152</v>
      </c>
      <c r="J1947">
        <v>0</v>
      </c>
      <c r="K1947">
        <v>0</v>
      </c>
      <c r="L1947" t="s">
        <v>1961</v>
      </c>
      <c r="M1947">
        <v>17.5</v>
      </c>
      <c r="N1947" t="s">
        <v>4248</v>
      </c>
      <c r="O1947" t="s">
        <v>4246</v>
      </c>
    </row>
    <row r="1948" spans="1:15" x14ac:dyDescent="0.2">
      <c r="A1948">
        <v>99</v>
      </c>
      <c r="B1948" t="s">
        <v>2117</v>
      </c>
      <c r="C1948" t="s">
        <v>1801</v>
      </c>
      <c r="D1948" t="s">
        <v>801</v>
      </c>
      <c r="E1948" t="s">
        <v>402</v>
      </c>
      <c r="F1948">
        <v>0</v>
      </c>
      <c r="G1948">
        <v>10.3</v>
      </c>
      <c r="H1948" t="s">
        <v>151</v>
      </c>
      <c r="I1948" t="s">
        <v>1152</v>
      </c>
      <c r="J1948">
        <v>0</v>
      </c>
      <c r="K1948">
        <v>0</v>
      </c>
      <c r="L1948" t="s">
        <v>1961</v>
      </c>
      <c r="M1948">
        <v>17.5</v>
      </c>
      <c r="N1948" t="s">
        <v>4254</v>
      </c>
      <c r="O1948" t="s">
        <v>4246</v>
      </c>
    </row>
    <row r="1949" spans="1:15" x14ac:dyDescent="0.2">
      <c r="A1949">
        <v>99</v>
      </c>
      <c r="B1949" t="s">
        <v>2117</v>
      </c>
      <c r="C1949" t="s">
        <v>1801</v>
      </c>
      <c r="D1949" t="s">
        <v>1258</v>
      </c>
      <c r="E1949" t="s">
        <v>1526</v>
      </c>
      <c r="F1949">
        <v>1.37E-2</v>
      </c>
      <c r="G1949">
        <v>148</v>
      </c>
      <c r="H1949" t="s">
        <v>1153</v>
      </c>
      <c r="I1949" t="s">
        <v>1152</v>
      </c>
      <c r="J1949">
        <v>2.0276000000000001</v>
      </c>
      <c r="K1949">
        <v>35.482999999999997</v>
      </c>
      <c r="L1949" t="s">
        <v>1961</v>
      </c>
      <c r="M1949">
        <v>17.5</v>
      </c>
      <c r="N1949" t="s">
        <v>4257</v>
      </c>
      <c r="O1949" t="s">
        <v>4246</v>
      </c>
    </row>
    <row r="1950" spans="1:15" x14ac:dyDescent="0.2">
      <c r="A1950">
        <v>99</v>
      </c>
      <c r="B1950" t="s">
        <v>2117</v>
      </c>
      <c r="C1950" t="s">
        <v>1801</v>
      </c>
      <c r="D1950" t="s">
        <v>1654</v>
      </c>
      <c r="E1950" t="s">
        <v>1551</v>
      </c>
      <c r="F1950">
        <v>6.1722000000000001</v>
      </c>
      <c r="G1950">
        <v>0.7974</v>
      </c>
      <c r="H1950" t="s">
        <v>1052</v>
      </c>
      <c r="I1950" t="s">
        <v>1152</v>
      </c>
      <c r="J1950">
        <v>4.9217122800000004</v>
      </c>
      <c r="K1950">
        <v>86.129964999999999</v>
      </c>
      <c r="L1950" t="s">
        <v>1961</v>
      </c>
      <c r="M1950">
        <v>17.5</v>
      </c>
      <c r="N1950" t="s">
        <v>4256</v>
      </c>
      <c r="O1950" t="s">
        <v>4246</v>
      </c>
    </row>
    <row r="1951" spans="1:15" x14ac:dyDescent="0.2">
      <c r="A1951">
        <v>99</v>
      </c>
      <c r="B1951" t="s">
        <v>2117</v>
      </c>
      <c r="C1951" t="s">
        <v>1801</v>
      </c>
      <c r="D1951" t="s">
        <v>547</v>
      </c>
      <c r="E1951" t="s">
        <v>2320</v>
      </c>
      <c r="F1951">
        <v>0</v>
      </c>
      <c r="G1951">
        <v>13.51</v>
      </c>
      <c r="H1951" t="s">
        <v>151</v>
      </c>
      <c r="I1951" t="s">
        <v>1152</v>
      </c>
      <c r="J1951">
        <v>0</v>
      </c>
      <c r="K1951">
        <v>0</v>
      </c>
      <c r="L1951" t="s">
        <v>1961</v>
      </c>
      <c r="M1951">
        <v>17.5</v>
      </c>
      <c r="N1951" t="s">
        <v>4255</v>
      </c>
      <c r="O1951" t="s">
        <v>4246</v>
      </c>
    </row>
    <row r="1952" spans="1:15" x14ac:dyDescent="0.2">
      <c r="A1952">
        <v>99</v>
      </c>
      <c r="B1952" t="s">
        <v>2117</v>
      </c>
      <c r="C1952" t="s">
        <v>1801</v>
      </c>
      <c r="D1952" t="s">
        <v>1899</v>
      </c>
      <c r="E1952" t="s">
        <v>1782</v>
      </c>
      <c r="F1952">
        <v>5.7099999999999998E-2</v>
      </c>
      <c r="G1952">
        <v>5000</v>
      </c>
      <c r="H1952" t="s">
        <v>1781</v>
      </c>
      <c r="I1952" t="s">
        <v>1152</v>
      </c>
      <c r="J1952">
        <v>285.5</v>
      </c>
      <c r="K1952">
        <v>4996.25</v>
      </c>
      <c r="L1952" t="s">
        <v>1961</v>
      </c>
      <c r="M1952">
        <v>17.5</v>
      </c>
      <c r="N1952" t="s">
        <v>4252</v>
      </c>
      <c r="O1952" t="s">
        <v>4246</v>
      </c>
    </row>
    <row r="1953" spans="1:15" x14ac:dyDescent="0.2">
      <c r="A1953">
        <v>99</v>
      </c>
      <c r="B1953" t="s">
        <v>2117</v>
      </c>
      <c r="C1953" t="s">
        <v>1805</v>
      </c>
      <c r="D1953" t="s">
        <v>971</v>
      </c>
      <c r="E1953" t="s">
        <v>4258</v>
      </c>
      <c r="F1953">
        <v>1</v>
      </c>
      <c r="G1953">
        <v>300</v>
      </c>
      <c r="H1953" t="s">
        <v>1152</v>
      </c>
      <c r="I1953" t="s">
        <v>1152</v>
      </c>
      <c r="J1953">
        <v>300</v>
      </c>
      <c r="K1953">
        <v>24771</v>
      </c>
      <c r="L1953" t="s">
        <v>5239</v>
      </c>
      <c r="M1953">
        <v>82.57</v>
      </c>
      <c r="N1953" t="s">
        <v>4259</v>
      </c>
      <c r="O1953" t="s">
        <v>4260</v>
      </c>
    </row>
    <row r="1954" spans="1:15" x14ac:dyDescent="0.2">
      <c r="A1954">
        <v>99</v>
      </c>
      <c r="B1954" t="s">
        <v>2117</v>
      </c>
      <c r="C1954" t="s">
        <v>1805</v>
      </c>
      <c r="D1954" t="s">
        <v>1937</v>
      </c>
      <c r="E1954" t="s">
        <v>4261</v>
      </c>
      <c r="F1954">
        <v>1</v>
      </c>
      <c r="G1954">
        <v>180</v>
      </c>
      <c r="H1954" t="s">
        <v>1819</v>
      </c>
      <c r="I1954" t="s">
        <v>1152</v>
      </c>
      <c r="J1954">
        <v>180</v>
      </c>
      <c r="K1954">
        <v>14862.6</v>
      </c>
      <c r="L1954" t="s">
        <v>5239</v>
      </c>
      <c r="M1954">
        <v>82.57</v>
      </c>
      <c r="N1954" t="s">
        <v>4262</v>
      </c>
      <c r="O1954" t="s">
        <v>4260</v>
      </c>
    </row>
    <row r="1955" spans="1:15" x14ac:dyDescent="0.2">
      <c r="A1955">
        <v>99</v>
      </c>
      <c r="B1955" t="s">
        <v>2117</v>
      </c>
      <c r="C1955" t="s">
        <v>5240</v>
      </c>
      <c r="D1955" t="s">
        <v>5241</v>
      </c>
      <c r="E1955" t="s">
        <v>5242</v>
      </c>
      <c r="F1955">
        <v>1</v>
      </c>
      <c r="G1955">
        <v>450</v>
      </c>
      <c r="H1955" t="s">
        <v>1819</v>
      </c>
      <c r="I1955" t="s">
        <v>5243</v>
      </c>
      <c r="J1955">
        <v>450</v>
      </c>
      <c r="K1955">
        <v>54000</v>
      </c>
      <c r="L1955" t="s">
        <v>281</v>
      </c>
      <c r="M1955">
        <v>120</v>
      </c>
      <c r="N1955" t="s">
        <v>5244</v>
      </c>
      <c r="O1955" t="s">
        <v>5245</v>
      </c>
    </row>
    <row r="1956" spans="1:15" x14ac:dyDescent="0.2">
      <c r="A1956">
        <v>99</v>
      </c>
      <c r="B1956" t="s">
        <v>2117</v>
      </c>
      <c r="C1956" t="s">
        <v>5240</v>
      </c>
      <c r="D1956" t="s">
        <v>5246</v>
      </c>
      <c r="E1956" t="s">
        <v>5247</v>
      </c>
      <c r="F1956">
        <v>1</v>
      </c>
      <c r="G1956">
        <v>5200</v>
      </c>
      <c r="H1956" t="s">
        <v>1819</v>
      </c>
      <c r="I1956" t="s">
        <v>5243</v>
      </c>
      <c r="J1956">
        <v>5200</v>
      </c>
      <c r="K1956">
        <v>624000</v>
      </c>
      <c r="L1956" t="s">
        <v>281</v>
      </c>
      <c r="M1956">
        <v>120</v>
      </c>
      <c r="N1956" t="s">
        <v>5248</v>
      </c>
      <c r="O1956" t="s">
        <v>5245</v>
      </c>
    </row>
    <row r="1957" spans="1:15" x14ac:dyDescent="0.2">
      <c r="A1957">
        <v>99</v>
      </c>
      <c r="B1957" t="s">
        <v>2117</v>
      </c>
      <c r="C1957" t="s">
        <v>5249</v>
      </c>
      <c r="D1957" t="s">
        <v>5250</v>
      </c>
      <c r="E1957" t="s">
        <v>5251</v>
      </c>
      <c r="F1957">
        <v>1</v>
      </c>
      <c r="G1957">
        <v>5200</v>
      </c>
      <c r="H1957" t="s">
        <v>1819</v>
      </c>
      <c r="I1957" t="s">
        <v>5243</v>
      </c>
      <c r="J1957">
        <v>5200</v>
      </c>
      <c r="K1957">
        <v>62400</v>
      </c>
      <c r="L1957" t="s">
        <v>5252</v>
      </c>
      <c r="M1957">
        <v>12</v>
      </c>
      <c r="N1957" t="s">
        <v>5253</v>
      </c>
      <c r="O1957" t="s">
        <v>5254</v>
      </c>
    </row>
    <row r="1958" spans="1:15" x14ac:dyDescent="0.2">
      <c r="A1958">
        <v>99</v>
      </c>
      <c r="B1958" t="s">
        <v>2117</v>
      </c>
      <c r="C1958" t="s">
        <v>5249</v>
      </c>
      <c r="D1958" t="s">
        <v>5255</v>
      </c>
      <c r="E1958" t="s">
        <v>5256</v>
      </c>
      <c r="F1958">
        <v>1</v>
      </c>
      <c r="G1958">
        <v>450</v>
      </c>
      <c r="H1958" t="s">
        <v>1819</v>
      </c>
      <c r="I1958" t="s">
        <v>5243</v>
      </c>
      <c r="J1958">
        <v>450</v>
      </c>
      <c r="K1958">
        <v>5400</v>
      </c>
      <c r="L1958" t="s">
        <v>5252</v>
      </c>
      <c r="M1958">
        <v>12</v>
      </c>
      <c r="N1958" t="s">
        <v>5257</v>
      </c>
      <c r="O1958" t="s">
        <v>5254</v>
      </c>
    </row>
    <row r="1959" spans="1:15" x14ac:dyDescent="0.2">
      <c r="A1959">
        <v>99</v>
      </c>
      <c r="B1959" t="s">
        <v>2117</v>
      </c>
      <c r="C1959" t="s">
        <v>5258</v>
      </c>
      <c r="D1959" t="s">
        <v>5259</v>
      </c>
      <c r="E1959" t="s">
        <v>5260</v>
      </c>
      <c r="F1959">
        <v>1</v>
      </c>
      <c r="G1959">
        <v>6400</v>
      </c>
      <c r="H1959" t="s">
        <v>1819</v>
      </c>
      <c r="I1959" t="s">
        <v>5243</v>
      </c>
      <c r="J1959">
        <v>6400</v>
      </c>
      <c r="K1959">
        <v>691200</v>
      </c>
      <c r="L1959" t="s">
        <v>5261</v>
      </c>
      <c r="M1959">
        <v>108</v>
      </c>
      <c r="N1959" t="s">
        <v>5262</v>
      </c>
      <c r="O1959" t="s">
        <v>5263</v>
      </c>
    </row>
    <row r="1960" spans="1:15" x14ac:dyDescent="0.2">
      <c r="A1960">
        <v>99</v>
      </c>
      <c r="B1960" t="s">
        <v>2117</v>
      </c>
      <c r="C1960" t="s">
        <v>5258</v>
      </c>
      <c r="D1960" t="s">
        <v>5264</v>
      </c>
      <c r="E1960" t="s">
        <v>5265</v>
      </c>
      <c r="F1960">
        <v>1</v>
      </c>
      <c r="G1960">
        <v>450</v>
      </c>
      <c r="H1960" t="s">
        <v>1819</v>
      </c>
      <c r="I1960" t="s">
        <v>5243</v>
      </c>
      <c r="J1960">
        <v>450</v>
      </c>
      <c r="K1960">
        <v>48600</v>
      </c>
      <c r="L1960" t="s">
        <v>5261</v>
      </c>
      <c r="M1960">
        <v>108</v>
      </c>
      <c r="N1960" t="s">
        <v>5266</v>
      </c>
      <c r="O1960" t="s">
        <v>5263</v>
      </c>
    </row>
    <row r="1961" spans="1:15" x14ac:dyDescent="0.2">
      <c r="A1961">
        <v>99</v>
      </c>
      <c r="B1961" t="s">
        <v>2117</v>
      </c>
      <c r="C1961" t="s">
        <v>775</v>
      </c>
      <c r="D1961" t="s">
        <v>774</v>
      </c>
      <c r="E1961" t="s">
        <v>4263</v>
      </c>
      <c r="F1961">
        <v>1</v>
      </c>
      <c r="G1961">
        <v>43.2</v>
      </c>
      <c r="H1961" t="s">
        <v>1819</v>
      </c>
      <c r="I1961" t="s">
        <v>1152</v>
      </c>
      <c r="J1961">
        <v>43.2</v>
      </c>
      <c r="K1961">
        <v>918571.53599999996</v>
      </c>
      <c r="L1961" t="s">
        <v>70</v>
      </c>
      <c r="M1961">
        <v>21263.23</v>
      </c>
      <c r="N1961" t="s">
        <v>4264</v>
      </c>
      <c r="O1961" t="s">
        <v>4265</v>
      </c>
    </row>
    <row r="1962" spans="1:15" x14ac:dyDescent="0.2">
      <c r="A1962">
        <v>99</v>
      </c>
      <c r="B1962" t="s">
        <v>2117</v>
      </c>
      <c r="C1962" t="s">
        <v>775</v>
      </c>
      <c r="D1962" t="s">
        <v>1600</v>
      </c>
      <c r="E1962" t="s">
        <v>4266</v>
      </c>
      <c r="F1962">
        <v>1</v>
      </c>
      <c r="G1962">
        <v>4.8</v>
      </c>
      <c r="H1962" t="s">
        <v>1819</v>
      </c>
      <c r="I1962" t="s">
        <v>1152</v>
      </c>
      <c r="J1962">
        <v>4.8</v>
      </c>
      <c r="K1962">
        <v>102063.504</v>
      </c>
      <c r="L1962" t="s">
        <v>70</v>
      </c>
      <c r="M1962">
        <v>21263.23</v>
      </c>
      <c r="N1962" t="s">
        <v>4267</v>
      </c>
      <c r="O1962" t="s">
        <v>4265</v>
      </c>
    </row>
    <row r="1963" spans="1:15" x14ac:dyDescent="0.2">
      <c r="A1963">
        <v>99</v>
      </c>
      <c r="B1963" t="s">
        <v>2117</v>
      </c>
      <c r="C1963" t="s">
        <v>648</v>
      </c>
      <c r="D1963" t="s">
        <v>779</v>
      </c>
      <c r="E1963" t="s">
        <v>4268</v>
      </c>
      <c r="F1963">
        <v>1</v>
      </c>
      <c r="G1963">
        <v>22.5</v>
      </c>
      <c r="H1963" t="s">
        <v>1819</v>
      </c>
      <c r="I1963" t="s">
        <v>1152</v>
      </c>
      <c r="J1963">
        <v>22.5</v>
      </c>
      <c r="K1963">
        <v>478422.67499999999</v>
      </c>
      <c r="L1963" t="s">
        <v>74</v>
      </c>
      <c r="M1963">
        <v>21263.23</v>
      </c>
      <c r="N1963" t="s">
        <v>4269</v>
      </c>
      <c r="O1963" t="s">
        <v>4270</v>
      </c>
    </row>
    <row r="1964" spans="1:15" x14ac:dyDescent="0.2">
      <c r="A1964">
        <v>99</v>
      </c>
      <c r="B1964" t="s">
        <v>2117</v>
      </c>
      <c r="C1964" t="s">
        <v>648</v>
      </c>
      <c r="D1964" t="s">
        <v>1602</v>
      </c>
      <c r="E1964" t="s">
        <v>4271</v>
      </c>
      <c r="F1964">
        <v>1</v>
      </c>
      <c r="G1964">
        <v>2.5</v>
      </c>
      <c r="H1964" t="s">
        <v>1819</v>
      </c>
      <c r="I1964" t="s">
        <v>1152</v>
      </c>
      <c r="J1964">
        <v>2.5</v>
      </c>
      <c r="K1964">
        <v>53158.074999999997</v>
      </c>
      <c r="L1964" t="s">
        <v>74</v>
      </c>
      <c r="M1964">
        <v>21263.23</v>
      </c>
      <c r="N1964" t="s">
        <v>4272</v>
      </c>
      <c r="O1964" t="s">
        <v>4270</v>
      </c>
    </row>
    <row r="1965" spans="1:15" x14ac:dyDescent="0.2">
      <c r="A1965">
        <v>99</v>
      </c>
      <c r="B1965" t="s">
        <v>2117</v>
      </c>
      <c r="C1965" t="s">
        <v>542</v>
      </c>
      <c r="D1965" t="s">
        <v>1603</v>
      </c>
      <c r="E1965" t="s">
        <v>4276</v>
      </c>
      <c r="F1965">
        <v>1</v>
      </c>
      <c r="G1965">
        <v>0.85</v>
      </c>
      <c r="H1965" t="s">
        <v>1819</v>
      </c>
      <c r="I1965" t="s">
        <v>1152</v>
      </c>
      <c r="J1965">
        <v>0.85</v>
      </c>
      <c r="K1965">
        <v>18073.745500000001</v>
      </c>
      <c r="L1965" t="s">
        <v>76</v>
      </c>
      <c r="M1965">
        <v>21263.23</v>
      </c>
      <c r="N1965" t="s">
        <v>4277</v>
      </c>
      <c r="O1965" t="s">
        <v>4275</v>
      </c>
    </row>
    <row r="1966" spans="1:15" x14ac:dyDescent="0.2">
      <c r="A1966">
        <v>99</v>
      </c>
      <c r="B1966" t="s">
        <v>2117</v>
      </c>
      <c r="C1966" t="s">
        <v>542</v>
      </c>
      <c r="D1966" t="s">
        <v>782</v>
      </c>
      <c r="E1966" t="s">
        <v>4273</v>
      </c>
      <c r="F1966">
        <v>1</v>
      </c>
      <c r="G1966">
        <v>7.65</v>
      </c>
      <c r="H1966" t="s">
        <v>1819</v>
      </c>
      <c r="I1966" t="s">
        <v>1152</v>
      </c>
      <c r="J1966">
        <v>7.65</v>
      </c>
      <c r="K1966">
        <v>162663.7095</v>
      </c>
      <c r="L1966" t="s">
        <v>76</v>
      </c>
      <c r="M1966">
        <v>21263.23</v>
      </c>
      <c r="N1966" t="s">
        <v>4274</v>
      </c>
      <c r="O1966" t="s">
        <v>4275</v>
      </c>
    </row>
    <row r="1967" spans="1:15" x14ac:dyDescent="0.2">
      <c r="A1967">
        <v>99</v>
      </c>
      <c r="B1967" t="s">
        <v>2117</v>
      </c>
      <c r="C1967" t="s">
        <v>611</v>
      </c>
      <c r="D1967" t="s">
        <v>29</v>
      </c>
      <c r="E1967" t="s">
        <v>4280</v>
      </c>
      <c r="F1967">
        <v>1</v>
      </c>
      <c r="G1967">
        <v>17.010000000000002</v>
      </c>
      <c r="H1967" t="s">
        <v>1819</v>
      </c>
      <c r="I1967" t="s">
        <v>1152</v>
      </c>
      <c r="J1967">
        <v>17.010000000000002</v>
      </c>
      <c r="K1967">
        <v>361687.54229999997</v>
      </c>
      <c r="L1967" t="s">
        <v>1</v>
      </c>
      <c r="M1967">
        <v>21263.23</v>
      </c>
      <c r="N1967" t="s">
        <v>4281</v>
      </c>
      <c r="O1967" t="s">
        <v>1421</v>
      </c>
    </row>
    <row r="1968" spans="1:15" x14ac:dyDescent="0.2">
      <c r="A1968">
        <v>99</v>
      </c>
      <c r="B1968" t="s">
        <v>2117</v>
      </c>
      <c r="C1968" t="s">
        <v>611</v>
      </c>
      <c r="D1968" t="s">
        <v>27</v>
      </c>
      <c r="E1968" t="s">
        <v>4278</v>
      </c>
      <c r="F1968">
        <v>1</v>
      </c>
      <c r="G1968">
        <v>55.79</v>
      </c>
      <c r="H1968" t="s">
        <v>1819</v>
      </c>
      <c r="I1968" t="s">
        <v>1152</v>
      </c>
      <c r="J1968">
        <v>55.79</v>
      </c>
      <c r="K1968">
        <v>1186275.6017</v>
      </c>
      <c r="L1968" t="s">
        <v>1</v>
      </c>
      <c r="M1968">
        <v>21263.23</v>
      </c>
      <c r="N1968" t="s">
        <v>4279</v>
      </c>
      <c r="O1968" t="s">
        <v>1421</v>
      </c>
    </row>
    <row r="1969" spans="1:15" x14ac:dyDescent="0.2">
      <c r="A1969">
        <v>99</v>
      </c>
      <c r="B1969" t="s">
        <v>2117</v>
      </c>
      <c r="C1969" t="s">
        <v>611</v>
      </c>
      <c r="D1969" t="s">
        <v>32</v>
      </c>
      <c r="E1969" t="s">
        <v>4282</v>
      </c>
      <c r="F1969">
        <v>1</v>
      </c>
      <c r="G1969">
        <v>39.880000000000003</v>
      </c>
      <c r="H1969" t="s">
        <v>1819</v>
      </c>
      <c r="I1969" t="s">
        <v>1152</v>
      </c>
      <c r="J1969">
        <v>39.880000000000003</v>
      </c>
      <c r="K1969">
        <v>847977.61239999998</v>
      </c>
      <c r="L1969" t="s">
        <v>1</v>
      </c>
      <c r="M1969">
        <v>21263.23</v>
      </c>
      <c r="N1969" t="s">
        <v>4283</v>
      </c>
      <c r="O1969" t="s">
        <v>1421</v>
      </c>
    </row>
    <row r="1970" spans="1:15" x14ac:dyDescent="0.2">
      <c r="A1970">
        <v>99</v>
      </c>
      <c r="B1970" t="s">
        <v>2117</v>
      </c>
      <c r="C1970" t="s">
        <v>611</v>
      </c>
      <c r="D1970" t="s">
        <v>1605</v>
      </c>
      <c r="E1970" t="s">
        <v>4284</v>
      </c>
      <c r="F1970">
        <v>1</v>
      </c>
      <c r="G1970">
        <v>119.65</v>
      </c>
      <c r="H1970" t="s">
        <v>1819</v>
      </c>
      <c r="I1970" t="s">
        <v>1152</v>
      </c>
      <c r="J1970">
        <v>119.65</v>
      </c>
      <c r="K1970">
        <v>2544145.4695000001</v>
      </c>
      <c r="L1970" t="s">
        <v>1</v>
      </c>
      <c r="M1970">
        <v>21263.23</v>
      </c>
      <c r="N1970" t="s">
        <v>4285</v>
      </c>
      <c r="O1970" t="s">
        <v>1421</v>
      </c>
    </row>
    <row r="1971" spans="1:15" x14ac:dyDescent="0.2">
      <c r="A1971">
        <v>99</v>
      </c>
      <c r="B1971" t="s">
        <v>2117</v>
      </c>
      <c r="C1971" t="s">
        <v>613</v>
      </c>
      <c r="D1971" t="s">
        <v>1674</v>
      </c>
      <c r="E1971" t="s">
        <v>4291</v>
      </c>
      <c r="F1971">
        <v>1</v>
      </c>
      <c r="G1971">
        <v>6.47</v>
      </c>
      <c r="H1971" t="s">
        <v>1819</v>
      </c>
      <c r="I1971" t="s">
        <v>1152</v>
      </c>
      <c r="J1971">
        <v>6.47</v>
      </c>
      <c r="K1971">
        <v>137573.0981</v>
      </c>
      <c r="L1971" t="s">
        <v>1090</v>
      </c>
      <c r="M1971">
        <v>21263.23</v>
      </c>
      <c r="N1971" t="s">
        <v>4292</v>
      </c>
      <c r="O1971" t="s">
        <v>4288</v>
      </c>
    </row>
    <row r="1972" spans="1:15" x14ac:dyDescent="0.2">
      <c r="A1972">
        <v>99</v>
      </c>
      <c r="B1972" t="s">
        <v>2117</v>
      </c>
      <c r="C1972" t="s">
        <v>613</v>
      </c>
      <c r="D1972" t="s">
        <v>1676</v>
      </c>
      <c r="E1972" t="s">
        <v>4293</v>
      </c>
      <c r="F1972">
        <v>1</v>
      </c>
      <c r="G1972">
        <v>20.350000000000001</v>
      </c>
      <c r="H1972" t="s">
        <v>1819</v>
      </c>
      <c r="I1972" t="s">
        <v>1152</v>
      </c>
      <c r="J1972">
        <v>20.350000000000001</v>
      </c>
      <c r="K1972">
        <v>432706.73050000001</v>
      </c>
      <c r="L1972" t="s">
        <v>1090</v>
      </c>
      <c r="M1972">
        <v>21263.23</v>
      </c>
      <c r="N1972" t="s">
        <v>4294</v>
      </c>
      <c r="O1972" t="s">
        <v>4288</v>
      </c>
    </row>
    <row r="1973" spans="1:15" x14ac:dyDescent="0.2">
      <c r="A1973">
        <v>99</v>
      </c>
      <c r="B1973" t="s">
        <v>2117</v>
      </c>
      <c r="C1973" t="s">
        <v>613</v>
      </c>
      <c r="D1973" t="s">
        <v>121</v>
      </c>
      <c r="E1973" t="s">
        <v>4289</v>
      </c>
      <c r="F1973">
        <v>1</v>
      </c>
      <c r="G1973">
        <v>72.400000000000006</v>
      </c>
      <c r="H1973" t="s">
        <v>1819</v>
      </c>
      <c r="I1973" t="s">
        <v>1152</v>
      </c>
      <c r="J1973">
        <v>72.400000000000006</v>
      </c>
      <c r="K1973">
        <v>1539457.852</v>
      </c>
      <c r="L1973" t="s">
        <v>1090</v>
      </c>
      <c r="M1973">
        <v>21263.23</v>
      </c>
      <c r="N1973" t="s">
        <v>4290</v>
      </c>
      <c r="O1973" t="s">
        <v>4288</v>
      </c>
    </row>
    <row r="1974" spans="1:15" x14ac:dyDescent="0.2">
      <c r="A1974">
        <v>99</v>
      </c>
      <c r="B1974" t="s">
        <v>2117</v>
      </c>
      <c r="C1974" t="s">
        <v>613</v>
      </c>
      <c r="D1974" t="s">
        <v>117</v>
      </c>
      <c r="E1974" t="s">
        <v>4286</v>
      </c>
      <c r="F1974">
        <v>1</v>
      </c>
      <c r="G1974">
        <v>0.78</v>
      </c>
      <c r="H1974" t="s">
        <v>1819</v>
      </c>
      <c r="I1974" t="s">
        <v>1152</v>
      </c>
      <c r="J1974">
        <v>0.78</v>
      </c>
      <c r="K1974">
        <v>16585.3194</v>
      </c>
      <c r="L1974" t="s">
        <v>1090</v>
      </c>
      <c r="M1974">
        <v>21263.23</v>
      </c>
      <c r="N1974" t="s">
        <v>4287</v>
      </c>
      <c r="O1974" t="s">
        <v>4288</v>
      </c>
    </row>
    <row r="1975" spans="1:15" x14ac:dyDescent="0.2">
      <c r="A1975">
        <v>99</v>
      </c>
      <c r="B1975" t="s">
        <v>2117</v>
      </c>
      <c r="C1975" t="s">
        <v>507</v>
      </c>
      <c r="D1975" t="s">
        <v>115</v>
      </c>
      <c r="E1975" t="s">
        <v>4300</v>
      </c>
      <c r="F1975">
        <v>1</v>
      </c>
      <c r="G1975">
        <v>1.58</v>
      </c>
      <c r="H1975" t="s">
        <v>1819</v>
      </c>
      <c r="I1975" t="s">
        <v>1152</v>
      </c>
      <c r="J1975">
        <v>1.58</v>
      </c>
      <c r="K1975">
        <v>33595.903400000003</v>
      </c>
      <c r="L1975" t="s">
        <v>1227</v>
      </c>
      <c r="M1975">
        <v>21263.23</v>
      </c>
      <c r="N1975" t="s">
        <v>4301</v>
      </c>
      <c r="O1975" t="s">
        <v>4297</v>
      </c>
    </row>
    <row r="1976" spans="1:15" x14ac:dyDescent="0.2">
      <c r="A1976">
        <v>99</v>
      </c>
      <c r="B1976" t="s">
        <v>2117</v>
      </c>
      <c r="C1976" t="s">
        <v>507</v>
      </c>
      <c r="D1976" t="s">
        <v>108</v>
      </c>
      <c r="E1976" t="s">
        <v>4295</v>
      </c>
      <c r="F1976">
        <v>1</v>
      </c>
      <c r="G1976">
        <v>9.32</v>
      </c>
      <c r="H1976" t="s">
        <v>1819</v>
      </c>
      <c r="I1976" t="s">
        <v>1152</v>
      </c>
      <c r="J1976">
        <v>9.32</v>
      </c>
      <c r="K1976">
        <v>198173.30360000001</v>
      </c>
      <c r="L1976" t="s">
        <v>1227</v>
      </c>
      <c r="M1976">
        <v>21263.23</v>
      </c>
      <c r="N1976" t="s">
        <v>4296</v>
      </c>
      <c r="O1976" t="s">
        <v>4297</v>
      </c>
    </row>
    <row r="1977" spans="1:15" x14ac:dyDescent="0.2">
      <c r="A1977">
        <v>99</v>
      </c>
      <c r="B1977" t="s">
        <v>2117</v>
      </c>
      <c r="C1977" t="s">
        <v>507</v>
      </c>
      <c r="D1977" t="s">
        <v>111</v>
      </c>
      <c r="E1977" t="s">
        <v>4298</v>
      </c>
      <c r="F1977">
        <v>1</v>
      </c>
      <c r="G1977">
        <v>14.96</v>
      </c>
      <c r="H1977" t="s">
        <v>1819</v>
      </c>
      <c r="I1977" t="s">
        <v>1152</v>
      </c>
      <c r="J1977">
        <v>14.96</v>
      </c>
      <c r="K1977">
        <v>318097.92080000002</v>
      </c>
      <c r="L1977" t="s">
        <v>1227</v>
      </c>
      <c r="M1977">
        <v>21263.23</v>
      </c>
      <c r="N1977" t="s">
        <v>4299</v>
      </c>
      <c r="O1977" t="s">
        <v>4297</v>
      </c>
    </row>
    <row r="1978" spans="1:15" x14ac:dyDescent="0.2">
      <c r="A1978">
        <v>99</v>
      </c>
      <c r="B1978" t="s">
        <v>2117</v>
      </c>
      <c r="C1978" t="s">
        <v>507</v>
      </c>
      <c r="D1978" t="s">
        <v>1671</v>
      </c>
      <c r="E1978" t="s">
        <v>4302</v>
      </c>
      <c r="F1978">
        <v>1</v>
      </c>
      <c r="G1978">
        <v>10.41</v>
      </c>
      <c r="H1978" t="s">
        <v>1819</v>
      </c>
      <c r="I1978" t="s">
        <v>1152</v>
      </c>
      <c r="J1978">
        <v>10.41</v>
      </c>
      <c r="K1978">
        <v>221350.2243</v>
      </c>
      <c r="L1978" t="s">
        <v>1227</v>
      </c>
      <c r="M1978">
        <v>21263.23</v>
      </c>
      <c r="N1978" t="s">
        <v>4303</v>
      </c>
      <c r="O1978" t="s">
        <v>4297</v>
      </c>
    </row>
    <row r="1979" spans="1:15" x14ac:dyDescent="0.2">
      <c r="A1979">
        <v>99</v>
      </c>
      <c r="B1979" t="s">
        <v>2117</v>
      </c>
      <c r="C1979" t="s">
        <v>510</v>
      </c>
      <c r="D1979" t="s">
        <v>106</v>
      </c>
      <c r="E1979" t="s">
        <v>397</v>
      </c>
      <c r="F1979">
        <v>1</v>
      </c>
      <c r="G1979">
        <v>13.030200000000001</v>
      </c>
      <c r="H1979" t="s">
        <v>1819</v>
      </c>
      <c r="I1979" t="s">
        <v>1152</v>
      </c>
      <c r="J1979">
        <v>13.030200000000001</v>
      </c>
      <c r="K1979">
        <v>277064.13954599999</v>
      </c>
      <c r="L1979" t="s">
        <v>1332</v>
      </c>
      <c r="M1979">
        <v>21263.23</v>
      </c>
      <c r="N1979" t="s">
        <v>4304</v>
      </c>
      <c r="O1979" t="s">
        <v>867</v>
      </c>
    </row>
    <row r="1980" spans="1:15" x14ac:dyDescent="0.2">
      <c r="A1980">
        <v>99</v>
      </c>
      <c r="B1980" t="s">
        <v>2117</v>
      </c>
      <c r="C1980" t="s">
        <v>510</v>
      </c>
      <c r="D1980" t="s">
        <v>1669</v>
      </c>
      <c r="E1980" t="s">
        <v>4305</v>
      </c>
      <c r="F1980">
        <v>1</v>
      </c>
      <c r="G1980">
        <v>14.583299999999999</v>
      </c>
      <c r="H1980" t="s">
        <v>1819</v>
      </c>
      <c r="I1980" t="s">
        <v>1152</v>
      </c>
      <c r="J1980">
        <v>14.583299999999999</v>
      </c>
      <c r="K1980">
        <v>310088.06205900002</v>
      </c>
      <c r="L1980" t="s">
        <v>1332</v>
      </c>
      <c r="M1980">
        <v>21263.23</v>
      </c>
      <c r="N1980" t="s">
        <v>4306</v>
      </c>
      <c r="O1980" t="s">
        <v>867</v>
      </c>
    </row>
    <row r="1981" spans="1:15" x14ac:dyDescent="0.2">
      <c r="A1981">
        <v>99</v>
      </c>
      <c r="B1981" t="s">
        <v>2117</v>
      </c>
      <c r="C1981" t="s">
        <v>512</v>
      </c>
      <c r="D1981" t="s">
        <v>1607</v>
      </c>
      <c r="E1981" t="s">
        <v>4311</v>
      </c>
      <c r="F1981">
        <v>1</v>
      </c>
      <c r="G1981">
        <v>176.08</v>
      </c>
      <c r="H1981" t="s">
        <v>1819</v>
      </c>
      <c r="I1981" t="s">
        <v>1152</v>
      </c>
      <c r="J1981">
        <v>176.08</v>
      </c>
      <c r="K1981">
        <v>3744029.5384</v>
      </c>
      <c r="L1981" t="s">
        <v>1873</v>
      </c>
      <c r="M1981">
        <v>21263.23</v>
      </c>
      <c r="N1981" t="s">
        <v>4312</v>
      </c>
      <c r="O1981" t="s">
        <v>711</v>
      </c>
    </row>
    <row r="1982" spans="1:15" x14ac:dyDescent="0.2">
      <c r="A1982">
        <v>99</v>
      </c>
      <c r="B1982" t="s">
        <v>2117</v>
      </c>
      <c r="C1982" t="s">
        <v>512</v>
      </c>
      <c r="D1982" t="s">
        <v>42</v>
      </c>
      <c r="E1982" t="s">
        <v>4307</v>
      </c>
      <c r="F1982">
        <v>1</v>
      </c>
      <c r="G1982">
        <v>123.85</v>
      </c>
      <c r="H1982" t="s">
        <v>1819</v>
      </c>
      <c r="I1982" t="s">
        <v>1152</v>
      </c>
      <c r="J1982">
        <v>123.85</v>
      </c>
      <c r="K1982">
        <v>2633451.0355000002</v>
      </c>
      <c r="L1982" t="s">
        <v>1873</v>
      </c>
      <c r="M1982">
        <v>21263.23</v>
      </c>
      <c r="N1982" t="s">
        <v>4308</v>
      </c>
      <c r="O1982" t="s">
        <v>711</v>
      </c>
    </row>
    <row r="1983" spans="1:15" x14ac:dyDescent="0.2">
      <c r="A1983">
        <v>99</v>
      </c>
      <c r="B1983" t="s">
        <v>2117</v>
      </c>
      <c r="C1983" t="s">
        <v>512</v>
      </c>
      <c r="D1983" t="s">
        <v>39</v>
      </c>
      <c r="E1983" t="s">
        <v>4315</v>
      </c>
      <c r="F1983">
        <v>1</v>
      </c>
      <c r="G1983">
        <v>55.78</v>
      </c>
      <c r="H1983" t="s">
        <v>1819</v>
      </c>
      <c r="I1983" t="s">
        <v>1152</v>
      </c>
      <c r="J1983">
        <v>55.78</v>
      </c>
      <c r="K1983">
        <v>1186062.9694000001</v>
      </c>
      <c r="L1983" t="s">
        <v>1873</v>
      </c>
      <c r="M1983">
        <v>21263.23</v>
      </c>
      <c r="N1983" t="s">
        <v>4316</v>
      </c>
      <c r="O1983" t="s">
        <v>711</v>
      </c>
    </row>
    <row r="1984" spans="1:15" x14ac:dyDescent="0.2">
      <c r="A1984">
        <v>99</v>
      </c>
      <c r="B1984" t="s">
        <v>2117</v>
      </c>
      <c r="C1984" t="s">
        <v>512</v>
      </c>
      <c r="D1984" t="s">
        <v>47</v>
      </c>
      <c r="E1984" t="s">
        <v>4309</v>
      </c>
      <c r="F1984">
        <v>1</v>
      </c>
      <c r="G1984">
        <v>25.8</v>
      </c>
      <c r="H1984" t="s">
        <v>1819</v>
      </c>
      <c r="I1984" t="s">
        <v>1152</v>
      </c>
      <c r="J1984">
        <v>25.8</v>
      </c>
      <c r="K1984">
        <v>548591.33400000003</v>
      </c>
      <c r="L1984" t="s">
        <v>1873</v>
      </c>
      <c r="M1984">
        <v>21263.23</v>
      </c>
      <c r="N1984" t="s">
        <v>4310</v>
      </c>
      <c r="O1984" t="s">
        <v>711</v>
      </c>
    </row>
    <row r="1985" spans="1:15" x14ac:dyDescent="0.2">
      <c r="A1985">
        <v>99</v>
      </c>
      <c r="B1985" t="s">
        <v>2117</v>
      </c>
      <c r="C1985" t="s">
        <v>512</v>
      </c>
      <c r="D1985" t="s">
        <v>36</v>
      </c>
      <c r="E1985" t="s">
        <v>4313</v>
      </c>
      <c r="F1985">
        <v>1</v>
      </c>
      <c r="G1985">
        <v>17.2</v>
      </c>
      <c r="H1985" t="s">
        <v>1819</v>
      </c>
      <c r="I1985" t="s">
        <v>1152</v>
      </c>
      <c r="J1985">
        <v>17.2</v>
      </c>
      <c r="K1985">
        <v>365727.55599999998</v>
      </c>
      <c r="L1985" t="s">
        <v>1873</v>
      </c>
      <c r="M1985">
        <v>21263.23</v>
      </c>
      <c r="N1985" t="s">
        <v>4314</v>
      </c>
      <c r="O1985" t="s">
        <v>711</v>
      </c>
    </row>
    <row r="1986" spans="1:15" x14ac:dyDescent="0.2">
      <c r="A1986">
        <v>99</v>
      </c>
      <c r="B1986" t="s">
        <v>2117</v>
      </c>
      <c r="C1986" t="s">
        <v>414</v>
      </c>
      <c r="D1986" t="s">
        <v>49</v>
      </c>
      <c r="E1986" t="s">
        <v>1348</v>
      </c>
      <c r="F1986">
        <v>1</v>
      </c>
      <c r="G1986">
        <v>12.65</v>
      </c>
      <c r="H1986" t="s">
        <v>1819</v>
      </c>
      <c r="I1986" t="s">
        <v>1152</v>
      </c>
      <c r="J1986">
        <v>12.65</v>
      </c>
      <c r="K1986">
        <v>268979.85950000002</v>
      </c>
      <c r="L1986" t="s">
        <v>1766</v>
      </c>
      <c r="M1986">
        <v>21263.23</v>
      </c>
      <c r="N1986" t="s">
        <v>4317</v>
      </c>
      <c r="O1986" t="s">
        <v>4318</v>
      </c>
    </row>
    <row r="1987" spans="1:15" x14ac:dyDescent="0.2">
      <c r="A1987">
        <v>99</v>
      </c>
      <c r="B1987" t="s">
        <v>2117</v>
      </c>
      <c r="C1987" t="s">
        <v>414</v>
      </c>
      <c r="D1987" t="s">
        <v>52</v>
      </c>
      <c r="E1987" t="s">
        <v>588</v>
      </c>
      <c r="F1987">
        <v>1</v>
      </c>
      <c r="G1987">
        <v>17.72</v>
      </c>
      <c r="H1987" t="s">
        <v>1819</v>
      </c>
      <c r="I1987" t="s">
        <v>1152</v>
      </c>
      <c r="J1987">
        <v>17.72</v>
      </c>
      <c r="K1987">
        <v>376784.43560000003</v>
      </c>
      <c r="L1987" t="s">
        <v>1766</v>
      </c>
      <c r="M1987">
        <v>21263.23</v>
      </c>
      <c r="N1987" t="s">
        <v>4319</v>
      </c>
      <c r="O1987" t="s">
        <v>4318</v>
      </c>
    </row>
    <row r="1988" spans="1:15" x14ac:dyDescent="0.2">
      <c r="A1988">
        <v>99</v>
      </c>
      <c r="B1988" t="s">
        <v>2117</v>
      </c>
      <c r="C1988" t="s">
        <v>414</v>
      </c>
      <c r="D1988" t="s">
        <v>1658</v>
      </c>
      <c r="E1988" t="s">
        <v>4320</v>
      </c>
      <c r="F1988">
        <v>1</v>
      </c>
      <c r="G1988">
        <v>0</v>
      </c>
      <c r="H1988" t="s">
        <v>1819</v>
      </c>
      <c r="I1988" t="s">
        <v>1152</v>
      </c>
      <c r="J1988">
        <v>0</v>
      </c>
      <c r="K1988">
        <v>0</v>
      </c>
      <c r="L1988" t="s">
        <v>1766</v>
      </c>
      <c r="M1988">
        <v>21263.23</v>
      </c>
      <c r="N1988" t="s">
        <v>4321</v>
      </c>
      <c r="O1988" t="s">
        <v>4318</v>
      </c>
    </row>
    <row r="1989" spans="1:15" x14ac:dyDescent="0.2">
      <c r="A1989">
        <v>99</v>
      </c>
      <c r="B1989" t="s">
        <v>2117</v>
      </c>
      <c r="C1989" t="s">
        <v>414</v>
      </c>
      <c r="D1989" t="s">
        <v>1659</v>
      </c>
      <c r="E1989" t="s">
        <v>4322</v>
      </c>
      <c r="F1989">
        <v>1</v>
      </c>
      <c r="G1989">
        <v>0.76</v>
      </c>
      <c r="H1989" t="s">
        <v>1819</v>
      </c>
      <c r="I1989" t="s">
        <v>1152</v>
      </c>
      <c r="J1989">
        <v>0.76</v>
      </c>
      <c r="K1989">
        <v>16160.0548</v>
      </c>
      <c r="L1989" t="s">
        <v>1766</v>
      </c>
      <c r="M1989">
        <v>21263.23</v>
      </c>
      <c r="N1989" t="s">
        <v>4323</v>
      </c>
      <c r="O1989" t="s">
        <v>4318</v>
      </c>
    </row>
    <row r="1990" spans="1:15" x14ac:dyDescent="0.2">
      <c r="A1990">
        <v>99</v>
      </c>
      <c r="B1990" t="s">
        <v>2117</v>
      </c>
      <c r="C1990" t="s">
        <v>417</v>
      </c>
      <c r="D1990" t="s">
        <v>1609</v>
      </c>
      <c r="E1990" t="s">
        <v>4324</v>
      </c>
      <c r="F1990">
        <v>1</v>
      </c>
      <c r="G1990">
        <v>1.35</v>
      </c>
      <c r="H1990" t="s">
        <v>1819</v>
      </c>
      <c r="I1990" t="s">
        <v>1152</v>
      </c>
      <c r="J1990">
        <v>1.35</v>
      </c>
      <c r="K1990">
        <v>28705.360499999999</v>
      </c>
      <c r="L1990" t="s">
        <v>1614</v>
      </c>
      <c r="M1990">
        <v>21263.23</v>
      </c>
      <c r="N1990" t="s">
        <v>4325</v>
      </c>
      <c r="O1990" t="s">
        <v>4326</v>
      </c>
    </row>
    <row r="1991" spans="1:15" x14ac:dyDescent="0.2">
      <c r="A1991">
        <v>99</v>
      </c>
      <c r="B1991" t="s">
        <v>2117</v>
      </c>
      <c r="C1991" t="s">
        <v>417</v>
      </c>
      <c r="D1991" t="s">
        <v>1613</v>
      </c>
      <c r="E1991" t="s">
        <v>4329</v>
      </c>
      <c r="F1991">
        <v>1</v>
      </c>
      <c r="G1991">
        <v>1.35</v>
      </c>
      <c r="H1991" t="s">
        <v>1819</v>
      </c>
      <c r="I1991" t="s">
        <v>1152</v>
      </c>
      <c r="J1991">
        <v>1.35</v>
      </c>
      <c r="K1991">
        <v>28705.360499999999</v>
      </c>
      <c r="L1991" t="s">
        <v>1614</v>
      </c>
      <c r="M1991">
        <v>21263.23</v>
      </c>
      <c r="N1991" t="s">
        <v>4330</v>
      </c>
      <c r="O1991" t="s">
        <v>4326</v>
      </c>
    </row>
    <row r="1992" spans="1:15" x14ac:dyDescent="0.2">
      <c r="A1992">
        <v>99</v>
      </c>
      <c r="B1992" t="s">
        <v>2117</v>
      </c>
      <c r="C1992" t="s">
        <v>417</v>
      </c>
      <c r="D1992" t="s">
        <v>1611</v>
      </c>
      <c r="E1992" t="s">
        <v>4327</v>
      </c>
      <c r="F1992">
        <v>1</v>
      </c>
      <c r="G1992">
        <v>1.35</v>
      </c>
      <c r="H1992" t="s">
        <v>1819</v>
      </c>
      <c r="I1992" t="s">
        <v>1152</v>
      </c>
      <c r="J1992">
        <v>1.35</v>
      </c>
      <c r="K1992">
        <v>28705.360499999999</v>
      </c>
      <c r="L1992" t="s">
        <v>1614</v>
      </c>
      <c r="M1992">
        <v>21263.23</v>
      </c>
      <c r="N1992" t="s">
        <v>4328</v>
      </c>
      <c r="O1992" t="s">
        <v>4326</v>
      </c>
    </row>
    <row r="1993" spans="1:15" x14ac:dyDescent="0.2">
      <c r="A1993">
        <v>99</v>
      </c>
      <c r="B1993" t="s">
        <v>2117</v>
      </c>
      <c r="C1993" t="s">
        <v>306</v>
      </c>
      <c r="D1993" t="s">
        <v>1663</v>
      </c>
      <c r="E1993" t="s">
        <v>1885</v>
      </c>
      <c r="F1993">
        <v>1</v>
      </c>
      <c r="G1993">
        <v>2</v>
      </c>
      <c r="H1993" t="s">
        <v>1819</v>
      </c>
      <c r="I1993" t="s">
        <v>1152</v>
      </c>
      <c r="J1993">
        <v>2</v>
      </c>
      <c r="K1993">
        <v>42526.46</v>
      </c>
      <c r="L1993" t="s">
        <v>1472</v>
      </c>
      <c r="M1993">
        <v>21263.23</v>
      </c>
      <c r="N1993" t="s">
        <v>4334</v>
      </c>
      <c r="O1993" t="s">
        <v>4332</v>
      </c>
    </row>
    <row r="1994" spans="1:15" x14ac:dyDescent="0.2">
      <c r="A1994">
        <v>99</v>
      </c>
      <c r="B1994" t="s">
        <v>2117</v>
      </c>
      <c r="C1994" t="s">
        <v>306</v>
      </c>
      <c r="D1994" t="s">
        <v>100</v>
      </c>
      <c r="E1994" t="s">
        <v>262</v>
      </c>
      <c r="F1994">
        <v>1</v>
      </c>
      <c r="G1994">
        <v>3</v>
      </c>
      <c r="H1994" t="s">
        <v>1819</v>
      </c>
      <c r="I1994" t="s">
        <v>1152</v>
      </c>
      <c r="J1994">
        <v>3</v>
      </c>
      <c r="K1994">
        <v>63789.69</v>
      </c>
      <c r="L1994" t="s">
        <v>1472</v>
      </c>
      <c r="M1994">
        <v>21263.23</v>
      </c>
      <c r="N1994" t="s">
        <v>4331</v>
      </c>
      <c r="O1994" t="s">
        <v>4332</v>
      </c>
    </row>
    <row r="1995" spans="1:15" x14ac:dyDescent="0.2">
      <c r="A1995">
        <v>99</v>
      </c>
      <c r="B1995" t="s">
        <v>2117</v>
      </c>
      <c r="C1995" t="s">
        <v>306</v>
      </c>
      <c r="D1995" t="s">
        <v>104</v>
      </c>
      <c r="E1995" t="s">
        <v>678</v>
      </c>
      <c r="F1995">
        <v>1</v>
      </c>
      <c r="G1995">
        <v>0</v>
      </c>
      <c r="H1995" t="s">
        <v>1819</v>
      </c>
      <c r="I1995" t="s">
        <v>1152</v>
      </c>
      <c r="J1995">
        <v>0</v>
      </c>
      <c r="K1995">
        <v>0</v>
      </c>
      <c r="L1995" t="s">
        <v>1472</v>
      </c>
      <c r="M1995">
        <v>21263.23</v>
      </c>
      <c r="N1995" t="s">
        <v>4333</v>
      </c>
      <c r="O1995" t="s">
        <v>4332</v>
      </c>
    </row>
    <row r="1996" spans="1:15" x14ac:dyDescent="0.2">
      <c r="A1996">
        <v>99</v>
      </c>
      <c r="B1996" t="s">
        <v>2117</v>
      </c>
      <c r="C1996" t="s">
        <v>306</v>
      </c>
      <c r="D1996" t="s">
        <v>1665</v>
      </c>
      <c r="E1996" t="s">
        <v>4335</v>
      </c>
      <c r="F1996">
        <v>1</v>
      </c>
      <c r="G1996">
        <v>0</v>
      </c>
      <c r="H1996" t="s">
        <v>1819</v>
      </c>
      <c r="I1996" t="s">
        <v>1152</v>
      </c>
      <c r="J1996">
        <v>0</v>
      </c>
      <c r="K1996">
        <v>0</v>
      </c>
      <c r="L1996" t="s">
        <v>1472</v>
      </c>
      <c r="M1996">
        <v>21263.23</v>
      </c>
      <c r="N1996" t="s">
        <v>4336</v>
      </c>
      <c r="O1996" t="s">
        <v>4332</v>
      </c>
    </row>
    <row r="1997" spans="1:15" x14ac:dyDescent="0.2">
      <c r="A1997">
        <v>99</v>
      </c>
      <c r="B1997" t="s">
        <v>2117</v>
      </c>
      <c r="C1997" t="s">
        <v>175</v>
      </c>
      <c r="D1997" t="s">
        <v>1681</v>
      </c>
      <c r="E1997" t="s">
        <v>4338</v>
      </c>
      <c r="F1997">
        <v>1</v>
      </c>
      <c r="G1997">
        <v>3.25</v>
      </c>
      <c r="H1997" t="s">
        <v>1819</v>
      </c>
      <c r="I1997" t="s">
        <v>1152</v>
      </c>
      <c r="J1997">
        <v>3.25</v>
      </c>
      <c r="K1997">
        <v>69105.497499999998</v>
      </c>
      <c r="L1997" t="s">
        <v>948</v>
      </c>
      <c r="M1997">
        <v>21263.23</v>
      </c>
      <c r="N1997" t="s">
        <v>4339</v>
      </c>
      <c r="O1997" t="s">
        <v>361</v>
      </c>
    </row>
    <row r="1998" spans="1:15" x14ac:dyDescent="0.2">
      <c r="A1998">
        <v>99</v>
      </c>
      <c r="B1998" t="s">
        <v>2117</v>
      </c>
      <c r="C1998" t="s">
        <v>175</v>
      </c>
      <c r="D1998" t="s">
        <v>124</v>
      </c>
      <c r="E1998" t="s">
        <v>1648</v>
      </c>
      <c r="F1998">
        <v>1</v>
      </c>
      <c r="G1998">
        <v>6.03</v>
      </c>
      <c r="H1998" t="s">
        <v>1819</v>
      </c>
      <c r="I1998" t="s">
        <v>1152</v>
      </c>
      <c r="J1998">
        <v>6.03</v>
      </c>
      <c r="K1998">
        <v>128217.2769</v>
      </c>
      <c r="L1998" t="s">
        <v>948</v>
      </c>
      <c r="M1998">
        <v>21263.23</v>
      </c>
      <c r="N1998" t="s">
        <v>4337</v>
      </c>
      <c r="O1998" t="s">
        <v>361</v>
      </c>
    </row>
    <row r="1999" spans="1:15" x14ac:dyDescent="0.2">
      <c r="A1999">
        <v>99</v>
      </c>
      <c r="B1999" t="s">
        <v>2117</v>
      </c>
      <c r="C1999" t="s">
        <v>63</v>
      </c>
      <c r="D1999" t="s">
        <v>127</v>
      </c>
      <c r="E1999" t="s">
        <v>4340</v>
      </c>
      <c r="F1999">
        <v>1</v>
      </c>
      <c r="G1999">
        <v>51.76</v>
      </c>
      <c r="H1999" t="s">
        <v>1819</v>
      </c>
      <c r="I1999" t="s">
        <v>1152</v>
      </c>
      <c r="J1999">
        <v>51.76</v>
      </c>
      <c r="K1999">
        <v>1100584.7848</v>
      </c>
      <c r="L1999" t="s">
        <v>1957</v>
      </c>
      <c r="M1999">
        <v>21263.23</v>
      </c>
      <c r="N1999" t="s">
        <v>4341</v>
      </c>
      <c r="O1999" t="s">
        <v>4342</v>
      </c>
    </row>
    <row r="2000" spans="1:15" x14ac:dyDescent="0.2">
      <c r="A2000">
        <v>99</v>
      </c>
      <c r="B2000" t="s">
        <v>2117</v>
      </c>
      <c r="C2000" t="s">
        <v>63</v>
      </c>
      <c r="D2000" t="s">
        <v>1685</v>
      </c>
      <c r="E2000" t="s">
        <v>4343</v>
      </c>
      <c r="F2000">
        <v>1</v>
      </c>
      <c r="G2000">
        <v>28.24</v>
      </c>
      <c r="H2000" t="s">
        <v>1819</v>
      </c>
      <c r="I2000" t="s">
        <v>1152</v>
      </c>
      <c r="J2000">
        <v>28.24</v>
      </c>
      <c r="K2000">
        <v>600473.6152</v>
      </c>
      <c r="L2000" t="s">
        <v>1957</v>
      </c>
      <c r="M2000">
        <v>21263.23</v>
      </c>
      <c r="N2000" t="s">
        <v>4344</v>
      </c>
      <c r="O2000" t="s">
        <v>4342</v>
      </c>
    </row>
    <row r="2001" spans="1:15" x14ac:dyDescent="0.2">
      <c r="A2001">
        <v>99</v>
      </c>
      <c r="B2001" t="s">
        <v>2117</v>
      </c>
      <c r="C2001" t="s">
        <v>1929</v>
      </c>
      <c r="D2001" t="s">
        <v>159</v>
      </c>
      <c r="E2001" t="s">
        <v>4348</v>
      </c>
      <c r="F2001">
        <v>1</v>
      </c>
      <c r="G2001">
        <v>39.380000000000003</v>
      </c>
      <c r="H2001" t="s">
        <v>1819</v>
      </c>
      <c r="I2001" t="s">
        <v>1152</v>
      </c>
      <c r="J2001">
        <v>39.380000000000003</v>
      </c>
      <c r="K2001">
        <v>837345.99739999999</v>
      </c>
      <c r="L2001" t="s">
        <v>1845</v>
      </c>
      <c r="M2001">
        <v>21263.23</v>
      </c>
      <c r="N2001" t="s">
        <v>4349</v>
      </c>
      <c r="O2001" t="s">
        <v>4347</v>
      </c>
    </row>
    <row r="2002" spans="1:15" x14ac:dyDescent="0.2">
      <c r="A2002">
        <v>99</v>
      </c>
      <c r="B2002" t="s">
        <v>2117</v>
      </c>
      <c r="C2002" t="s">
        <v>1929</v>
      </c>
      <c r="D2002" t="s">
        <v>1752</v>
      </c>
      <c r="E2002" t="s">
        <v>4350</v>
      </c>
      <c r="F2002">
        <v>1</v>
      </c>
      <c r="G2002">
        <v>0</v>
      </c>
      <c r="H2002" t="s">
        <v>1819</v>
      </c>
      <c r="I2002" t="s">
        <v>1152</v>
      </c>
      <c r="J2002">
        <v>0</v>
      </c>
      <c r="K2002">
        <v>0</v>
      </c>
      <c r="L2002" t="s">
        <v>1845</v>
      </c>
      <c r="M2002">
        <v>21263.23</v>
      </c>
      <c r="N2002" t="s">
        <v>4351</v>
      </c>
      <c r="O2002" t="s">
        <v>4347</v>
      </c>
    </row>
    <row r="2003" spans="1:15" x14ac:dyDescent="0.2">
      <c r="A2003">
        <v>99</v>
      </c>
      <c r="B2003" t="s">
        <v>2117</v>
      </c>
      <c r="C2003" t="s">
        <v>1929</v>
      </c>
      <c r="D2003" t="s">
        <v>155</v>
      </c>
      <c r="E2003" t="s">
        <v>4345</v>
      </c>
      <c r="F2003">
        <v>1</v>
      </c>
      <c r="G2003">
        <v>0</v>
      </c>
      <c r="H2003" t="s">
        <v>1819</v>
      </c>
      <c r="I2003" t="s">
        <v>1152</v>
      </c>
      <c r="J2003">
        <v>0</v>
      </c>
      <c r="K2003">
        <v>0</v>
      </c>
      <c r="L2003" t="s">
        <v>1845</v>
      </c>
      <c r="M2003">
        <v>21263.23</v>
      </c>
      <c r="N2003" t="s">
        <v>4346</v>
      </c>
      <c r="O2003" t="s">
        <v>4347</v>
      </c>
    </row>
    <row r="2004" spans="1:15" x14ac:dyDescent="0.2">
      <c r="A2004">
        <v>99</v>
      </c>
      <c r="B2004" t="s">
        <v>2117</v>
      </c>
      <c r="C2004" t="s">
        <v>1929</v>
      </c>
      <c r="D2004" t="s">
        <v>1754</v>
      </c>
      <c r="E2004" t="s">
        <v>4352</v>
      </c>
      <c r="F2004">
        <v>1</v>
      </c>
      <c r="G2004">
        <v>30.63</v>
      </c>
      <c r="H2004" t="s">
        <v>1819</v>
      </c>
      <c r="I2004" t="s">
        <v>1152</v>
      </c>
      <c r="J2004">
        <v>30.63</v>
      </c>
      <c r="K2004">
        <v>651292.73490000004</v>
      </c>
      <c r="L2004" t="s">
        <v>1845</v>
      </c>
      <c r="M2004">
        <v>21263.23</v>
      </c>
      <c r="N2004" t="s">
        <v>4353</v>
      </c>
      <c r="O2004" t="s">
        <v>4347</v>
      </c>
    </row>
    <row r="2005" spans="1:15" x14ac:dyDescent="0.2">
      <c r="A2005">
        <v>99</v>
      </c>
      <c r="B2005" t="s">
        <v>2117</v>
      </c>
      <c r="C2005" t="s">
        <v>1813</v>
      </c>
      <c r="D2005" t="s">
        <v>164</v>
      </c>
      <c r="E2005" t="s">
        <v>4357</v>
      </c>
      <c r="F2005">
        <v>1</v>
      </c>
      <c r="G2005">
        <v>45</v>
      </c>
      <c r="H2005" t="s">
        <v>1819</v>
      </c>
      <c r="I2005" t="s">
        <v>1152</v>
      </c>
      <c r="J2005">
        <v>45</v>
      </c>
      <c r="K2005">
        <v>956845.35</v>
      </c>
      <c r="L2005" t="s">
        <v>1722</v>
      </c>
      <c r="M2005">
        <v>21263.23</v>
      </c>
      <c r="N2005" t="s">
        <v>4358</v>
      </c>
      <c r="O2005" t="s">
        <v>4356</v>
      </c>
    </row>
    <row r="2006" spans="1:15" x14ac:dyDescent="0.2">
      <c r="A2006">
        <v>99</v>
      </c>
      <c r="B2006" t="s">
        <v>2117</v>
      </c>
      <c r="C2006" t="s">
        <v>1813</v>
      </c>
      <c r="D2006" t="s">
        <v>162</v>
      </c>
      <c r="E2006" t="s">
        <v>4354</v>
      </c>
      <c r="F2006">
        <v>1</v>
      </c>
      <c r="G2006">
        <v>0</v>
      </c>
      <c r="H2006" t="s">
        <v>1819</v>
      </c>
      <c r="I2006" t="s">
        <v>1152</v>
      </c>
      <c r="J2006">
        <v>0</v>
      </c>
      <c r="K2006">
        <v>0</v>
      </c>
      <c r="L2006" t="s">
        <v>1722</v>
      </c>
      <c r="M2006">
        <v>21263.23</v>
      </c>
      <c r="N2006" t="s">
        <v>4355</v>
      </c>
      <c r="O2006" t="s">
        <v>4356</v>
      </c>
    </row>
    <row r="2007" spans="1:15" x14ac:dyDescent="0.2">
      <c r="A2007">
        <v>99</v>
      </c>
      <c r="B2007" t="s">
        <v>2117</v>
      </c>
      <c r="C2007" t="s">
        <v>1813</v>
      </c>
      <c r="D2007" t="s">
        <v>1756</v>
      </c>
      <c r="E2007" t="s">
        <v>4359</v>
      </c>
      <c r="F2007">
        <v>1</v>
      </c>
      <c r="G2007">
        <v>0</v>
      </c>
      <c r="H2007" t="s">
        <v>1819</v>
      </c>
      <c r="I2007" t="s">
        <v>1152</v>
      </c>
      <c r="J2007">
        <v>0</v>
      </c>
      <c r="K2007">
        <v>0</v>
      </c>
      <c r="L2007" t="s">
        <v>1722</v>
      </c>
      <c r="M2007">
        <v>21263.23</v>
      </c>
      <c r="N2007" t="s">
        <v>4360</v>
      </c>
      <c r="O2007" t="s">
        <v>4356</v>
      </c>
    </row>
    <row r="2008" spans="1:15" x14ac:dyDescent="0.2">
      <c r="A2008">
        <v>99</v>
      </c>
      <c r="B2008" t="s">
        <v>2117</v>
      </c>
      <c r="C2008" t="s">
        <v>1813</v>
      </c>
      <c r="D2008" t="s">
        <v>1760</v>
      </c>
      <c r="E2008" t="s">
        <v>4361</v>
      </c>
      <c r="F2008">
        <v>1</v>
      </c>
      <c r="G2008">
        <v>26</v>
      </c>
      <c r="H2008" t="s">
        <v>1819</v>
      </c>
      <c r="I2008" t="s">
        <v>1152</v>
      </c>
      <c r="J2008">
        <v>26</v>
      </c>
      <c r="K2008">
        <v>552843.98</v>
      </c>
      <c r="L2008" t="s">
        <v>1722</v>
      </c>
      <c r="M2008">
        <v>21263.23</v>
      </c>
      <c r="N2008" t="s">
        <v>4362</v>
      </c>
      <c r="O2008" t="s">
        <v>4356</v>
      </c>
    </row>
    <row r="2009" spans="1:15" x14ac:dyDescent="0.2">
      <c r="A2009">
        <v>99</v>
      </c>
      <c r="B2009" t="s">
        <v>2117</v>
      </c>
      <c r="C2009" t="s">
        <v>1664</v>
      </c>
      <c r="D2009" t="s">
        <v>1762</v>
      </c>
      <c r="E2009" t="s">
        <v>4366</v>
      </c>
      <c r="F2009">
        <v>1</v>
      </c>
      <c r="G2009">
        <v>5</v>
      </c>
      <c r="H2009" t="s">
        <v>1819</v>
      </c>
      <c r="I2009" t="s">
        <v>1152</v>
      </c>
      <c r="J2009">
        <v>5</v>
      </c>
      <c r="K2009">
        <v>106316.15</v>
      </c>
      <c r="L2009" t="s">
        <v>1572</v>
      </c>
      <c r="M2009">
        <v>21263.23</v>
      </c>
      <c r="N2009" t="s">
        <v>4367</v>
      </c>
      <c r="O2009" t="s">
        <v>4365</v>
      </c>
    </row>
    <row r="2010" spans="1:15" x14ac:dyDescent="0.2">
      <c r="A2010">
        <v>99</v>
      </c>
      <c r="B2010" t="s">
        <v>2117</v>
      </c>
      <c r="C2010" t="s">
        <v>1664</v>
      </c>
      <c r="D2010" t="s">
        <v>165</v>
      </c>
      <c r="E2010" t="s">
        <v>4363</v>
      </c>
      <c r="F2010">
        <v>1</v>
      </c>
      <c r="G2010">
        <v>20</v>
      </c>
      <c r="H2010" t="s">
        <v>1819</v>
      </c>
      <c r="I2010" t="s">
        <v>1152</v>
      </c>
      <c r="J2010">
        <v>20</v>
      </c>
      <c r="K2010">
        <v>425264.6</v>
      </c>
      <c r="L2010" t="s">
        <v>1572</v>
      </c>
      <c r="M2010">
        <v>21263.23</v>
      </c>
      <c r="N2010" t="s">
        <v>4364</v>
      </c>
      <c r="O2010" t="s">
        <v>4365</v>
      </c>
    </row>
    <row r="2011" spans="1:15" x14ac:dyDescent="0.2">
      <c r="A2011">
        <v>99</v>
      </c>
      <c r="B2011" t="s">
        <v>2117</v>
      </c>
      <c r="C2011" t="s">
        <v>1668</v>
      </c>
      <c r="D2011" t="s">
        <v>1765</v>
      </c>
      <c r="E2011" t="s">
        <v>451</v>
      </c>
      <c r="F2011">
        <v>1</v>
      </c>
      <c r="G2011">
        <v>1.6931</v>
      </c>
      <c r="H2011" t="s">
        <v>1819</v>
      </c>
      <c r="I2011" t="s">
        <v>1152</v>
      </c>
      <c r="J2011">
        <v>1.6931</v>
      </c>
      <c r="K2011">
        <v>36000.774712999999</v>
      </c>
      <c r="L2011" t="s">
        <v>1432</v>
      </c>
      <c r="M2011">
        <v>21263.23</v>
      </c>
      <c r="N2011" t="s">
        <v>4369</v>
      </c>
      <c r="O2011" t="s">
        <v>60</v>
      </c>
    </row>
    <row r="2012" spans="1:15" x14ac:dyDescent="0.2">
      <c r="A2012">
        <v>99</v>
      </c>
      <c r="B2012" t="s">
        <v>2117</v>
      </c>
      <c r="C2012" t="s">
        <v>1668</v>
      </c>
      <c r="D2012" t="s">
        <v>167</v>
      </c>
      <c r="E2012" t="s">
        <v>829</v>
      </c>
      <c r="F2012">
        <v>1</v>
      </c>
      <c r="G2012">
        <v>6.7723000000000004</v>
      </c>
      <c r="H2012" t="s">
        <v>1819</v>
      </c>
      <c r="I2012" t="s">
        <v>1152</v>
      </c>
      <c r="J2012">
        <v>6.7723000000000004</v>
      </c>
      <c r="K2012">
        <v>144000.97252899999</v>
      </c>
      <c r="L2012" t="s">
        <v>1432</v>
      </c>
      <c r="M2012">
        <v>21263.23</v>
      </c>
      <c r="N2012" t="s">
        <v>4368</v>
      </c>
      <c r="O2012" t="s">
        <v>60</v>
      </c>
    </row>
    <row r="2013" spans="1:15" x14ac:dyDescent="0.2">
      <c r="A2013">
        <v>99</v>
      </c>
      <c r="B2013" t="s">
        <v>2117</v>
      </c>
      <c r="C2013" t="s">
        <v>479</v>
      </c>
      <c r="D2013" t="s">
        <v>1458</v>
      </c>
      <c r="E2013" t="s">
        <v>4372</v>
      </c>
      <c r="F2013">
        <v>0</v>
      </c>
      <c r="G2013">
        <v>60</v>
      </c>
      <c r="H2013" t="s">
        <v>1819</v>
      </c>
      <c r="I2013" t="s">
        <v>1819</v>
      </c>
      <c r="J2013">
        <v>0</v>
      </c>
      <c r="K2013">
        <v>0</v>
      </c>
      <c r="L2013" t="s">
        <v>1942</v>
      </c>
      <c r="M2013">
        <v>1368</v>
      </c>
      <c r="N2013" t="s">
        <v>4373</v>
      </c>
      <c r="O2013" t="s">
        <v>321</v>
      </c>
    </row>
    <row r="2014" spans="1:15" x14ac:dyDescent="0.2">
      <c r="A2014">
        <v>99</v>
      </c>
      <c r="B2014" t="s">
        <v>2117</v>
      </c>
      <c r="C2014" t="s">
        <v>479</v>
      </c>
      <c r="D2014" t="s">
        <v>1454</v>
      </c>
      <c r="E2014" t="s">
        <v>4370</v>
      </c>
      <c r="F2014">
        <v>0</v>
      </c>
      <c r="G2014">
        <v>399</v>
      </c>
      <c r="H2014" t="s">
        <v>1819</v>
      </c>
      <c r="I2014" t="s">
        <v>1819</v>
      </c>
      <c r="J2014">
        <v>0</v>
      </c>
      <c r="K2014">
        <v>0</v>
      </c>
      <c r="L2014" t="s">
        <v>1942</v>
      </c>
      <c r="M2014">
        <v>1368</v>
      </c>
      <c r="N2014" t="s">
        <v>4371</v>
      </c>
      <c r="O2014" t="s">
        <v>321</v>
      </c>
    </row>
    <row r="2015" spans="1:15" x14ac:dyDescent="0.2">
      <c r="A2015">
        <v>99</v>
      </c>
      <c r="B2015" t="s">
        <v>2117</v>
      </c>
      <c r="C2015" t="s">
        <v>479</v>
      </c>
      <c r="D2015" t="s">
        <v>1452</v>
      </c>
      <c r="E2015" t="s">
        <v>4374</v>
      </c>
      <c r="F2015">
        <v>0</v>
      </c>
      <c r="G2015">
        <v>99</v>
      </c>
      <c r="H2015" t="s">
        <v>1152</v>
      </c>
      <c r="I2015" t="s">
        <v>1819</v>
      </c>
      <c r="J2015">
        <v>0</v>
      </c>
      <c r="K2015">
        <v>0</v>
      </c>
      <c r="L2015" t="s">
        <v>1942</v>
      </c>
      <c r="M2015">
        <v>1368</v>
      </c>
      <c r="N2015" t="s">
        <v>4375</v>
      </c>
      <c r="O2015" t="s">
        <v>321</v>
      </c>
    </row>
    <row r="2016" spans="1:15" x14ac:dyDescent="0.2">
      <c r="A2016">
        <v>99</v>
      </c>
      <c r="B2016" t="s">
        <v>2117</v>
      </c>
      <c r="C2016" t="s">
        <v>481</v>
      </c>
      <c r="D2016" t="s">
        <v>1466</v>
      </c>
      <c r="E2016" t="s">
        <v>4378</v>
      </c>
      <c r="F2016">
        <v>1</v>
      </c>
      <c r="G2016">
        <v>166250</v>
      </c>
      <c r="H2016" t="s">
        <v>1819</v>
      </c>
      <c r="I2016" t="s">
        <v>1819</v>
      </c>
      <c r="J2016">
        <v>166250</v>
      </c>
      <c r="K2016">
        <v>332500</v>
      </c>
      <c r="L2016" t="s">
        <v>1945</v>
      </c>
      <c r="M2016">
        <v>2</v>
      </c>
      <c r="N2016" t="s">
        <v>4379</v>
      </c>
      <c r="O2016" t="s">
        <v>1868</v>
      </c>
    </row>
    <row r="2017" spans="1:15" x14ac:dyDescent="0.2">
      <c r="A2017">
        <v>99</v>
      </c>
      <c r="B2017" t="s">
        <v>2117</v>
      </c>
      <c r="C2017" t="s">
        <v>481</v>
      </c>
      <c r="D2017" t="s">
        <v>1462</v>
      </c>
      <c r="E2017" t="s">
        <v>4376</v>
      </c>
      <c r="F2017">
        <v>1</v>
      </c>
      <c r="G2017">
        <v>71250</v>
      </c>
      <c r="H2017" t="s">
        <v>1152</v>
      </c>
      <c r="I2017" t="s">
        <v>1819</v>
      </c>
      <c r="J2017">
        <v>71250</v>
      </c>
      <c r="K2017">
        <v>142500</v>
      </c>
      <c r="L2017" t="s">
        <v>1945</v>
      </c>
      <c r="M2017">
        <v>2</v>
      </c>
      <c r="N2017" t="s">
        <v>4377</v>
      </c>
      <c r="O2017" t="s">
        <v>1868</v>
      </c>
    </row>
    <row r="2018" spans="1:15" x14ac:dyDescent="0.2">
      <c r="A2018">
        <v>99</v>
      </c>
      <c r="B2018" t="s">
        <v>2117</v>
      </c>
      <c r="C2018" t="s">
        <v>383</v>
      </c>
      <c r="D2018" t="s">
        <v>1450</v>
      </c>
      <c r="E2018" t="s">
        <v>559</v>
      </c>
      <c r="F2018">
        <v>1</v>
      </c>
      <c r="G2018">
        <v>20000</v>
      </c>
      <c r="H2018" t="s">
        <v>1819</v>
      </c>
      <c r="I2018" t="s">
        <v>1819</v>
      </c>
      <c r="J2018">
        <v>20000</v>
      </c>
      <c r="K2018">
        <v>20000</v>
      </c>
      <c r="L2018" t="s">
        <v>1822</v>
      </c>
      <c r="M2018">
        <v>1</v>
      </c>
      <c r="N2018" t="s">
        <v>4382</v>
      </c>
      <c r="O2018" t="s">
        <v>465</v>
      </c>
    </row>
    <row r="2019" spans="1:15" x14ac:dyDescent="0.2">
      <c r="A2019">
        <v>99</v>
      </c>
      <c r="B2019" t="s">
        <v>2117</v>
      </c>
      <c r="C2019" t="s">
        <v>383</v>
      </c>
      <c r="D2019" t="s">
        <v>1448</v>
      </c>
      <c r="E2019" t="s">
        <v>365</v>
      </c>
      <c r="F2019">
        <v>1</v>
      </c>
      <c r="G2019">
        <v>1150000</v>
      </c>
      <c r="H2019" t="s">
        <v>1819</v>
      </c>
      <c r="I2019" t="s">
        <v>1819</v>
      </c>
      <c r="J2019">
        <v>1150000</v>
      </c>
      <c r="K2019">
        <v>1150000</v>
      </c>
      <c r="L2019" t="s">
        <v>1822</v>
      </c>
      <c r="M2019">
        <v>1</v>
      </c>
      <c r="N2019" t="s">
        <v>4381</v>
      </c>
      <c r="O2019" t="s">
        <v>465</v>
      </c>
    </row>
    <row r="2020" spans="1:15" x14ac:dyDescent="0.2">
      <c r="A2020">
        <v>99</v>
      </c>
      <c r="B2020" t="s">
        <v>2117</v>
      </c>
      <c r="C2020" t="s">
        <v>383</v>
      </c>
      <c r="D2020" t="s">
        <v>1446</v>
      </c>
      <c r="E2020" t="s">
        <v>454</v>
      </c>
      <c r="F2020">
        <v>1</v>
      </c>
      <c r="G2020">
        <v>10000</v>
      </c>
      <c r="H2020" t="s">
        <v>1819</v>
      </c>
      <c r="I2020" t="s">
        <v>1819</v>
      </c>
      <c r="J2020">
        <v>10000</v>
      </c>
      <c r="K2020">
        <v>10000</v>
      </c>
      <c r="L2020" t="s">
        <v>1822</v>
      </c>
      <c r="M2020">
        <v>1</v>
      </c>
      <c r="N2020" t="s">
        <v>4380</v>
      </c>
      <c r="O2020" t="s">
        <v>465</v>
      </c>
    </row>
    <row r="2021" spans="1:15" x14ac:dyDescent="0.2">
      <c r="A2021">
        <v>99</v>
      </c>
      <c r="B2021" t="s">
        <v>2117</v>
      </c>
      <c r="C2021" t="s">
        <v>271</v>
      </c>
      <c r="D2021" t="s">
        <v>1518</v>
      </c>
      <c r="E2021" t="s">
        <v>4384</v>
      </c>
      <c r="F2021">
        <v>1</v>
      </c>
      <c r="G2021">
        <v>3000</v>
      </c>
      <c r="H2021" t="s">
        <v>1819</v>
      </c>
      <c r="I2021" t="s">
        <v>1819</v>
      </c>
      <c r="J2021">
        <v>3000</v>
      </c>
      <c r="K2021">
        <v>3000</v>
      </c>
      <c r="L2021" t="s">
        <v>1680</v>
      </c>
      <c r="M2021">
        <v>1</v>
      </c>
      <c r="N2021" t="s">
        <v>4385</v>
      </c>
      <c r="O2021" t="s">
        <v>1965</v>
      </c>
    </row>
    <row r="2022" spans="1:15" x14ac:dyDescent="0.2">
      <c r="A2022">
        <v>99</v>
      </c>
      <c r="B2022" t="s">
        <v>2117</v>
      </c>
      <c r="C2022" t="s">
        <v>271</v>
      </c>
      <c r="D2022" t="s">
        <v>1471</v>
      </c>
      <c r="E2022" t="s">
        <v>495</v>
      </c>
      <c r="F2022">
        <v>1</v>
      </c>
      <c r="G2022">
        <v>7000</v>
      </c>
      <c r="H2022" t="s">
        <v>153</v>
      </c>
      <c r="I2022" t="s">
        <v>1819</v>
      </c>
      <c r="J2022">
        <v>7000</v>
      </c>
      <c r="K2022">
        <v>7000</v>
      </c>
      <c r="L2022" t="s">
        <v>1680</v>
      </c>
      <c r="M2022">
        <v>1</v>
      </c>
      <c r="N2022" t="s">
        <v>4383</v>
      </c>
      <c r="O2022" t="s">
        <v>1965</v>
      </c>
    </row>
    <row r="2023" spans="1:15" x14ac:dyDescent="0.2">
      <c r="A2023">
        <v>99</v>
      </c>
      <c r="B2023" t="s">
        <v>2117</v>
      </c>
      <c r="C2023" t="s">
        <v>271</v>
      </c>
      <c r="D2023" t="s">
        <v>1520</v>
      </c>
      <c r="E2023" t="s">
        <v>330</v>
      </c>
      <c r="F2023">
        <v>1</v>
      </c>
      <c r="G2023">
        <v>2000</v>
      </c>
      <c r="H2023" t="s">
        <v>153</v>
      </c>
      <c r="I2023" t="s">
        <v>1819</v>
      </c>
      <c r="J2023">
        <v>2000</v>
      </c>
      <c r="K2023">
        <v>2000</v>
      </c>
      <c r="L2023" t="s">
        <v>1680</v>
      </c>
      <c r="M2023">
        <v>1</v>
      </c>
      <c r="N2023" t="s">
        <v>4386</v>
      </c>
      <c r="O2023" t="s">
        <v>1965</v>
      </c>
    </row>
    <row r="2024" spans="1:15" x14ac:dyDescent="0.2">
      <c r="A2024">
        <v>99</v>
      </c>
      <c r="B2024" t="s">
        <v>2117</v>
      </c>
      <c r="C2024" t="s">
        <v>362</v>
      </c>
      <c r="D2024" t="s">
        <v>1312</v>
      </c>
      <c r="E2024" t="s">
        <v>1743</v>
      </c>
      <c r="F2024">
        <v>1</v>
      </c>
      <c r="G2024">
        <v>361700</v>
      </c>
      <c r="H2024" t="s">
        <v>1819</v>
      </c>
      <c r="I2024" t="s">
        <v>1819</v>
      </c>
      <c r="J2024">
        <v>361700</v>
      </c>
      <c r="K2024">
        <v>1085100</v>
      </c>
      <c r="L2024" t="s">
        <v>1877</v>
      </c>
      <c r="M2024">
        <v>3</v>
      </c>
      <c r="N2024" t="s">
        <v>4387</v>
      </c>
      <c r="O2024" t="s">
        <v>1113</v>
      </c>
    </row>
    <row r="2025" spans="1:15" x14ac:dyDescent="0.2">
      <c r="A2025">
        <v>99</v>
      </c>
      <c r="B2025" t="s">
        <v>2117</v>
      </c>
      <c r="C2025" t="s">
        <v>362</v>
      </c>
      <c r="D2025" t="s">
        <v>1314</v>
      </c>
      <c r="E2025" t="s">
        <v>1582</v>
      </c>
      <c r="F2025">
        <v>1</v>
      </c>
      <c r="G2025">
        <v>14500</v>
      </c>
      <c r="H2025" t="s">
        <v>1819</v>
      </c>
      <c r="I2025" t="s">
        <v>1819</v>
      </c>
      <c r="J2025">
        <v>14500</v>
      </c>
      <c r="K2025">
        <v>43500</v>
      </c>
      <c r="L2025" t="s">
        <v>1877</v>
      </c>
      <c r="M2025">
        <v>3</v>
      </c>
      <c r="N2025" t="s">
        <v>4388</v>
      </c>
      <c r="O2025" t="s">
        <v>1113</v>
      </c>
    </row>
    <row r="2026" spans="1:15" x14ac:dyDescent="0.2">
      <c r="A2026">
        <v>99</v>
      </c>
      <c r="B2026" t="s">
        <v>2117</v>
      </c>
      <c r="C2026" t="s">
        <v>247</v>
      </c>
      <c r="D2026" t="s">
        <v>1871</v>
      </c>
      <c r="E2026" t="s">
        <v>4390</v>
      </c>
      <c r="F2026">
        <v>1</v>
      </c>
      <c r="G2026">
        <v>220</v>
      </c>
      <c r="H2026" t="s">
        <v>1819</v>
      </c>
      <c r="I2026" t="s">
        <v>1152</v>
      </c>
      <c r="J2026">
        <v>220</v>
      </c>
      <c r="K2026">
        <v>962075.4</v>
      </c>
      <c r="L2026" t="s">
        <v>1770</v>
      </c>
      <c r="M2026">
        <v>4373.07</v>
      </c>
      <c r="N2026" t="s">
        <v>4391</v>
      </c>
      <c r="O2026" t="s">
        <v>55</v>
      </c>
    </row>
    <row r="2027" spans="1:15" x14ac:dyDescent="0.2">
      <c r="A2027">
        <v>99</v>
      </c>
      <c r="B2027" t="s">
        <v>2117</v>
      </c>
      <c r="C2027" t="s">
        <v>247</v>
      </c>
      <c r="D2027" t="s">
        <v>1788</v>
      </c>
      <c r="E2027" t="s">
        <v>99</v>
      </c>
      <c r="F2027">
        <v>1</v>
      </c>
      <c r="G2027">
        <v>380</v>
      </c>
      <c r="H2027" t="s">
        <v>1152</v>
      </c>
      <c r="I2027" t="s">
        <v>1152</v>
      </c>
      <c r="J2027">
        <v>380</v>
      </c>
      <c r="K2027">
        <v>1661766.6</v>
      </c>
      <c r="L2027" t="s">
        <v>1770</v>
      </c>
      <c r="M2027">
        <v>4373.07</v>
      </c>
      <c r="N2027" t="s">
        <v>4389</v>
      </c>
      <c r="O2027" t="s">
        <v>55</v>
      </c>
    </row>
    <row r="2028" spans="1:15" x14ac:dyDescent="0.2">
      <c r="A2028">
        <v>99</v>
      </c>
      <c r="B2028" t="s">
        <v>2117</v>
      </c>
      <c r="C2028" t="s">
        <v>1975</v>
      </c>
      <c r="D2028" t="s">
        <v>1496</v>
      </c>
      <c r="E2028" t="s">
        <v>1198</v>
      </c>
      <c r="F2028">
        <v>1</v>
      </c>
      <c r="G2028">
        <v>194.55</v>
      </c>
      <c r="H2028" t="s">
        <v>1152</v>
      </c>
      <c r="I2028" t="s">
        <v>1052</v>
      </c>
      <c r="J2028">
        <v>194.55</v>
      </c>
      <c r="K2028">
        <v>554700.96</v>
      </c>
      <c r="L2028" t="s">
        <v>1336</v>
      </c>
      <c r="M2028">
        <v>2851.2</v>
      </c>
      <c r="N2028" t="s">
        <v>4392</v>
      </c>
      <c r="O2028" t="s">
        <v>4393</v>
      </c>
    </row>
    <row r="2029" spans="1:15" x14ac:dyDescent="0.2">
      <c r="A2029">
        <v>99</v>
      </c>
      <c r="B2029" t="s">
        <v>2117</v>
      </c>
      <c r="C2029" t="s">
        <v>1975</v>
      </c>
      <c r="D2029" t="s">
        <v>1876</v>
      </c>
      <c r="E2029" t="s">
        <v>4394</v>
      </c>
      <c r="F2029">
        <v>1</v>
      </c>
      <c r="G2029">
        <v>17.72</v>
      </c>
      <c r="H2029" t="s">
        <v>1819</v>
      </c>
      <c r="I2029" t="s">
        <v>1052</v>
      </c>
      <c r="J2029">
        <v>17.72</v>
      </c>
      <c r="K2029">
        <v>50523.264000000003</v>
      </c>
      <c r="L2029" t="s">
        <v>1336</v>
      </c>
      <c r="M2029">
        <v>2851.2</v>
      </c>
      <c r="N2029" t="s">
        <v>4395</v>
      </c>
      <c r="O2029" t="s">
        <v>4393</v>
      </c>
    </row>
    <row r="2030" spans="1:15" x14ac:dyDescent="0.2">
      <c r="A2030">
        <v>99</v>
      </c>
      <c r="B2030" t="s">
        <v>2117</v>
      </c>
      <c r="C2030" t="s">
        <v>1866</v>
      </c>
      <c r="D2030" t="s">
        <v>1389</v>
      </c>
      <c r="E2030" t="s">
        <v>1036</v>
      </c>
      <c r="F2030">
        <v>1</v>
      </c>
      <c r="G2030">
        <v>197916.35</v>
      </c>
      <c r="H2030" t="s">
        <v>1781</v>
      </c>
      <c r="I2030" t="s">
        <v>1781</v>
      </c>
      <c r="J2030">
        <v>197916.35</v>
      </c>
      <c r="K2030">
        <v>1583330.8</v>
      </c>
      <c r="L2030" t="s">
        <v>1095</v>
      </c>
      <c r="M2030">
        <v>8</v>
      </c>
      <c r="N2030" t="s">
        <v>4396</v>
      </c>
      <c r="O2030" t="s">
        <v>4397</v>
      </c>
    </row>
    <row r="2031" spans="1:15" x14ac:dyDescent="0.2">
      <c r="A2031">
        <v>99</v>
      </c>
      <c r="B2031" t="s">
        <v>2117</v>
      </c>
      <c r="C2031" t="s">
        <v>1867</v>
      </c>
      <c r="D2031" t="s">
        <v>1404</v>
      </c>
      <c r="E2031" t="s">
        <v>4398</v>
      </c>
      <c r="F2031">
        <v>1</v>
      </c>
      <c r="G2031">
        <v>60000</v>
      </c>
      <c r="H2031" t="s">
        <v>1781</v>
      </c>
      <c r="I2031" t="s">
        <v>1819</v>
      </c>
      <c r="J2031">
        <v>60000</v>
      </c>
      <c r="K2031">
        <v>60000</v>
      </c>
      <c r="L2031" t="s">
        <v>1098</v>
      </c>
      <c r="M2031">
        <v>1</v>
      </c>
      <c r="N2031" t="s">
        <v>4399</v>
      </c>
      <c r="O2031" t="s">
        <v>531</v>
      </c>
    </row>
    <row r="2032" spans="1:15" x14ac:dyDescent="0.2">
      <c r="A2032">
        <v>99</v>
      </c>
      <c r="B2032" t="s">
        <v>2117</v>
      </c>
      <c r="C2032" t="s">
        <v>1753</v>
      </c>
      <c r="D2032" t="s">
        <v>1382</v>
      </c>
      <c r="E2032" t="s">
        <v>751</v>
      </c>
      <c r="F2032">
        <v>1</v>
      </c>
      <c r="G2032">
        <v>110</v>
      </c>
      <c r="H2032" t="s">
        <v>1819</v>
      </c>
      <c r="I2032" t="s">
        <v>1819</v>
      </c>
      <c r="J2032">
        <v>110</v>
      </c>
      <c r="K2032">
        <v>4070</v>
      </c>
      <c r="L2032" t="s">
        <v>952</v>
      </c>
      <c r="M2032">
        <v>37</v>
      </c>
      <c r="N2032" t="s">
        <v>4400</v>
      </c>
      <c r="O2032" t="s">
        <v>585</v>
      </c>
    </row>
    <row r="2033" spans="1:15" x14ac:dyDescent="0.2">
      <c r="A2033">
        <v>99</v>
      </c>
      <c r="B2033" t="s">
        <v>2117</v>
      </c>
      <c r="C2033" t="s">
        <v>1604</v>
      </c>
      <c r="D2033" t="s">
        <v>1453</v>
      </c>
      <c r="E2033" t="s">
        <v>4401</v>
      </c>
      <c r="F2033">
        <v>1</v>
      </c>
      <c r="G2033">
        <v>10</v>
      </c>
      <c r="H2033" t="s">
        <v>1819</v>
      </c>
      <c r="I2033" t="s">
        <v>1152</v>
      </c>
      <c r="J2033">
        <v>10</v>
      </c>
      <c r="K2033">
        <v>212632.3</v>
      </c>
      <c r="L2033" t="s">
        <v>1850</v>
      </c>
      <c r="M2033">
        <v>21263.23</v>
      </c>
      <c r="N2033" t="s">
        <v>4402</v>
      </c>
      <c r="O2033" t="s">
        <v>1377</v>
      </c>
    </row>
    <row r="2034" spans="1:15" x14ac:dyDescent="0.2">
      <c r="A2034">
        <v>99</v>
      </c>
      <c r="B2034" t="s">
        <v>2117</v>
      </c>
      <c r="C2034" t="s">
        <v>1606</v>
      </c>
      <c r="D2034" t="s">
        <v>1457</v>
      </c>
      <c r="E2034" t="s">
        <v>4403</v>
      </c>
      <c r="F2034">
        <v>1</v>
      </c>
      <c r="G2034">
        <v>15</v>
      </c>
      <c r="H2034" t="s">
        <v>1819</v>
      </c>
      <c r="I2034" t="s">
        <v>1152</v>
      </c>
      <c r="J2034">
        <v>15</v>
      </c>
      <c r="K2034">
        <v>318948.45</v>
      </c>
      <c r="L2034" t="s">
        <v>1853</v>
      </c>
      <c r="M2034">
        <v>21263.23</v>
      </c>
      <c r="N2034" t="s">
        <v>4404</v>
      </c>
      <c r="O2034" t="s">
        <v>477</v>
      </c>
    </row>
    <row r="2035" spans="1:15" x14ac:dyDescent="0.2">
      <c r="A2035">
        <v>99</v>
      </c>
      <c r="B2035" t="s">
        <v>2117</v>
      </c>
      <c r="C2035" t="s">
        <v>1608</v>
      </c>
      <c r="D2035" t="s">
        <v>1461</v>
      </c>
      <c r="E2035" t="s">
        <v>4405</v>
      </c>
      <c r="F2035">
        <v>1</v>
      </c>
      <c r="G2035">
        <v>5</v>
      </c>
      <c r="H2035" t="s">
        <v>1819</v>
      </c>
      <c r="I2035" t="s">
        <v>1152</v>
      </c>
      <c r="J2035">
        <v>5</v>
      </c>
      <c r="K2035">
        <v>106316.15</v>
      </c>
      <c r="L2035" t="s">
        <v>1858</v>
      </c>
      <c r="M2035">
        <v>21263.23</v>
      </c>
      <c r="N2035" t="s">
        <v>4406</v>
      </c>
      <c r="O2035" t="s">
        <v>1411</v>
      </c>
    </row>
    <row r="2036" spans="1:15" x14ac:dyDescent="0.2">
      <c r="A2036">
        <v>99</v>
      </c>
      <c r="B2036" t="s">
        <v>2117</v>
      </c>
      <c r="C2036" t="s">
        <v>1329</v>
      </c>
      <c r="D2036" t="s">
        <v>1399</v>
      </c>
      <c r="E2036" t="s">
        <v>4407</v>
      </c>
      <c r="F2036">
        <v>1</v>
      </c>
      <c r="G2036">
        <v>924.7002</v>
      </c>
      <c r="H2036" t="s">
        <v>1819</v>
      </c>
      <c r="I2036" t="s">
        <v>1152</v>
      </c>
      <c r="J2036">
        <v>924.7002</v>
      </c>
      <c r="K2036">
        <v>55482.012000000002</v>
      </c>
      <c r="L2036" t="s">
        <v>1435</v>
      </c>
      <c r="M2036">
        <v>60</v>
      </c>
      <c r="N2036" t="s">
        <v>4408</v>
      </c>
      <c r="O2036" t="s">
        <v>4409</v>
      </c>
    </row>
    <row r="2037" spans="1:15" x14ac:dyDescent="0.2">
      <c r="A2037">
        <v>99</v>
      </c>
      <c r="B2037" t="s">
        <v>2117</v>
      </c>
      <c r="C2037" t="s">
        <v>1342</v>
      </c>
      <c r="D2037" t="s">
        <v>1449</v>
      </c>
      <c r="E2037" t="s">
        <v>163</v>
      </c>
      <c r="F2037">
        <v>1</v>
      </c>
      <c r="G2037">
        <v>1512</v>
      </c>
      <c r="H2037" t="s">
        <v>1819</v>
      </c>
      <c r="I2037" t="s">
        <v>1819</v>
      </c>
      <c r="J2037">
        <v>1512</v>
      </c>
      <c r="K2037">
        <v>362880</v>
      </c>
      <c r="L2037" t="s">
        <v>1177</v>
      </c>
      <c r="M2037">
        <v>240</v>
      </c>
      <c r="N2037" t="s">
        <v>4413</v>
      </c>
      <c r="O2037" t="s">
        <v>4411</v>
      </c>
    </row>
    <row r="2038" spans="1:15" x14ac:dyDescent="0.2">
      <c r="A2038">
        <v>99</v>
      </c>
      <c r="B2038" t="s">
        <v>2117</v>
      </c>
      <c r="C2038" t="s">
        <v>1342</v>
      </c>
      <c r="D2038" t="s">
        <v>1428</v>
      </c>
      <c r="E2038" t="s">
        <v>1283</v>
      </c>
      <c r="F2038">
        <v>1</v>
      </c>
      <c r="G2038">
        <v>2635</v>
      </c>
      <c r="H2038" t="s">
        <v>1819</v>
      </c>
      <c r="I2038" t="s">
        <v>1819</v>
      </c>
      <c r="J2038">
        <v>2635</v>
      </c>
      <c r="K2038">
        <v>632400</v>
      </c>
      <c r="L2038" t="s">
        <v>1177</v>
      </c>
      <c r="M2038">
        <v>240</v>
      </c>
      <c r="N2038" t="s">
        <v>4410</v>
      </c>
      <c r="O2038" t="s">
        <v>4411</v>
      </c>
    </row>
    <row r="2039" spans="1:15" x14ac:dyDescent="0.2">
      <c r="A2039">
        <v>99</v>
      </c>
      <c r="B2039" t="s">
        <v>2117</v>
      </c>
      <c r="C2039" t="s">
        <v>1342</v>
      </c>
      <c r="D2039" t="s">
        <v>1407</v>
      </c>
      <c r="E2039" t="s">
        <v>855</v>
      </c>
      <c r="F2039">
        <v>1</v>
      </c>
      <c r="G2039">
        <v>1853</v>
      </c>
      <c r="H2039" t="s">
        <v>1819</v>
      </c>
      <c r="I2039" t="s">
        <v>1819</v>
      </c>
      <c r="J2039">
        <v>1853</v>
      </c>
      <c r="K2039">
        <v>444720</v>
      </c>
      <c r="L2039" t="s">
        <v>1177</v>
      </c>
      <c r="M2039">
        <v>240</v>
      </c>
      <c r="N2039" t="s">
        <v>4412</v>
      </c>
      <c r="O2039" t="s">
        <v>4411</v>
      </c>
    </row>
    <row r="2040" spans="1:15" x14ac:dyDescent="0.2">
      <c r="A2040">
        <v>99</v>
      </c>
      <c r="B2040" t="s">
        <v>2117</v>
      </c>
      <c r="C2040" t="s">
        <v>1388</v>
      </c>
      <c r="D2040" t="s">
        <v>1465</v>
      </c>
      <c r="E2040" t="s">
        <v>1632</v>
      </c>
      <c r="F2040">
        <v>1</v>
      </c>
      <c r="G2040">
        <v>1000</v>
      </c>
      <c r="H2040" t="s">
        <v>1819</v>
      </c>
      <c r="I2040" t="s">
        <v>1819</v>
      </c>
      <c r="J2040">
        <v>1000</v>
      </c>
      <c r="K2040">
        <v>1200000</v>
      </c>
      <c r="L2040" t="s">
        <v>5267</v>
      </c>
      <c r="M2040">
        <v>1200</v>
      </c>
      <c r="N2040" t="s">
        <v>4414</v>
      </c>
      <c r="O2040" t="s">
        <v>806</v>
      </c>
    </row>
    <row r="2041" spans="1:15" x14ac:dyDescent="0.2">
      <c r="A2041">
        <v>99</v>
      </c>
      <c r="B2041" t="s">
        <v>2117</v>
      </c>
      <c r="C2041" t="s">
        <v>205</v>
      </c>
      <c r="D2041" t="s">
        <v>1258</v>
      </c>
      <c r="E2041" t="s">
        <v>1526</v>
      </c>
      <c r="F2041">
        <v>2.8199999999999999E-2</v>
      </c>
      <c r="G2041">
        <v>148</v>
      </c>
      <c r="H2041" t="s">
        <v>1153</v>
      </c>
      <c r="I2041" t="s">
        <v>1152</v>
      </c>
      <c r="J2041">
        <v>4.1736000000000004</v>
      </c>
      <c r="K2041">
        <v>22980.384168</v>
      </c>
      <c r="L2041" t="s">
        <v>1537</v>
      </c>
      <c r="M2041">
        <v>5506.13</v>
      </c>
      <c r="N2041" t="s">
        <v>4418</v>
      </c>
      <c r="O2041" t="s">
        <v>4416</v>
      </c>
    </row>
    <row r="2042" spans="1:15" x14ac:dyDescent="0.2">
      <c r="A2042">
        <v>99</v>
      </c>
      <c r="B2042" t="s">
        <v>2117</v>
      </c>
      <c r="C2042" t="s">
        <v>205</v>
      </c>
      <c r="D2042" t="s">
        <v>1258</v>
      </c>
      <c r="E2042" t="s">
        <v>1526</v>
      </c>
      <c r="F2042">
        <v>2.8199999999999999E-2</v>
      </c>
      <c r="G2042">
        <v>148</v>
      </c>
      <c r="H2042" t="s">
        <v>1153</v>
      </c>
      <c r="I2042" t="s">
        <v>1152</v>
      </c>
      <c r="J2042">
        <v>4.1736000000000004</v>
      </c>
      <c r="K2042">
        <v>559.22066400000006</v>
      </c>
      <c r="L2042" t="s">
        <v>787</v>
      </c>
      <c r="M2042">
        <v>133.99</v>
      </c>
      <c r="N2042" t="s">
        <v>4418</v>
      </c>
      <c r="O2042" t="s">
        <v>4416</v>
      </c>
    </row>
    <row r="2043" spans="1:15" x14ac:dyDescent="0.2">
      <c r="A2043">
        <v>99</v>
      </c>
      <c r="B2043" t="s">
        <v>2117</v>
      </c>
      <c r="C2043" t="s">
        <v>205</v>
      </c>
      <c r="D2043" t="s">
        <v>1654</v>
      </c>
      <c r="E2043" t="s">
        <v>1551</v>
      </c>
      <c r="F2043">
        <v>7.2361000000000004</v>
      </c>
      <c r="G2043">
        <v>0.7974</v>
      </c>
      <c r="H2043" t="s">
        <v>1052</v>
      </c>
      <c r="I2043" t="s">
        <v>1152</v>
      </c>
      <c r="J2043">
        <v>5.77006614</v>
      </c>
      <c r="K2043">
        <v>31770.734274999999</v>
      </c>
      <c r="L2043" t="s">
        <v>1537</v>
      </c>
      <c r="M2043">
        <v>5506.13</v>
      </c>
      <c r="N2043" t="s">
        <v>4415</v>
      </c>
      <c r="O2043" t="s">
        <v>4416</v>
      </c>
    </row>
    <row r="2044" spans="1:15" x14ac:dyDescent="0.2">
      <c r="A2044">
        <v>99</v>
      </c>
      <c r="B2044" t="s">
        <v>2117</v>
      </c>
      <c r="C2044" t="s">
        <v>205</v>
      </c>
      <c r="D2044" t="s">
        <v>1654</v>
      </c>
      <c r="E2044" t="s">
        <v>1551</v>
      </c>
      <c r="F2044">
        <v>7.2361000000000004</v>
      </c>
      <c r="G2044">
        <v>0.7974</v>
      </c>
      <c r="H2044" t="s">
        <v>1052</v>
      </c>
      <c r="I2044" t="s">
        <v>1152</v>
      </c>
      <c r="J2044">
        <v>5.77006614</v>
      </c>
      <c r="K2044">
        <v>773.13116200000002</v>
      </c>
      <c r="L2044" t="s">
        <v>787</v>
      </c>
      <c r="M2044">
        <v>133.99</v>
      </c>
      <c r="N2044" t="s">
        <v>4415</v>
      </c>
      <c r="O2044" t="s">
        <v>4416</v>
      </c>
    </row>
    <row r="2045" spans="1:15" x14ac:dyDescent="0.2">
      <c r="A2045">
        <v>99</v>
      </c>
      <c r="B2045" t="s">
        <v>2117</v>
      </c>
      <c r="C2045" t="s">
        <v>205</v>
      </c>
      <c r="D2045" t="s">
        <v>120</v>
      </c>
      <c r="E2045" t="s">
        <v>597</v>
      </c>
      <c r="F2045">
        <v>0</v>
      </c>
      <c r="G2045">
        <v>1.52</v>
      </c>
      <c r="H2045" t="s">
        <v>742</v>
      </c>
      <c r="I2045" t="s">
        <v>1152</v>
      </c>
      <c r="J2045">
        <v>0</v>
      </c>
      <c r="K2045">
        <v>0</v>
      </c>
      <c r="L2045" t="s">
        <v>1537</v>
      </c>
      <c r="M2045">
        <v>5506.13</v>
      </c>
      <c r="N2045" t="s">
        <v>4420</v>
      </c>
      <c r="O2045" t="s">
        <v>4416</v>
      </c>
    </row>
    <row r="2046" spans="1:15" x14ac:dyDescent="0.2">
      <c r="A2046">
        <v>99</v>
      </c>
      <c r="B2046" t="s">
        <v>2117</v>
      </c>
      <c r="C2046" t="s">
        <v>205</v>
      </c>
      <c r="D2046" t="s">
        <v>120</v>
      </c>
      <c r="E2046" t="s">
        <v>597</v>
      </c>
      <c r="F2046">
        <v>0</v>
      </c>
      <c r="G2046">
        <v>1.52</v>
      </c>
      <c r="H2046" t="s">
        <v>742</v>
      </c>
      <c r="I2046" t="s">
        <v>1152</v>
      </c>
      <c r="J2046">
        <v>0</v>
      </c>
      <c r="K2046">
        <v>0</v>
      </c>
      <c r="L2046" t="s">
        <v>787</v>
      </c>
      <c r="M2046">
        <v>133.99</v>
      </c>
      <c r="N2046" t="s">
        <v>4420</v>
      </c>
      <c r="O2046" t="s">
        <v>4416</v>
      </c>
    </row>
    <row r="2047" spans="1:15" x14ac:dyDescent="0.2">
      <c r="A2047">
        <v>99</v>
      </c>
      <c r="B2047" t="s">
        <v>2117</v>
      </c>
      <c r="C2047" t="s">
        <v>205</v>
      </c>
      <c r="D2047" t="s">
        <v>801</v>
      </c>
      <c r="E2047" t="s">
        <v>402</v>
      </c>
      <c r="F2047">
        <v>0</v>
      </c>
      <c r="G2047">
        <v>10.3</v>
      </c>
      <c r="H2047" t="s">
        <v>151</v>
      </c>
      <c r="I2047" t="s">
        <v>1152</v>
      </c>
      <c r="J2047">
        <v>0</v>
      </c>
      <c r="K2047">
        <v>0</v>
      </c>
      <c r="L2047" t="s">
        <v>1537</v>
      </c>
      <c r="M2047">
        <v>5506.13</v>
      </c>
      <c r="N2047" t="s">
        <v>4426</v>
      </c>
      <c r="O2047" t="s">
        <v>4416</v>
      </c>
    </row>
    <row r="2048" spans="1:15" x14ac:dyDescent="0.2">
      <c r="A2048">
        <v>99</v>
      </c>
      <c r="B2048" t="s">
        <v>2117</v>
      </c>
      <c r="C2048" t="s">
        <v>205</v>
      </c>
      <c r="D2048" t="s">
        <v>801</v>
      </c>
      <c r="E2048" t="s">
        <v>402</v>
      </c>
      <c r="F2048">
        <v>0</v>
      </c>
      <c r="G2048">
        <v>10.3</v>
      </c>
      <c r="H2048" t="s">
        <v>151</v>
      </c>
      <c r="I2048" t="s">
        <v>1152</v>
      </c>
      <c r="J2048">
        <v>0</v>
      </c>
      <c r="K2048">
        <v>0</v>
      </c>
      <c r="L2048" t="s">
        <v>787</v>
      </c>
      <c r="M2048">
        <v>133.99</v>
      </c>
      <c r="N2048" t="s">
        <v>4426</v>
      </c>
      <c r="O2048" t="s">
        <v>4416</v>
      </c>
    </row>
    <row r="2049" spans="1:15" x14ac:dyDescent="0.2">
      <c r="A2049">
        <v>99</v>
      </c>
      <c r="B2049" t="s">
        <v>2117</v>
      </c>
      <c r="C2049" t="s">
        <v>205</v>
      </c>
      <c r="D2049" t="s">
        <v>1747</v>
      </c>
      <c r="E2049" t="s">
        <v>1296</v>
      </c>
      <c r="F2049">
        <v>1.04</v>
      </c>
      <c r="G2049">
        <v>1.19</v>
      </c>
      <c r="H2049" t="s">
        <v>1152</v>
      </c>
      <c r="I2049" t="s">
        <v>1152</v>
      </c>
      <c r="J2049">
        <v>1.2376</v>
      </c>
      <c r="K2049">
        <v>6814.3864880000001</v>
      </c>
      <c r="L2049" t="s">
        <v>1537</v>
      </c>
      <c r="M2049">
        <v>5506.13</v>
      </c>
      <c r="N2049" t="s">
        <v>4424</v>
      </c>
      <c r="O2049" t="s">
        <v>4416</v>
      </c>
    </row>
    <row r="2050" spans="1:15" x14ac:dyDescent="0.2">
      <c r="A2050">
        <v>99</v>
      </c>
      <c r="B2050" t="s">
        <v>2117</v>
      </c>
      <c r="C2050" t="s">
        <v>205</v>
      </c>
      <c r="D2050" t="s">
        <v>1747</v>
      </c>
      <c r="E2050" t="s">
        <v>1296</v>
      </c>
      <c r="F2050">
        <v>1.04</v>
      </c>
      <c r="G2050">
        <v>1.19</v>
      </c>
      <c r="H2050" t="s">
        <v>1152</v>
      </c>
      <c r="I2050" t="s">
        <v>1152</v>
      </c>
      <c r="J2050">
        <v>1.2376</v>
      </c>
      <c r="K2050">
        <v>165.82602399999999</v>
      </c>
      <c r="L2050" t="s">
        <v>787</v>
      </c>
      <c r="M2050">
        <v>133.99</v>
      </c>
      <c r="N2050" t="s">
        <v>4424</v>
      </c>
      <c r="O2050" t="s">
        <v>4416</v>
      </c>
    </row>
    <row r="2051" spans="1:15" x14ac:dyDescent="0.2">
      <c r="A2051">
        <v>99</v>
      </c>
      <c r="B2051" t="s">
        <v>2117</v>
      </c>
      <c r="C2051" t="s">
        <v>205</v>
      </c>
      <c r="D2051" t="s">
        <v>66</v>
      </c>
      <c r="E2051" t="s">
        <v>617</v>
      </c>
      <c r="F2051">
        <v>0</v>
      </c>
      <c r="G2051">
        <v>5.45</v>
      </c>
      <c r="H2051" t="s">
        <v>764</v>
      </c>
      <c r="I2051" t="s">
        <v>1152</v>
      </c>
      <c r="J2051">
        <v>0</v>
      </c>
      <c r="K2051">
        <v>0</v>
      </c>
      <c r="L2051" t="s">
        <v>1537</v>
      </c>
      <c r="M2051">
        <v>5506.13</v>
      </c>
      <c r="N2051" t="s">
        <v>4419</v>
      </c>
      <c r="O2051" t="s">
        <v>4416</v>
      </c>
    </row>
    <row r="2052" spans="1:15" x14ac:dyDescent="0.2">
      <c r="A2052">
        <v>99</v>
      </c>
      <c r="B2052" t="s">
        <v>2117</v>
      </c>
      <c r="C2052" t="s">
        <v>205</v>
      </c>
      <c r="D2052" t="s">
        <v>66</v>
      </c>
      <c r="E2052" t="s">
        <v>617</v>
      </c>
      <c r="F2052">
        <v>0</v>
      </c>
      <c r="G2052">
        <v>5.45</v>
      </c>
      <c r="H2052" t="s">
        <v>764</v>
      </c>
      <c r="I2052" t="s">
        <v>1152</v>
      </c>
      <c r="J2052">
        <v>0</v>
      </c>
      <c r="K2052">
        <v>0</v>
      </c>
      <c r="L2052" t="s">
        <v>787</v>
      </c>
      <c r="M2052">
        <v>133.99</v>
      </c>
      <c r="N2052" t="s">
        <v>4419</v>
      </c>
      <c r="O2052" t="s">
        <v>4416</v>
      </c>
    </row>
    <row r="2053" spans="1:15" x14ac:dyDescent="0.2">
      <c r="A2053">
        <v>99</v>
      </c>
      <c r="B2053" t="s">
        <v>2117</v>
      </c>
      <c r="C2053" t="s">
        <v>205</v>
      </c>
      <c r="D2053" t="s">
        <v>1009</v>
      </c>
      <c r="E2053" t="s">
        <v>672</v>
      </c>
      <c r="F2053">
        <v>0</v>
      </c>
      <c r="G2053">
        <v>16.489999999999998</v>
      </c>
      <c r="H2053" t="s">
        <v>151</v>
      </c>
      <c r="I2053" t="s">
        <v>1152</v>
      </c>
      <c r="J2053">
        <v>0</v>
      </c>
      <c r="K2053">
        <v>0</v>
      </c>
      <c r="L2053" t="s">
        <v>1537</v>
      </c>
      <c r="M2053">
        <v>5506.13</v>
      </c>
      <c r="N2053" t="s">
        <v>4425</v>
      </c>
      <c r="O2053" t="s">
        <v>4416</v>
      </c>
    </row>
    <row r="2054" spans="1:15" x14ac:dyDescent="0.2">
      <c r="A2054">
        <v>99</v>
      </c>
      <c r="B2054" t="s">
        <v>2117</v>
      </c>
      <c r="C2054" t="s">
        <v>205</v>
      </c>
      <c r="D2054" t="s">
        <v>1009</v>
      </c>
      <c r="E2054" t="s">
        <v>672</v>
      </c>
      <c r="F2054">
        <v>0</v>
      </c>
      <c r="G2054">
        <v>16.489999999999998</v>
      </c>
      <c r="H2054" t="s">
        <v>151</v>
      </c>
      <c r="I2054" t="s">
        <v>1152</v>
      </c>
      <c r="J2054">
        <v>0</v>
      </c>
      <c r="K2054">
        <v>0</v>
      </c>
      <c r="L2054" t="s">
        <v>787</v>
      </c>
      <c r="M2054">
        <v>133.99</v>
      </c>
      <c r="N2054" t="s">
        <v>4425</v>
      </c>
      <c r="O2054" t="s">
        <v>4416</v>
      </c>
    </row>
    <row r="2055" spans="1:15" x14ac:dyDescent="0.2">
      <c r="A2055">
        <v>99</v>
      </c>
      <c r="B2055" t="s">
        <v>2117</v>
      </c>
      <c r="C2055" t="s">
        <v>205</v>
      </c>
      <c r="D2055" t="s">
        <v>498</v>
      </c>
      <c r="E2055" t="s">
        <v>773</v>
      </c>
      <c r="F2055">
        <v>1.2</v>
      </c>
      <c r="G2055">
        <v>0</v>
      </c>
      <c r="H2055" t="s">
        <v>84</v>
      </c>
      <c r="I2055" t="s">
        <v>1152</v>
      </c>
      <c r="J2055">
        <v>0</v>
      </c>
      <c r="K2055">
        <v>0</v>
      </c>
      <c r="L2055" t="s">
        <v>1537</v>
      </c>
      <c r="M2055">
        <v>5506.13</v>
      </c>
      <c r="N2055" t="s">
        <v>4423</v>
      </c>
      <c r="O2055" t="s">
        <v>4416</v>
      </c>
    </row>
    <row r="2056" spans="1:15" x14ac:dyDescent="0.2">
      <c r="A2056">
        <v>99</v>
      </c>
      <c r="B2056" t="s">
        <v>2117</v>
      </c>
      <c r="C2056" t="s">
        <v>205</v>
      </c>
      <c r="D2056" t="s">
        <v>498</v>
      </c>
      <c r="E2056" t="s">
        <v>773</v>
      </c>
      <c r="F2056">
        <v>1.2</v>
      </c>
      <c r="G2056">
        <v>0</v>
      </c>
      <c r="H2056" t="s">
        <v>84</v>
      </c>
      <c r="I2056" t="s">
        <v>1152</v>
      </c>
      <c r="J2056">
        <v>0</v>
      </c>
      <c r="K2056">
        <v>0</v>
      </c>
      <c r="L2056" t="s">
        <v>787</v>
      </c>
      <c r="M2056">
        <v>133.99</v>
      </c>
      <c r="N2056" t="s">
        <v>4423</v>
      </c>
      <c r="O2056" t="s">
        <v>4416</v>
      </c>
    </row>
    <row r="2057" spans="1:15" x14ac:dyDescent="0.2">
      <c r="A2057">
        <v>99</v>
      </c>
      <c r="B2057" t="s">
        <v>2117</v>
      </c>
      <c r="C2057" t="s">
        <v>205</v>
      </c>
      <c r="D2057" t="s">
        <v>1636</v>
      </c>
      <c r="E2057" t="s">
        <v>2530</v>
      </c>
      <c r="F2057">
        <v>0.03</v>
      </c>
      <c r="G2057">
        <v>33</v>
      </c>
      <c r="H2057" t="s">
        <v>1153</v>
      </c>
      <c r="I2057" t="s">
        <v>1152</v>
      </c>
      <c r="J2057">
        <v>0.99</v>
      </c>
      <c r="K2057">
        <v>5451.0686999999998</v>
      </c>
      <c r="L2057" t="s">
        <v>1537</v>
      </c>
      <c r="M2057">
        <v>5506.13</v>
      </c>
      <c r="N2057" t="s">
        <v>4422</v>
      </c>
      <c r="O2057" t="s">
        <v>4416</v>
      </c>
    </row>
    <row r="2058" spans="1:15" x14ac:dyDescent="0.2">
      <c r="A2058">
        <v>99</v>
      </c>
      <c r="B2058" t="s">
        <v>2117</v>
      </c>
      <c r="C2058" t="s">
        <v>205</v>
      </c>
      <c r="D2058" t="s">
        <v>1636</v>
      </c>
      <c r="E2058" t="s">
        <v>2530</v>
      </c>
      <c r="F2058">
        <v>0.03</v>
      </c>
      <c r="G2058">
        <v>33</v>
      </c>
      <c r="H2058" t="s">
        <v>1153</v>
      </c>
      <c r="I2058" t="s">
        <v>1152</v>
      </c>
      <c r="J2058">
        <v>0.99</v>
      </c>
      <c r="K2058">
        <v>132.65010000000001</v>
      </c>
      <c r="L2058" t="s">
        <v>787</v>
      </c>
      <c r="M2058">
        <v>133.99</v>
      </c>
      <c r="N2058" t="s">
        <v>4422</v>
      </c>
      <c r="O2058" t="s">
        <v>4416</v>
      </c>
    </row>
    <row r="2059" spans="1:15" x14ac:dyDescent="0.2">
      <c r="A2059">
        <v>99</v>
      </c>
      <c r="B2059" t="s">
        <v>2117</v>
      </c>
      <c r="C2059" t="s">
        <v>205</v>
      </c>
      <c r="D2059" t="s">
        <v>1379</v>
      </c>
      <c r="E2059" t="s">
        <v>1626</v>
      </c>
      <c r="F2059">
        <v>1.9699999999999999E-2</v>
      </c>
      <c r="G2059">
        <v>116.09</v>
      </c>
      <c r="H2059" t="s">
        <v>1153</v>
      </c>
      <c r="I2059" t="s">
        <v>1152</v>
      </c>
      <c r="J2059">
        <v>2.2869730000000001</v>
      </c>
      <c r="K2059">
        <v>12592.370644000001</v>
      </c>
      <c r="L2059" t="s">
        <v>1537</v>
      </c>
      <c r="M2059">
        <v>5506.13</v>
      </c>
      <c r="N2059" t="s">
        <v>4417</v>
      </c>
      <c r="O2059" t="s">
        <v>4416</v>
      </c>
    </row>
    <row r="2060" spans="1:15" x14ac:dyDescent="0.2">
      <c r="A2060">
        <v>99</v>
      </c>
      <c r="B2060" t="s">
        <v>2117</v>
      </c>
      <c r="C2060" t="s">
        <v>205</v>
      </c>
      <c r="D2060" t="s">
        <v>1379</v>
      </c>
      <c r="E2060" t="s">
        <v>1626</v>
      </c>
      <c r="F2060">
        <v>1.9699999999999999E-2</v>
      </c>
      <c r="G2060">
        <v>116.09</v>
      </c>
      <c r="H2060" t="s">
        <v>1153</v>
      </c>
      <c r="I2060" t="s">
        <v>1152</v>
      </c>
      <c r="J2060">
        <v>2.2869730000000001</v>
      </c>
      <c r="K2060">
        <v>306.431512</v>
      </c>
      <c r="L2060" t="s">
        <v>787</v>
      </c>
      <c r="M2060">
        <v>133.99</v>
      </c>
      <c r="N2060" t="s">
        <v>4417</v>
      </c>
      <c r="O2060" t="s">
        <v>4416</v>
      </c>
    </row>
    <row r="2061" spans="1:15" x14ac:dyDescent="0.2">
      <c r="A2061">
        <v>99</v>
      </c>
      <c r="B2061" t="s">
        <v>2117</v>
      </c>
      <c r="C2061" t="s">
        <v>205</v>
      </c>
      <c r="D2061" t="s">
        <v>547</v>
      </c>
      <c r="E2061" t="s">
        <v>2320</v>
      </c>
      <c r="F2061">
        <v>0</v>
      </c>
      <c r="G2061">
        <v>13.51</v>
      </c>
      <c r="H2061" t="s">
        <v>151</v>
      </c>
      <c r="I2061" t="s">
        <v>1152</v>
      </c>
      <c r="J2061">
        <v>0</v>
      </c>
      <c r="K2061">
        <v>0</v>
      </c>
      <c r="L2061" t="s">
        <v>1537</v>
      </c>
      <c r="M2061">
        <v>5506.13</v>
      </c>
      <c r="N2061" t="s">
        <v>4421</v>
      </c>
      <c r="O2061" t="s">
        <v>4416</v>
      </c>
    </row>
    <row r="2062" spans="1:15" x14ac:dyDescent="0.2">
      <c r="A2062">
        <v>99</v>
      </c>
      <c r="B2062" t="s">
        <v>2117</v>
      </c>
      <c r="C2062" t="s">
        <v>205</v>
      </c>
      <c r="D2062" t="s">
        <v>547</v>
      </c>
      <c r="E2062" t="s">
        <v>2320</v>
      </c>
      <c r="F2062">
        <v>0</v>
      </c>
      <c r="G2062">
        <v>13.51</v>
      </c>
      <c r="H2062" t="s">
        <v>151</v>
      </c>
      <c r="I2062" t="s">
        <v>1152</v>
      </c>
      <c r="J2062">
        <v>0</v>
      </c>
      <c r="K2062">
        <v>0</v>
      </c>
      <c r="L2062" t="s">
        <v>787</v>
      </c>
      <c r="M2062">
        <v>133.99</v>
      </c>
      <c r="N2062" t="s">
        <v>4421</v>
      </c>
      <c r="O2062" t="s">
        <v>4416</v>
      </c>
    </row>
    <row r="2063" spans="1:15" x14ac:dyDescent="0.2">
      <c r="A2063">
        <v>99</v>
      </c>
      <c r="B2063" t="s">
        <v>2117</v>
      </c>
      <c r="C2063" t="s">
        <v>208</v>
      </c>
      <c r="D2063" t="s">
        <v>1047</v>
      </c>
      <c r="E2063" t="s">
        <v>1127</v>
      </c>
      <c r="F2063">
        <v>0.2994</v>
      </c>
      <c r="G2063">
        <v>13.77</v>
      </c>
      <c r="H2063" t="s">
        <v>1052</v>
      </c>
      <c r="I2063" t="s">
        <v>1153</v>
      </c>
      <c r="J2063">
        <v>4.122738</v>
      </c>
      <c r="K2063">
        <v>33.146813999999999</v>
      </c>
      <c r="L2063" t="s">
        <v>785</v>
      </c>
      <c r="M2063">
        <v>8.0399999999999991</v>
      </c>
      <c r="N2063" t="s">
        <v>4427</v>
      </c>
      <c r="O2063" t="s">
        <v>4428</v>
      </c>
    </row>
    <row r="2064" spans="1:15" x14ac:dyDescent="0.2">
      <c r="A2064">
        <v>99</v>
      </c>
      <c r="B2064" t="s">
        <v>2117</v>
      </c>
      <c r="C2064" t="s">
        <v>208</v>
      </c>
      <c r="D2064" t="s">
        <v>82</v>
      </c>
      <c r="E2064" t="s">
        <v>2688</v>
      </c>
      <c r="F2064">
        <v>2.5</v>
      </c>
      <c r="G2064">
        <v>2.04</v>
      </c>
      <c r="H2064" t="s">
        <v>153</v>
      </c>
      <c r="I2064" t="s">
        <v>1153</v>
      </c>
      <c r="J2064">
        <v>5.0999999999999996</v>
      </c>
      <c r="K2064">
        <v>41.003999999999998</v>
      </c>
      <c r="L2064" t="s">
        <v>785</v>
      </c>
      <c r="M2064">
        <v>8.0399999999999991</v>
      </c>
      <c r="N2064" t="s">
        <v>4431</v>
      </c>
      <c r="O2064" t="s">
        <v>4428</v>
      </c>
    </row>
    <row r="2065" spans="1:15" x14ac:dyDescent="0.2">
      <c r="A2065">
        <v>99</v>
      </c>
      <c r="B2065" t="s">
        <v>2117</v>
      </c>
      <c r="C2065" t="s">
        <v>208</v>
      </c>
      <c r="D2065" t="s">
        <v>1129</v>
      </c>
      <c r="E2065" t="s">
        <v>2681</v>
      </c>
      <c r="F2065">
        <v>2.1299999999999999E-2</v>
      </c>
      <c r="G2065">
        <v>19.722200000000001</v>
      </c>
      <c r="H2065" t="s">
        <v>152</v>
      </c>
      <c r="I2065" t="s">
        <v>1153</v>
      </c>
      <c r="J2065">
        <v>0.42008286</v>
      </c>
      <c r="K2065">
        <v>3.3774660000000001</v>
      </c>
      <c r="L2065" t="s">
        <v>785</v>
      </c>
      <c r="M2065">
        <v>8.0399999999999991</v>
      </c>
      <c r="N2065" t="s">
        <v>4430</v>
      </c>
      <c r="O2065" t="s">
        <v>4428</v>
      </c>
    </row>
    <row r="2066" spans="1:15" x14ac:dyDescent="0.2">
      <c r="A2066">
        <v>99</v>
      </c>
      <c r="B2066" t="s">
        <v>2117</v>
      </c>
      <c r="C2066" t="s">
        <v>208</v>
      </c>
      <c r="D2066" t="s">
        <v>85</v>
      </c>
      <c r="E2066" t="s">
        <v>4432</v>
      </c>
      <c r="F2066">
        <v>3.125</v>
      </c>
      <c r="G2066">
        <v>5.61</v>
      </c>
      <c r="H2066" t="s">
        <v>153</v>
      </c>
      <c r="I2066" t="s">
        <v>1153</v>
      </c>
      <c r="J2066">
        <v>17.53125</v>
      </c>
      <c r="K2066">
        <v>140.95124999999999</v>
      </c>
      <c r="L2066" t="s">
        <v>785</v>
      </c>
      <c r="M2066">
        <v>8.0399999999999991</v>
      </c>
      <c r="N2066" t="s">
        <v>4433</v>
      </c>
      <c r="O2066" t="s">
        <v>4428</v>
      </c>
    </row>
    <row r="2067" spans="1:15" x14ac:dyDescent="0.2">
      <c r="A2067">
        <v>99</v>
      </c>
      <c r="B2067" t="s">
        <v>2117</v>
      </c>
      <c r="C2067" t="s">
        <v>208</v>
      </c>
      <c r="D2067" t="s">
        <v>498</v>
      </c>
      <c r="E2067" t="s">
        <v>773</v>
      </c>
      <c r="F2067">
        <v>1.2</v>
      </c>
      <c r="G2067">
        <v>0</v>
      </c>
      <c r="H2067" t="s">
        <v>84</v>
      </c>
      <c r="I2067" t="s">
        <v>1153</v>
      </c>
      <c r="J2067">
        <v>0</v>
      </c>
      <c r="K2067">
        <v>0</v>
      </c>
      <c r="L2067" t="s">
        <v>785</v>
      </c>
      <c r="M2067">
        <v>8.0399999999999991</v>
      </c>
      <c r="N2067" t="s">
        <v>4437</v>
      </c>
      <c r="O2067" t="s">
        <v>4428</v>
      </c>
    </row>
    <row r="2068" spans="1:15" x14ac:dyDescent="0.2">
      <c r="A2068">
        <v>99</v>
      </c>
      <c r="B2068" t="s">
        <v>2117</v>
      </c>
      <c r="C2068" t="s">
        <v>208</v>
      </c>
      <c r="D2068" t="s">
        <v>1009</v>
      </c>
      <c r="E2068" t="s">
        <v>672</v>
      </c>
      <c r="F2068">
        <v>0</v>
      </c>
      <c r="G2068">
        <v>16.489999999999998</v>
      </c>
      <c r="H2068" t="s">
        <v>151</v>
      </c>
      <c r="I2068" t="s">
        <v>1153</v>
      </c>
      <c r="J2068">
        <v>0</v>
      </c>
      <c r="K2068">
        <v>0</v>
      </c>
      <c r="L2068" t="s">
        <v>785</v>
      </c>
      <c r="M2068">
        <v>8.0399999999999991</v>
      </c>
      <c r="N2068" t="s">
        <v>4435</v>
      </c>
      <c r="O2068" t="s">
        <v>4428</v>
      </c>
    </row>
    <row r="2069" spans="1:15" x14ac:dyDescent="0.2">
      <c r="A2069">
        <v>99</v>
      </c>
      <c r="B2069" t="s">
        <v>2117</v>
      </c>
      <c r="C2069" t="s">
        <v>208</v>
      </c>
      <c r="D2069" t="s">
        <v>681</v>
      </c>
      <c r="E2069" t="s">
        <v>1022</v>
      </c>
      <c r="F2069">
        <v>1.2315</v>
      </c>
      <c r="G2069">
        <v>500</v>
      </c>
      <c r="H2069" t="s">
        <v>1153</v>
      </c>
      <c r="I2069" t="s">
        <v>1153</v>
      </c>
      <c r="J2069">
        <v>615.75</v>
      </c>
      <c r="K2069">
        <v>4950.63</v>
      </c>
      <c r="L2069" t="s">
        <v>785</v>
      </c>
      <c r="M2069">
        <v>8.0399999999999991</v>
      </c>
      <c r="N2069" t="s">
        <v>4429</v>
      </c>
      <c r="O2069" t="s">
        <v>4428</v>
      </c>
    </row>
    <row r="2070" spans="1:15" x14ac:dyDescent="0.2">
      <c r="A2070">
        <v>99</v>
      </c>
      <c r="B2070" t="s">
        <v>2117</v>
      </c>
      <c r="C2070" t="s">
        <v>208</v>
      </c>
      <c r="D2070" t="s">
        <v>801</v>
      </c>
      <c r="E2070" t="s">
        <v>402</v>
      </c>
      <c r="F2070">
        <v>0</v>
      </c>
      <c r="G2070">
        <v>10.3</v>
      </c>
      <c r="H2070" t="s">
        <v>151</v>
      </c>
      <c r="I2070" t="s">
        <v>1153</v>
      </c>
      <c r="J2070">
        <v>0</v>
      </c>
      <c r="K2070">
        <v>0</v>
      </c>
      <c r="L2070" t="s">
        <v>785</v>
      </c>
      <c r="M2070">
        <v>8.0399999999999991</v>
      </c>
      <c r="N2070" t="s">
        <v>4436</v>
      </c>
      <c r="O2070" t="s">
        <v>4428</v>
      </c>
    </row>
    <row r="2071" spans="1:15" x14ac:dyDescent="0.2">
      <c r="A2071">
        <v>99</v>
      </c>
      <c r="B2071" t="s">
        <v>2117</v>
      </c>
      <c r="C2071" t="s">
        <v>208</v>
      </c>
      <c r="D2071" t="s">
        <v>944</v>
      </c>
      <c r="E2071" t="s">
        <v>1601</v>
      </c>
      <c r="F2071">
        <v>0</v>
      </c>
      <c r="G2071">
        <v>19.170000000000002</v>
      </c>
      <c r="H2071" t="s">
        <v>151</v>
      </c>
      <c r="I2071" t="s">
        <v>1153</v>
      </c>
      <c r="J2071">
        <v>0</v>
      </c>
      <c r="K2071">
        <v>0</v>
      </c>
      <c r="L2071" t="s">
        <v>785</v>
      </c>
      <c r="M2071">
        <v>8.0399999999999991</v>
      </c>
      <c r="N2071" t="s">
        <v>4434</v>
      </c>
      <c r="O2071" t="s">
        <v>4428</v>
      </c>
    </row>
    <row r="2072" spans="1:15" x14ac:dyDescent="0.2">
      <c r="A2072">
        <v>99</v>
      </c>
      <c r="B2072" t="s">
        <v>2117</v>
      </c>
      <c r="C2072" t="s">
        <v>213</v>
      </c>
      <c r="D2072" t="s">
        <v>801</v>
      </c>
      <c r="E2072" t="s">
        <v>402</v>
      </c>
      <c r="F2072">
        <v>0</v>
      </c>
      <c r="G2072">
        <v>10.3</v>
      </c>
      <c r="H2072" t="s">
        <v>151</v>
      </c>
      <c r="I2072" t="s">
        <v>153</v>
      </c>
      <c r="J2072">
        <v>0</v>
      </c>
      <c r="K2072">
        <v>0</v>
      </c>
      <c r="L2072" t="s">
        <v>788</v>
      </c>
      <c r="M2072">
        <v>176.17</v>
      </c>
      <c r="N2072" t="s">
        <v>4445</v>
      </c>
      <c r="O2072" t="s">
        <v>4439</v>
      </c>
    </row>
    <row r="2073" spans="1:15" x14ac:dyDescent="0.2">
      <c r="A2073">
        <v>99</v>
      </c>
      <c r="B2073" t="s">
        <v>2117</v>
      </c>
      <c r="C2073" t="s">
        <v>213</v>
      </c>
      <c r="D2073" t="s">
        <v>120</v>
      </c>
      <c r="E2073" t="s">
        <v>597</v>
      </c>
      <c r="F2073">
        <v>0</v>
      </c>
      <c r="G2073">
        <v>1.52</v>
      </c>
      <c r="H2073" t="s">
        <v>742</v>
      </c>
      <c r="I2073" t="s">
        <v>153</v>
      </c>
      <c r="J2073">
        <v>0</v>
      </c>
      <c r="K2073">
        <v>0</v>
      </c>
      <c r="L2073" t="s">
        <v>788</v>
      </c>
      <c r="M2073">
        <v>176.17</v>
      </c>
      <c r="N2073" t="s">
        <v>4443</v>
      </c>
      <c r="O2073" t="s">
        <v>4439</v>
      </c>
    </row>
    <row r="2074" spans="1:15" x14ac:dyDescent="0.2">
      <c r="A2074">
        <v>99</v>
      </c>
      <c r="B2074" t="s">
        <v>2117</v>
      </c>
      <c r="C2074" t="s">
        <v>213</v>
      </c>
      <c r="D2074" t="s">
        <v>1654</v>
      </c>
      <c r="E2074" t="s">
        <v>1551</v>
      </c>
      <c r="F2074">
        <v>0.48370000000000002</v>
      </c>
      <c r="G2074">
        <v>0.7974</v>
      </c>
      <c r="H2074" t="s">
        <v>1052</v>
      </c>
      <c r="I2074" t="s">
        <v>153</v>
      </c>
      <c r="J2074">
        <v>0.38570238000000001</v>
      </c>
      <c r="K2074">
        <v>67.949188000000007</v>
      </c>
      <c r="L2074" t="s">
        <v>788</v>
      </c>
      <c r="M2074">
        <v>176.17</v>
      </c>
      <c r="N2074" t="s">
        <v>4438</v>
      </c>
      <c r="O2074" t="s">
        <v>4439</v>
      </c>
    </row>
    <row r="2075" spans="1:15" x14ac:dyDescent="0.2">
      <c r="A2075">
        <v>99</v>
      </c>
      <c r="B2075" t="s">
        <v>2117</v>
      </c>
      <c r="C2075" t="s">
        <v>213</v>
      </c>
      <c r="D2075" t="s">
        <v>1258</v>
      </c>
      <c r="E2075" t="s">
        <v>1526</v>
      </c>
      <c r="F2075">
        <v>8.0999999999999996E-3</v>
      </c>
      <c r="G2075">
        <v>148</v>
      </c>
      <c r="H2075" t="s">
        <v>1153</v>
      </c>
      <c r="I2075" t="s">
        <v>153</v>
      </c>
      <c r="J2075">
        <v>1.1988000000000001</v>
      </c>
      <c r="K2075">
        <v>211.19259600000001</v>
      </c>
      <c r="L2075" t="s">
        <v>788</v>
      </c>
      <c r="M2075">
        <v>176.17</v>
      </c>
      <c r="N2075" t="s">
        <v>4440</v>
      </c>
      <c r="O2075" t="s">
        <v>4439</v>
      </c>
    </row>
    <row r="2076" spans="1:15" x14ac:dyDescent="0.2">
      <c r="A2076">
        <v>99</v>
      </c>
      <c r="B2076" t="s">
        <v>2117</v>
      </c>
      <c r="C2076" t="s">
        <v>213</v>
      </c>
      <c r="D2076" t="s">
        <v>1009</v>
      </c>
      <c r="E2076" t="s">
        <v>672</v>
      </c>
      <c r="F2076">
        <v>0</v>
      </c>
      <c r="G2076">
        <v>16.489999999999998</v>
      </c>
      <c r="H2076" t="s">
        <v>151</v>
      </c>
      <c r="I2076" t="s">
        <v>153</v>
      </c>
      <c r="J2076">
        <v>0</v>
      </c>
      <c r="K2076">
        <v>0</v>
      </c>
      <c r="L2076" t="s">
        <v>788</v>
      </c>
      <c r="M2076">
        <v>176.17</v>
      </c>
      <c r="N2076" t="s">
        <v>4444</v>
      </c>
      <c r="O2076" t="s">
        <v>4439</v>
      </c>
    </row>
    <row r="2077" spans="1:15" x14ac:dyDescent="0.2">
      <c r="A2077">
        <v>99</v>
      </c>
      <c r="B2077" t="s">
        <v>2117</v>
      </c>
      <c r="C2077" t="s">
        <v>213</v>
      </c>
      <c r="D2077" t="s">
        <v>498</v>
      </c>
      <c r="E2077" t="s">
        <v>773</v>
      </c>
      <c r="F2077">
        <v>1.2</v>
      </c>
      <c r="G2077">
        <v>0</v>
      </c>
      <c r="H2077" t="s">
        <v>84</v>
      </c>
      <c r="I2077" t="s">
        <v>153</v>
      </c>
      <c r="J2077">
        <v>0</v>
      </c>
      <c r="K2077">
        <v>0</v>
      </c>
      <c r="L2077" t="s">
        <v>788</v>
      </c>
      <c r="M2077">
        <v>176.17</v>
      </c>
      <c r="N2077" t="s">
        <v>4449</v>
      </c>
      <c r="O2077" t="s">
        <v>4439</v>
      </c>
    </row>
    <row r="2078" spans="1:15" x14ac:dyDescent="0.2">
      <c r="A2078">
        <v>99</v>
      </c>
      <c r="B2078" t="s">
        <v>2117</v>
      </c>
      <c r="C2078" t="s">
        <v>213</v>
      </c>
      <c r="D2078" t="s">
        <v>66</v>
      </c>
      <c r="E2078" t="s">
        <v>617</v>
      </c>
      <c r="F2078">
        <v>0</v>
      </c>
      <c r="G2078">
        <v>5.45</v>
      </c>
      <c r="H2078" t="s">
        <v>764</v>
      </c>
      <c r="I2078" t="s">
        <v>153</v>
      </c>
      <c r="J2078">
        <v>0</v>
      </c>
      <c r="K2078">
        <v>0</v>
      </c>
      <c r="L2078" t="s">
        <v>788</v>
      </c>
      <c r="M2078">
        <v>176.17</v>
      </c>
      <c r="N2078" t="s">
        <v>4450</v>
      </c>
      <c r="O2078" t="s">
        <v>4439</v>
      </c>
    </row>
    <row r="2079" spans="1:15" x14ac:dyDescent="0.2">
      <c r="A2079">
        <v>99</v>
      </c>
      <c r="B2079" t="s">
        <v>2117</v>
      </c>
      <c r="C2079" t="s">
        <v>213</v>
      </c>
      <c r="D2079" t="s">
        <v>1271</v>
      </c>
      <c r="E2079" t="s">
        <v>4447</v>
      </c>
      <c r="F2079">
        <v>1</v>
      </c>
      <c r="G2079">
        <v>30</v>
      </c>
      <c r="H2079" t="s">
        <v>153</v>
      </c>
      <c r="I2079" t="s">
        <v>153</v>
      </c>
      <c r="J2079">
        <v>30</v>
      </c>
      <c r="K2079">
        <v>5285.1</v>
      </c>
      <c r="L2079" t="s">
        <v>788</v>
      </c>
      <c r="M2079">
        <v>176.17</v>
      </c>
      <c r="N2079" t="s">
        <v>4448</v>
      </c>
      <c r="O2079" t="s">
        <v>4439</v>
      </c>
    </row>
    <row r="2080" spans="1:15" x14ac:dyDescent="0.2">
      <c r="A2080">
        <v>99</v>
      </c>
      <c r="B2080" t="s">
        <v>2117</v>
      </c>
      <c r="C2080" t="s">
        <v>213</v>
      </c>
      <c r="D2080" t="s">
        <v>547</v>
      </c>
      <c r="E2080" t="s">
        <v>2320</v>
      </c>
      <c r="F2080">
        <v>0</v>
      </c>
      <c r="G2080">
        <v>13.51</v>
      </c>
      <c r="H2080" t="s">
        <v>151</v>
      </c>
      <c r="I2080" t="s">
        <v>153</v>
      </c>
      <c r="J2080">
        <v>0</v>
      </c>
      <c r="K2080">
        <v>0</v>
      </c>
      <c r="L2080" t="s">
        <v>788</v>
      </c>
      <c r="M2080">
        <v>176.17</v>
      </c>
      <c r="N2080" t="s">
        <v>4446</v>
      </c>
      <c r="O2080" t="s">
        <v>4439</v>
      </c>
    </row>
    <row r="2081" spans="1:15" x14ac:dyDescent="0.2">
      <c r="A2081">
        <v>99</v>
      </c>
      <c r="B2081" t="s">
        <v>2117</v>
      </c>
      <c r="C2081" t="s">
        <v>213</v>
      </c>
      <c r="D2081" t="s">
        <v>173</v>
      </c>
      <c r="E2081" t="s">
        <v>4441</v>
      </c>
      <c r="F2081">
        <v>1.0049999999999999</v>
      </c>
      <c r="G2081">
        <v>26.9</v>
      </c>
      <c r="H2081" t="s">
        <v>1781</v>
      </c>
      <c r="I2081" t="s">
        <v>153</v>
      </c>
      <c r="J2081">
        <v>27.034500000000001</v>
      </c>
      <c r="K2081">
        <v>4762.6678650000003</v>
      </c>
      <c r="L2081" t="s">
        <v>788</v>
      </c>
      <c r="M2081">
        <v>176.17</v>
      </c>
      <c r="N2081" t="s">
        <v>4442</v>
      </c>
      <c r="O2081" t="s">
        <v>4439</v>
      </c>
    </row>
    <row r="2082" spans="1:15" x14ac:dyDescent="0.2">
      <c r="A2082">
        <v>99</v>
      </c>
      <c r="B2082" t="s">
        <v>2117</v>
      </c>
      <c r="C2082" t="s">
        <v>218</v>
      </c>
      <c r="D2082" t="s">
        <v>844</v>
      </c>
      <c r="E2082" t="s">
        <v>4451</v>
      </c>
      <c r="F2082">
        <v>4.2700000000000002E-2</v>
      </c>
      <c r="G2082">
        <v>15.3283</v>
      </c>
      <c r="H2082" t="s">
        <v>152</v>
      </c>
      <c r="I2082" t="s">
        <v>153</v>
      </c>
      <c r="J2082">
        <v>0.65451840999999999</v>
      </c>
      <c r="K2082">
        <v>115.30650799999999</v>
      </c>
      <c r="L2082" t="s">
        <v>793</v>
      </c>
      <c r="M2082">
        <v>176.17</v>
      </c>
      <c r="N2082" t="s">
        <v>4452</v>
      </c>
      <c r="O2082" t="s">
        <v>740</v>
      </c>
    </row>
    <row r="2083" spans="1:15" x14ac:dyDescent="0.2">
      <c r="A2083">
        <v>99</v>
      </c>
      <c r="B2083" t="s">
        <v>2117</v>
      </c>
      <c r="C2083" t="s">
        <v>218</v>
      </c>
      <c r="D2083" t="s">
        <v>1010</v>
      </c>
      <c r="E2083" t="s">
        <v>1140</v>
      </c>
      <c r="F2083">
        <v>0</v>
      </c>
      <c r="G2083">
        <v>35</v>
      </c>
      <c r="H2083" t="s">
        <v>151</v>
      </c>
      <c r="I2083" t="s">
        <v>153</v>
      </c>
      <c r="J2083">
        <v>0</v>
      </c>
      <c r="K2083">
        <v>0</v>
      </c>
      <c r="L2083" t="s">
        <v>793</v>
      </c>
      <c r="M2083">
        <v>176.17</v>
      </c>
      <c r="N2083" t="s">
        <v>4453</v>
      </c>
      <c r="O2083" t="s">
        <v>740</v>
      </c>
    </row>
    <row r="2084" spans="1:15" x14ac:dyDescent="0.2">
      <c r="A2084">
        <v>99</v>
      </c>
      <c r="B2084" t="s">
        <v>2117</v>
      </c>
      <c r="C2084" t="s">
        <v>218</v>
      </c>
      <c r="D2084" t="s">
        <v>498</v>
      </c>
      <c r="E2084" t="s">
        <v>773</v>
      </c>
      <c r="F2084">
        <v>1.2</v>
      </c>
      <c r="G2084">
        <v>0</v>
      </c>
      <c r="H2084" t="s">
        <v>84</v>
      </c>
      <c r="I2084" t="s">
        <v>153</v>
      </c>
      <c r="J2084">
        <v>0</v>
      </c>
      <c r="K2084">
        <v>0</v>
      </c>
      <c r="L2084" t="s">
        <v>793</v>
      </c>
      <c r="M2084">
        <v>176.17</v>
      </c>
      <c r="N2084" t="s">
        <v>4456</v>
      </c>
      <c r="O2084" t="s">
        <v>740</v>
      </c>
    </row>
    <row r="2085" spans="1:15" x14ac:dyDescent="0.2">
      <c r="A2085">
        <v>99</v>
      </c>
      <c r="B2085" t="s">
        <v>2117</v>
      </c>
      <c r="C2085" t="s">
        <v>218</v>
      </c>
      <c r="D2085" t="s">
        <v>702</v>
      </c>
      <c r="E2085" t="s">
        <v>1793</v>
      </c>
      <c r="F2085">
        <v>1</v>
      </c>
      <c r="G2085">
        <v>5</v>
      </c>
      <c r="H2085" t="s">
        <v>153</v>
      </c>
      <c r="I2085" t="s">
        <v>153</v>
      </c>
      <c r="J2085">
        <v>5</v>
      </c>
      <c r="K2085">
        <v>880.85</v>
      </c>
      <c r="L2085" t="s">
        <v>793</v>
      </c>
      <c r="M2085">
        <v>176.17</v>
      </c>
      <c r="N2085" t="s">
        <v>4455</v>
      </c>
      <c r="O2085" t="s">
        <v>740</v>
      </c>
    </row>
    <row r="2086" spans="1:15" x14ac:dyDescent="0.2">
      <c r="A2086">
        <v>99</v>
      </c>
      <c r="B2086" t="s">
        <v>2117</v>
      </c>
      <c r="C2086" t="s">
        <v>218</v>
      </c>
      <c r="D2086" t="s">
        <v>801</v>
      </c>
      <c r="E2086" t="s">
        <v>402</v>
      </c>
      <c r="F2086">
        <v>0</v>
      </c>
      <c r="G2086">
        <v>10.3</v>
      </c>
      <c r="H2086" t="s">
        <v>151</v>
      </c>
      <c r="I2086" t="s">
        <v>153</v>
      </c>
      <c r="J2086">
        <v>0</v>
      </c>
      <c r="K2086">
        <v>0</v>
      </c>
      <c r="L2086" t="s">
        <v>793</v>
      </c>
      <c r="M2086">
        <v>176.17</v>
      </c>
      <c r="N2086" t="s">
        <v>4454</v>
      </c>
      <c r="O2086" t="s">
        <v>740</v>
      </c>
    </row>
    <row r="2087" spans="1:15" x14ac:dyDescent="0.2">
      <c r="A2087">
        <v>99</v>
      </c>
      <c r="B2087" t="s">
        <v>2117</v>
      </c>
      <c r="C2087" t="s">
        <v>94</v>
      </c>
      <c r="D2087" t="s">
        <v>1619</v>
      </c>
      <c r="E2087" t="s">
        <v>1921</v>
      </c>
      <c r="F2087">
        <v>1</v>
      </c>
      <c r="G2087">
        <v>88.0685</v>
      </c>
      <c r="H2087" t="s">
        <v>1819</v>
      </c>
      <c r="I2087" t="s">
        <v>1152</v>
      </c>
      <c r="J2087">
        <v>88.0685</v>
      </c>
      <c r="K2087">
        <v>1872620.771255</v>
      </c>
      <c r="L2087" t="s">
        <v>1063</v>
      </c>
      <c r="M2087">
        <v>21263.23</v>
      </c>
      <c r="N2087" t="s">
        <v>4457</v>
      </c>
      <c r="O2087" t="s">
        <v>624</v>
      </c>
    </row>
    <row r="2088" spans="1:15" x14ac:dyDescent="0.2">
      <c r="A2088">
        <v>99</v>
      </c>
      <c r="B2088" t="s">
        <v>2117</v>
      </c>
      <c r="C2088" t="s">
        <v>94</v>
      </c>
      <c r="D2088" t="s">
        <v>1208</v>
      </c>
      <c r="E2088" t="s">
        <v>1488</v>
      </c>
      <c r="F2088">
        <v>1</v>
      </c>
      <c r="G2088">
        <v>9.7853999999999992</v>
      </c>
      <c r="H2088" t="s">
        <v>1819</v>
      </c>
      <c r="I2088" t="s">
        <v>1152</v>
      </c>
      <c r="J2088">
        <v>9.7853999999999992</v>
      </c>
      <c r="K2088">
        <v>208069.210842</v>
      </c>
      <c r="L2088" t="s">
        <v>1063</v>
      </c>
      <c r="M2088">
        <v>21263.23</v>
      </c>
      <c r="N2088" t="s">
        <v>4458</v>
      </c>
      <c r="O2088" t="s">
        <v>624</v>
      </c>
    </row>
    <row r="2089" spans="1:15" x14ac:dyDescent="0.2">
      <c r="A2089">
        <v>99</v>
      </c>
      <c r="B2089" t="s">
        <v>2117</v>
      </c>
      <c r="C2089" t="s">
        <v>1953</v>
      </c>
      <c r="D2089" t="s">
        <v>1196</v>
      </c>
      <c r="E2089" t="s">
        <v>1306</v>
      </c>
      <c r="F2089">
        <v>1</v>
      </c>
      <c r="G2089">
        <v>19.611000000000001</v>
      </c>
      <c r="H2089" t="s">
        <v>1819</v>
      </c>
      <c r="I2089" t="s">
        <v>1152</v>
      </c>
      <c r="J2089">
        <v>19.611000000000001</v>
      </c>
      <c r="K2089">
        <v>416993.20353</v>
      </c>
      <c r="L2089" t="s">
        <v>921</v>
      </c>
      <c r="M2089">
        <v>21263.23</v>
      </c>
      <c r="N2089" t="s">
        <v>4459</v>
      </c>
      <c r="O2089" t="s">
        <v>1306</v>
      </c>
    </row>
    <row r="2090" spans="1:15" x14ac:dyDescent="0.2">
      <c r="A2090">
        <v>99</v>
      </c>
      <c r="B2090" t="s">
        <v>2117</v>
      </c>
      <c r="C2090" t="s">
        <v>1953</v>
      </c>
      <c r="D2090" t="s">
        <v>1203</v>
      </c>
      <c r="E2090" t="s">
        <v>1247</v>
      </c>
      <c r="F2090">
        <v>1</v>
      </c>
      <c r="G2090">
        <v>2.1789999999999998</v>
      </c>
      <c r="H2090" t="s">
        <v>1819</v>
      </c>
      <c r="I2090" t="s">
        <v>1152</v>
      </c>
      <c r="J2090">
        <v>2.1789999999999998</v>
      </c>
      <c r="K2090">
        <v>46332.578170000001</v>
      </c>
      <c r="L2090" t="s">
        <v>921</v>
      </c>
      <c r="M2090">
        <v>21263.23</v>
      </c>
      <c r="N2090" t="s">
        <v>4460</v>
      </c>
      <c r="O2090" t="s">
        <v>1306</v>
      </c>
    </row>
    <row r="2091" spans="1:15" x14ac:dyDescent="0.2">
      <c r="A2091">
        <v>99</v>
      </c>
      <c r="B2091" t="s">
        <v>2117</v>
      </c>
      <c r="C2091" t="s">
        <v>1839</v>
      </c>
      <c r="D2091" t="s">
        <v>1258</v>
      </c>
      <c r="E2091" t="s">
        <v>1526</v>
      </c>
      <c r="F2091">
        <v>5.6800000000000003E-2</v>
      </c>
      <c r="G2091">
        <v>148</v>
      </c>
      <c r="H2091" t="s">
        <v>1153</v>
      </c>
      <c r="I2091" t="s">
        <v>1152</v>
      </c>
      <c r="J2091">
        <v>8.4063999999999997</v>
      </c>
      <c r="K2091">
        <v>77994.242943999998</v>
      </c>
      <c r="L2091" t="s">
        <v>1197</v>
      </c>
      <c r="M2091">
        <v>9277.9599999999991</v>
      </c>
      <c r="N2091" t="s">
        <v>4463</v>
      </c>
      <c r="O2091" t="s">
        <v>4462</v>
      </c>
    </row>
    <row r="2092" spans="1:15" x14ac:dyDescent="0.2">
      <c r="A2092">
        <v>99</v>
      </c>
      <c r="B2092" t="s">
        <v>2117</v>
      </c>
      <c r="C2092" t="s">
        <v>1839</v>
      </c>
      <c r="D2092" t="s">
        <v>1258</v>
      </c>
      <c r="E2092" t="s">
        <v>1526</v>
      </c>
      <c r="F2092">
        <v>5.6800000000000003E-2</v>
      </c>
      <c r="G2092">
        <v>148</v>
      </c>
      <c r="H2092" t="s">
        <v>1153</v>
      </c>
      <c r="I2092" t="s">
        <v>1152</v>
      </c>
      <c r="J2092">
        <v>8.4063999999999997</v>
      </c>
      <c r="K2092">
        <v>7231.7737280000001</v>
      </c>
      <c r="L2092" t="s">
        <v>5268</v>
      </c>
      <c r="M2092">
        <v>860.27</v>
      </c>
      <c r="N2092" t="s">
        <v>4463</v>
      </c>
      <c r="O2092" t="s">
        <v>4462</v>
      </c>
    </row>
    <row r="2093" spans="1:15" x14ac:dyDescent="0.2">
      <c r="A2093">
        <v>99</v>
      </c>
      <c r="B2093" t="s">
        <v>2117</v>
      </c>
      <c r="C2093" t="s">
        <v>1839</v>
      </c>
      <c r="D2093" t="s">
        <v>1374</v>
      </c>
      <c r="E2093" t="s">
        <v>1112</v>
      </c>
      <c r="F2093">
        <v>9.7999999999999997E-3</v>
      </c>
      <c r="G2093">
        <v>95</v>
      </c>
      <c r="H2093" t="s">
        <v>1153</v>
      </c>
      <c r="I2093" t="s">
        <v>1152</v>
      </c>
      <c r="J2093">
        <v>0.93100000000000005</v>
      </c>
      <c r="K2093">
        <v>8637.7807599999996</v>
      </c>
      <c r="L2093" t="s">
        <v>1197</v>
      </c>
      <c r="M2093">
        <v>9277.9599999999991</v>
      </c>
      <c r="N2093" t="s">
        <v>4461</v>
      </c>
      <c r="O2093" t="s">
        <v>4462</v>
      </c>
    </row>
    <row r="2094" spans="1:15" x14ac:dyDescent="0.2">
      <c r="A2094">
        <v>99</v>
      </c>
      <c r="B2094" t="s">
        <v>2117</v>
      </c>
      <c r="C2094" t="s">
        <v>1839</v>
      </c>
      <c r="D2094" t="s">
        <v>1374</v>
      </c>
      <c r="E2094" t="s">
        <v>1112</v>
      </c>
      <c r="F2094">
        <v>9.7999999999999997E-3</v>
      </c>
      <c r="G2094">
        <v>95</v>
      </c>
      <c r="H2094" t="s">
        <v>1153</v>
      </c>
      <c r="I2094" t="s">
        <v>1152</v>
      </c>
      <c r="J2094">
        <v>0.93100000000000005</v>
      </c>
      <c r="K2094">
        <v>800.91137000000003</v>
      </c>
      <c r="L2094" t="s">
        <v>5268</v>
      </c>
      <c r="M2094">
        <v>860.27</v>
      </c>
      <c r="N2094" t="s">
        <v>4461</v>
      </c>
      <c r="O2094" t="s">
        <v>4462</v>
      </c>
    </row>
    <row r="2095" spans="1:15" x14ac:dyDescent="0.2">
      <c r="A2095">
        <v>99</v>
      </c>
      <c r="B2095" t="s">
        <v>2117</v>
      </c>
      <c r="C2095" t="s">
        <v>1839</v>
      </c>
      <c r="D2095" t="s">
        <v>46</v>
      </c>
      <c r="E2095" t="s">
        <v>114</v>
      </c>
      <c r="F2095">
        <v>0</v>
      </c>
      <c r="G2095">
        <v>1</v>
      </c>
      <c r="H2095" t="s">
        <v>764</v>
      </c>
      <c r="I2095" t="s">
        <v>1152</v>
      </c>
      <c r="J2095">
        <v>0</v>
      </c>
      <c r="K2095">
        <v>0</v>
      </c>
      <c r="L2095" t="s">
        <v>1197</v>
      </c>
      <c r="M2095">
        <v>9277.9599999999991</v>
      </c>
      <c r="N2095" t="s">
        <v>4471</v>
      </c>
      <c r="O2095" t="s">
        <v>4462</v>
      </c>
    </row>
    <row r="2096" spans="1:15" x14ac:dyDescent="0.2">
      <c r="A2096">
        <v>99</v>
      </c>
      <c r="B2096" t="s">
        <v>2117</v>
      </c>
      <c r="C2096" t="s">
        <v>1839</v>
      </c>
      <c r="D2096" t="s">
        <v>46</v>
      </c>
      <c r="E2096" t="s">
        <v>114</v>
      </c>
      <c r="F2096">
        <v>0</v>
      </c>
      <c r="G2096">
        <v>1</v>
      </c>
      <c r="H2096" t="s">
        <v>764</v>
      </c>
      <c r="I2096" t="s">
        <v>1152</v>
      </c>
      <c r="J2096">
        <v>0</v>
      </c>
      <c r="K2096">
        <v>0</v>
      </c>
      <c r="L2096" t="s">
        <v>5268</v>
      </c>
      <c r="M2096">
        <v>860.27</v>
      </c>
      <c r="N2096" t="s">
        <v>4471</v>
      </c>
      <c r="O2096" t="s">
        <v>4462</v>
      </c>
    </row>
    <row r="2097" spans="1:15" x14ac:dyDescent="0.2">
      <c r="A2097">
        <v>99</v>
      </c>
      <c r="B2097" t="s">
        <v>2117</v>
      </c>
      <c r="C2097" t="s">
        <v>1839</v>
      </c>
      <c r="D2097" t="s">
        <v>801</v>
      </c>
      <c r="E2097" t="s">
        <v>402</v>
      </c>
      <c r="F2097">
        <v>0</v>
      </c>
      <c r="G2097">
        <v>10.3</v>
      </c>
      <c r="H2097" t="s">
        <v>151</v>
      </c>
      <c r="I2097" t="s">
        <v>1152</v>
      </c>
      <c r="J2097">
        <v>0</v>
      </c>
      <c r="K2097">
        <v>0</v>
      </c>
      <c r="L2097" t="s">
        <v>1197</v>
      </c>
      <c r="M2097">
        <v>9277.9599999999991</v>
      </c>
      <c r="N2097" t="s">
        <v>4467</v>
      </c>
      <c r="O2097" t="s">
        <v>4462</v>
      </c>
    </row>
    <row r="2098" spans="1:15" x14ac:dyDescent="0.2">
      <c r="A2098">
        <v>99</v>
      </c>
      <c r="B2098" t="s">
        <v>2117</v>
      </c>
      <c r="C2098" t="s">
        <v>1839</v>
      </c>
      <c r="D2098" t="s">
        <v>801</v>
      </c>
      <c r="E2098" t="s">
        <v>402</v>
      </c>
      <c r="F2098">
        <v>0</v>
      </c>
      <c r="G2098">
        <v>10.3</v>
      </c>
      <c r="H2098" t="s">
        <v>151</v>
      </c>
      <c r="I2098" t="s">
        <v>1152</v>
      </c>
      <c r="J2098">
        <v>0</v>
      </c>
      <c r="K2098">
        <v>0</v>
      </c>
      <c r="L2098" t="s">
        <v>5268</v>
      </c>
      <c r="M2098">
        <v>860.27</v>
      </c>
      <c r="N2098" t="s">
        <v>4467</v>
      </c>
      <c r="O2098" t="s">
        <v>4462</v>
      </c>
    </row>
    <row r="2099" spans="1:15" x14ac:dyDescent="0.2">
      <c r="A2099">
        <v>99</v>
      </c>
      <c r="B2099" t="s">
        <v>2117</v>
      </c>
      <c r="C2099" t="s">
        <v>1839</v>
      </c>
      <c r="D2099" t="s">
        <v>498</v>
      </c>
      <c r="E2099" t="s">
        <v>773</v>
      </c>
      <c r="F2099">
        <v>1.2</v>
      </c>
      <c r="G2099">
        <v>0</v>
      </c>
      <c r="H2099" t="s">
        <v>84</v>
      </c>
      <c r="I2099" t="s">
        <v>1152</v>
      </c>
      <c r="J2099">
        <v>0</v>
      </c>
      <c r="K2099">
        <v>0</v>
      </c>
      <c r="L2099" t="s">
        <v>1197</v>
      </c>
      <c r="M2099">
        <v>9277.9599999999991</v>
      </c>
      <c r="N2099" t="s">
        <v>4470</v>
      </c>
      <c r="O2099" t="s">
        <v>4462</v>
      </c>
    </row>
    <row r="2100" spans="1:15" x14ac:dyDescent="0.2">
      <c r="A2100">
        <v>99</v>
      </c>
      <c r="B2100" t="s">
        <v>2117</v>
      </c>
      <c r="C2100" t="s">
        <v>1839</v>
      </c>
      <c r="D2100" t="s">
        <v>498</v>
      </c>
      <c r="E2100" t="s">
        <v>773</v>
      </c>
      <c r="F2100">
        <v>1.2</v>
      </c>
      <c r="G2100">
        <v>0</v>
      </c>
      <c r="H2100" t="s">
        <v>84</v>
      </c>
      <c r="I2100" t="s">
        <v>1152</v>
      </c>
      <c r="J2100">
        <v>0</v>
      </c>
      <c r="K2100">
        <v>0</v>
      </c>
      <c r="L2100" t="s">
        <v>5268</v>
      </c>
      <c r="M2100">
        <v>860.27</v>
      </c>
      <c r="N2100" t="s">
        <v>4470</v>
      </c>
      <c r="O2100" t="s">
        <v>4462</v>
      </c>
    </row>
    <row r="2101" spans="1:15" x14ac:dyDescent="0.2">
      <c r="A2101">
        <v>99</v>
      </c>
      <c r="B2101" t="s">
        <v>2117</v>
      </c>
      <c r="C2101" t="s">
        <v>1839</v>
      </c>
      <c r="D2101" t="s">
        <v>1009</v>
      </c>
      <c r="E2101" t="s">
        <v>672</v>
      </c>
      <c r="F2101">
        <v>0</v>
      </c>
      <c r="G2101">
        <v>16.489999999999998</v>
      </c>
      <c r="H2101" t="s">
        <v>151</v>
      </c>
      <c r="I2101" t="s">
        <v>1152</v>
      </c>
      <c r="J2101">
        <v>0</v>
      </c>
      <c r="K2101">
        <v>0</v>
      </c>
      <c r="L2101" t="s">
        <v>1197</v>
      </c>
      <c r="M2101">
        <v>9277.9599999999991</v>
      </c>
      <c r="N2101" t="s">
        <v>4466</v>
      </c>
      <c r="O2101" t="s">
        <v>4462</v>
      </c>
    </row>
    <row r="2102" spans="1:15" x14ac:dyDescent="0.2">
      <c r="A2102">
        <v>99</v>
      </c>
      <c r="B2102" t="s">
        <v>2117</v>
      </c>
      <c r="C2102" t="s">
        <v>1839</v>
      </c>
      <c r="D2102" t="s">
        <v>1009</v>
      </c>
      <c r="E2102" t="s">
        <v>672</v>
      </c>
      <c r="F2102">
        <v>0</v>
      </c>
      <c r="G2102">
        <v>16.489999999999998</v>
      </c>
      <c r="H2102" t="s">
        <v>151</v>
      </c>
      <c r="I2102" t="s">
        <v>1152</v>
      </c>
      <c r="J2102">
        <v>0</v>
      </c>
      <c r="K2102">
        <v>0</v>
      </c>
      <c r="L2102" t="s">
        <v>5268</v>
      </c>
      <c r="M2102">
        <v>860.27</v>
      </c>
      <c r="N2102" t="s">
        <v>4466</v>
      </c>
      <c r="O2102" t="s">
        <v>4462</v>
      </c>
    </row>
    <row r="2103" spans="1:15" x14ac:dyDescent="0.2">
      <c r="A2103">
        <v>99</v>
      </c>
      <c r="B2103" t="s">
        <v>2117</v>
      </c>
      <c r="C2103" t="s">
        <v>1839</v>
      </c>
      <c r="D2103" t="s">
        <v>298</v>
      </c>
      <c r="E2103" t="s">
        <v>4464</v>
      </c>
      <c r="F2103">
        <v>1.0041</v>
      </c>
      <c r="G2103">
        <v>79.400000000000006</v>
      </c>
      <c r="H2103" t="s">
        <v>1152</v>
      </c>
      <c r="I2103" t="s">
        <v>1152</v>
      </c>
      <c r="J2103">
        <v>79.725539999999995</v>
      </c>
      <c r="K2103">
        <v>739690.37109799997</v>
      </c>
      <c r="L2103" t="s">
        <v>1197</v>
      </c>
      <c r="M2103">
        <v>9277.9599999999991</v>
      </c>
      <c r="N2103" t="s">
        <v>4465</v>
      </c>
      <c r="O2103" t="s">
        <v>4462</v>
      </c>
    </row>
    <row r="2104" spans="1:15" x14ac:dyDescent="0.2">
      <c r="A2104">
        <v>99</v>
      </c>
      <c r="B2104" t="s">
        <v>2117</v>
      </c>
      <c r="C2104" t="s">
        <v>1839</v>
      </c>
      <c r="D2104" t="s">
        <v>298</v>
      </c>
      <c r="E2104" t="s">
        <v>4464</v>
      </c>
      <c r="F2104">
        <v>1.0041</v>
      </c>
      <c r="G2104">
        <v>79.400000000000006</v>
      </c>
      <c r="H2104" t="s">
        <v>1152</v>
      </c>
      <c r="I2104" t="s">
        <v>1152</v>
      </c>
      <c r="J2104">
        <v>79.725539999999995</v>
      </c>
      <c r="K2104">
        <v>68585.490296000004</v>
      </c>
      <c r="L2104" t="s">
        <v>5268</v>
      </c>
      <c r="M2104">
        <v>860.27</v>
      </c>
      <c r="N2104" t="s">
        <v>4465</v>
      </c>
      <c r="O2104" t="s">
        <v>4462</v>
      </c>
    </row>
    <row r="2105" spans="1:15" x14ac:dyDescent="0.2">
      <c r="A2105">
        <v>99</v>
      </c>
      <c r="B2105" t="s">
        <v>2117</v>
      </c>
      <c r="C2105" t="s">
        <v>1839</v>
      </c>
      <c r="D2105" t="s">
        <v>1269</v>
      </c>
      <c r="E2105" t="s">
        <v>4468</v>
      </c>
      <c r="F2105">
        <v>1</v>
      </c>
      <c r="G2105">
        <v>50</v>
      </c>
      <c r="H2105" t="s">
        <v>1152</v>
      </c>
      <c r="I2105" t="s">
        <v>1152</v>
      </c>
      <c r="J2105">
        <v>50</v>
      </c>
      <c r="K2105">
        <v>463898</v>
      </c>
      <c r="L2105" t="s">
        <v>1197</v>
      </c>
      <c r="M2105">
        <v>9277.9599999999991</v>
      </c>
      <c r="N2105" t="s">
        <v>4469</v>
      </c>
      <c r="O2105" t="s">
        <v>4462</v>
      </c>
    </row>
    <row r="2106" spans="1:15" x14ac:dyDescent="0.2">
      <c r="A2106">
        <v>99</v>
      </c>
      <c r="B2106" t="s">
        <v>2117</v>
      </c>
      <c r="C2106" t="s">
        <v>1839</v>
      </c>
      <c r="D2106" t="s">
        <v>1269</v>
      </c>
      <c r="E2106" t="s">
        <v>4468</v>
      </c>
      <c r="F2106">
        <v>1</v>
      </c>
      <c r="G2106">
        <v>50</v>
      </c>
      <c r="H2106" t="s">
        <v>1152</v>
      </c>
      <c r="I2106" t="s">
        <v>1152</v>
      </c>
      <c r="J2106">
        <v>50</v>
      </c>
      <c r="K2106">
        <v>43013.5</v>
      </c>
      <c r="L2106" t="s">
        <v>5268</v>
      </c>
      <c r="M2106">
        <v>860.27</v>
      </c>
      <c r="N2106" t="s">
        <v>4469</v>
      </c>
      <c r="O2106" t="s">
        <v>4462</v>
      </c>
    </row>
    <row r="2107" spans="1:15" x14ac:dyDescent="0.2">
      <c r="A2107">
        <v>99</v>
      </c>
      <c r="B2107" t="s">
        <v>2117</v>
      </c>
      <c r="C2107" t="s">
        <v>1839</v>
      </c>
      <c r="D2107" t="s">
        <v>57</v>
      </c>
      <c r="E2107" t="s">
        <v>4473</v>
      </c>
      <c r="F2107">
        <v>0</v>
      </c>
      <c r="G2107">
        <v>11.24</v>
      </c>
      <c r="H2107" t="s">
        <v>764</v>
      </c>
      <c r="I2107" t="s">
        <v>1152</v>
      </c>
      <c r="J2107">
        <v>0</v>
      </c>
      <c r="K2107">
        <v>0</v>
      </c>
      <c r="L2107" t="s">
        <v>1197</v>
      </c>
      <c r="M2107">
        <v>9277.9599999999991</v>
      </c>
      <c r="N2107" t="s">
        <v>4474</v>
      </c>
      <c r="O2107" t="s">
        <v>4462</v>
      </c>
    </row>
    <row r="2108" spans="1:15" x14ac:dyDescent="0.2">
      <c r="A2108">
        <v>99</v>
      </c>
      <c r="B2108" t="s">
        <v>2117</v>
      </c>
      <c r="C2108" t="s">
        <v>1839</v>
      </c>
      <c r="D2108" t="s">
        <v>57</v>
      </c>
      <c r="E2108" t="s">
        <v>4473</v>
      </c>
      <c r="F2108">
        <v>0</v>
      </c>
      <c r="G2108">
        <v>11.24</v>
      </c>
      <c r="H2108" t="s">
        <v>764</v>
      </c>
      <c r="I2108" t="s">
        <v>1152</v>
      </c>
      <c r="J2108">
        <v>0</v>
      </c>
      <c r="K2108">
        <v>0</v>
      </c>
      <c r="L2108" t="s">
        <v>5268</v>
      </c>
      <c r="M2108">
        <v>860.27</v>
      </c>
      <c r="N2108" t="s">
        <v>4474</v>
      </c>
      <c r="O2108" t="s">
        <v>4462</v>
      </c>
    </row>
    <row r="2109" spans="1:15" x14ac:dyDescent="0.2">
      <c r="A2109">
        <v>99</v>
      </c>
      <c r="B2109" t="s">
        <v>2117</v>
      </c>
      <c r="C2109" t="s">
        <v>1839</v>
      </c>
      <c r="D2109" t="s">
        <v>58</v>
      </c>
      <c r="E2109" t="s">
        <v>4475</v>
      </c>
      <c r="F2109">
        <v>0</v>
      </c>
      <c r="G2109">
        <v>1.31</v>
      </c>
      <c r="H2109" t="s">
        <v>742</v>
      </c>
      <c r="I2109" t="s">
        <v>1152</v>
      </c>
      <c r="J2109">
        <v>0</v>
      </c>
      <c r="K2109">
        <v>0</v>
      </c>
      <c r="L2109" t="s">
        <v>1197</v>
      </c>
      <c r="M2109">
        <v>9277.9599999999991</v>
      </c>
      <c r="N2109" t="s">
        <v>4476</v>
      </c>
      <c r="O2109" t="s">
        <v>4462</v>
      </c>
    </row>
    <row r="2110" spans="1:15" x14ac:dyDescent="0.2">
      <c r="A2110">
        <v>99</v>
      </c>
      <c r="B2110" t="s">
        <v>2117</v>
      </c>
      <c r="C2110" t="s">
        <v>1839</v>
      </c>
      <c r="D2110" t="s">
        <v>58</v>
      </c>
      <c r="E2110" t="s">
        <v>4475</v>
      </c>
      <c r="F2110">
        <v>0</v>
      </c>
      <c r="G2110">
        <v>1.31</v>
      </c>
      <c r="H2110" t="s">
        <v>742</v>
      </c>
      <c r="I2110" t="s">
        <v>1152</v>
      </c>
      <c r="J2110">
        <v>0</v>
      </c>
      <c r="K2110">
        <v>0</v>
      </c>
      <c r="L2110" t="s">
        <v>5268</v>
      </c>
      <c r="M2110">
        <v>860.27</v>
      </c>
      <c r="N2110" t="s">
        <v>4476</v>
      </c>
      <c r="O2110" t="s">
        <v>4462</v>
      </c>
    </row>
    <row r="2111" spans="1:15" x14ac:dyDescent="0.2">
      <c r="A2111">
        <v>99</v>
      </c>
      <c r="B2111" t="s">
        <v>2117</v>
      </c>
      <c r="C2111" t="s">
        <v>1839</v>
      </c>
      <c r="D2111" t="s">
        <v>48</v>
      </c>
      <c r="E2111" t="s">
        <v>96</v>
      </c>
      <c r="F2111">
        <v>0</v>
      </c>
      <c r="G2111">
        <v>1</v>
      </c>
      <c r="H2111" t="s">
        <v>742</v>
      </c>
      <c r="I2111" t="s">
        <v>1152</v>
      </c>
      <c r="J2111">
        <v>0</v>
      </c>
      <c r="K2111">
        <v>0</v>
      </c>
      <c r="L2111" t="s">
        <v>1197</v>
      </c>
      <c r="M2111">
        <v>9277.9599999999991</v>
      </c>
      <c r="N2111" t="s">
        <v>4472</v>
      </c>
      <c r="O2111" t="s">
        <v>4462</v>
      </c>
    </row>
    <row r="2112" spans="1:15" x14ac:dyDescent="0.2">
      <c r="A2112">
        <v>99</v>
      </c>
      <c r="B2112" t="s">
        <v>2117</v>
      </c>
      <c r="C2112" t="s">
        <v>1839</v>
      </c>
      <c r="D2112" t="s">
        <v>48</v>
      </c>
      <c r="E2112" t="s">
        <v>96</v>
      </c>
      <c r="F2112">
        <v>0</v>
      </c>
      <c r="G2112">
        <v>1</v>
      </c>
      <c r="H2112" t="s">
        <v>742</v>
      </c>
      <c r="I2112" t="s">
        <v>1152</v>
      </c>
      <c r="J2112">
        <v>0</v>
      </c>
      <c r="K2112">
        <v>0</v>
      </c>
      <c r="L2112" t="s">
        <v>5268</v>
      </c>
      <c r="M2112">
        <v>860.27</v>
      </c>
      <c r="N2112" t="s">
        <v>4472</v>
      </c>
      <c r="O2112" t="s">
        <v>4462</v>
      </c>
    </row>
    <row r="2113" spans="1:15" x14ac:dyDescent="0.2">
      <c r="A2113">
        <v>99</v>
      </c>
      <c r="B2113" t="s">
        <v>2117</v>
      </c>
      <c r="C2113" t="s">
        <v>5269</v>
      </c>
      <c r="D2113" t="s">
        <v>5270</v>
      </c>
      <c r="E2113" t="s">
        <v>5271</v>
      </c>
      <c r="F2113">
        <v>1</v>
      </c>
      <c r="G2113">
        <v>20</v>
      </c>
      <c r="H2113" t="s">
        <v>153</v>
      </c>
      <c r="I2113" t="s">
        <v>153</v>
      </c>
      <c r="J2113">
        <v>20</v>
      </c>
      <c r="K2113">
        <v>13036.5</v>
      </c>
      <c r="L2113" t="s">
        <v>5272</v>
      </c>
      <c r="M2113">
        <v>651.82500000000005</v>
      </c>
      <c r="N2113" t="s">
        <v>5273</v>
      </c>
      <c r="O2113" t="s">
        <v>5274</v>
      </c>
    </row>
    <row r="2114" spans="1:15" x14ac:dyDescent="0.2">
      <c r="A2114">
        <v>99</v>
      </c>
      <c r="B2114" t="s">
        <v>2117</v>
      </c>
      <c r="C2114" t="s">
        <v>5269</v>
      </c>
      <c r="D2114" t="s">
        <v>5275</v>
      </c>
      <c r="E2114" t="s">
        <v>5276</v>
      </c>
      <c r="F2114">
        <v>0.6452</v>
      </c>
      <c r="G2114">
        <v>34.119999999999997</v>
      </c>
      <c r="H2114" t="s">
        <v>5277</v>
      </c>
      <c r="I2114" t="s">
        <v>153</v>
      </c>
      <c r="J2114">
        <v>22.014223999999999</v>
      </c>
      <c r="K2114">
        <v>14349.421559</v>
      </c>
      <c r="L2114" t="s">
        <v>5272</v>
      </c>
      <c r="M2114">
        <v>651.82500000000005</v>
      </c>
      <c r="N2114" t="s">
        <v>5278</v>
      </c>
      <c r="O2114" t="s">
        <v>5274</v>
      </c>
    </row>
    <row r="2115" spans="1:15" x14ac:dyDescent="0.2">
      <c r="A2115">
        <v>99</v>
      </c>
      <c r="B2115" t="s">
        <v>2117</v>
      </c>
      <c r="C2115" t="s">
        <v>5269</v>
      </c>
      <c r="D2115" t="s">
        <v>5279</v>
      </c>
      <c r="E2115" t="s">
        <v>5280</v>
      </c>
      <c r="F2115">
        <v>1</v>
      </c>
      <c r="G2115">
        <v>0.74</v>
      </c>
      <c r="H2115" t="s">
        <v>153</v>
      </c>
      <c r="I2115" t="s">
        <v>153</v>
      </c>
      <c r="J2115">
        <v>0.74</v>
      </c>
      <c r="K2115">
        <v>482.35050000000001</v>
      </c>
      <c r="L2115" t="s">
        <v>5272</v>
      </c>
      <c r="M2115">
        <v>651.82500000000005</v>
      </c>
      <c r="N2115" t="s">
        <v>5281</v>
      </c>
      <c r="O2115" t="s">
        <v>5274</v>
      </c>
    </row>
    <row r="2116" spans="1:15" x14ac:dyDescent="0.2">
      <c r="A2116">
        <v>99</v>
      </c>
      <c r="B2116" t="s">
        <v>2117</v>
      </c>
      <c r="C2116" t="s">
        <v>5269</v>
      </c>
      <c r="D2116" t="s">
        <v>5282</v>
      </c>
      <c r="E2116" t="s">
        <v>5283</v>
      </c>
      <c r="F2116">
        <v>6.0000000000000001E-3</v>
      </c>
      <c r="G2116">
        <v>553.09</v>
      </c>
      <c r="H2116" t="s">
        <v>152</v>
      </c>
      <c r="I2116" t="s">
        <v>153</v>
      </c>
      <c r="J2116">
        <v>3.31854</v>
      </c>
      <c r="K2116">
        <v>2163.107336</v>
      </c>
      <c r="L2116" t="s">
        <v>5272</v>
      </c>
      <c r="M2116">
        <v>651.82500000000005</v>
      </c>
      <c r="N2116" t="s">
        <v>5284</v>
      </c>
      <c r="O2116" t="s">
        <v>5274</v>
      </c>
    </row>
    <row r="2117" spans="1:15" x14ac:dyDescent="0.2">
      <c r="A2117">
        <v>99</v>
      </c>
      <c r="B2117" t="s">
        <v>2117</v>
      </c>
      <c r="C2117" t="s">
        <v>5269</v>
      </c>
      <c r="D2117" t="s">
        <v>1009</v>
      </c>
      <c r="E2117" t="s">
        <v>672</v>
      </c>
      <c r="F2117">
        <v>0</v>
      </c>
      <c r="G2117">
        <v>16.489999999999998</v>
      </c>
      <c r="H2117" t="s">
        <v>151</v>
      </c>
      <c r="I2117" t="s">
        <v>153</v>
      </c>
      <c r="J2117">
        <v>0</v>
      </c>
      <c r="K2117">
        <v>0</v>
      </c>
      <c r="L2117" t="s">
        <v>5272</v>
      </c>
      <c r="M2117">
        <v>651.82500000000005</v>
      </c>
      <c r="N2117" t="s">
        <v>5285</v>
      </c>
      <c r="O2117" t="s">
        <v>5274</v>
      </c>
    </row>
    <row r="2118" spans="1:15" x14ac:dyDescent="0.2">
      <c r="A2118">
        <v>99</v>
      </c>
      <c r="B2118" t="s">
        <v>2117</v>
      </c>
      <c r="C2118" t="s">
        <v>5269</v>
      </c>
      <c r="D2118" t="s">
        <v>498</v>
      </c>
      <c r="E2118" t="s">
        <v>773</v>
      </c>
      <c r="F2118">
        <v>1.2</v>
      </c>
      <c r="G2118">
        <v>0</v>
      </c>
      <c r="H2118" t="s">
        <v>84</v>
      </c>
      <c r="I2118" t="s">
        <v>153</v>
      </c>
      <c r="J2118">
        <v>0</v>
      </c>
      <c r="K2118">
        <v>0</v>
      </c>
      <c r="L2118" t="s">
        <v>5272</v>
      </c>
      <c r="M2118">
        <v>651.82500000000005</v>
      </c>
      <c r="N2118" t="s">
        <v>5286</v>
      </c>
      <c r="O2118" t="s">
        <v>5274</v>
      </c>
    </row>
    <row r="2119" spans="1:15" x14ac:dyDescent="0.2">
      <c r="A2119">
        <v>99</v>
      </c>
      <c r="B2119" t="s">
        <v>2117</v>
      </c>
      <c r="C2119" t="s">
        <v>5269</v>
      </c>
      <c r="D2119" t="s">
        <v>801</v>
      </c>
      <c r="E2119" t="s">
        <v>402</v>
      </c>
      <c r="F2119">
        <v>0</v>
      </c>
      <c r="G2119">
        <v>10.3</v>
      </c>
      <c r="H2119" t="s">
        <v>151</v>
      </c>
      <c r="I2119" t="s">
        <v>153</v>
      </c>
      <c r="J2119">
        <v>0</v>
      </c>
      <c r="K2119">
        <v>0</v>
      </c>
      <c r="L2119" t="s">
        <v>5272</v>
      </c>
      <c r="M2119">
        <v>651.82500000000005</v>
      </c>
      <c r="N2119" t="s">
        <v>5287</v>
      </c>
      <c r="O2119" t="s">
        <v>5274</v>
      </c>
    </row>
    <row r="2120" spans="1:15" x14ac:dyDescent="0.2">
      <c r="A2120">
        <v>99</v>
      </c>
      <c r="B2120" t="s">
        <v>2117</v>
      </c>
      <c r="C2120" t="s">
        <v>1857</v>
      </c>
      <c r="D2120" t="s">
        <v>801</v>
      </c>
      <c r="E2120" t="s">
        <v>402</v>
      </c>
      <c r="F2120">
        <v>0</v>
      </c>
      <c r="G2120">
        <v>10.3</v>
      </c>
      <c r="H2120" t="s">
        <v>151</v>
      </c>
      <c r="I2120" t="s">
        <v>1152</v>
      </c>
      <c r="J2120">
        <v>0</v>
      </c>
      <c r="K2120">
        <v>0</v>
      </c>
      <c r="L2120" t="s">
        <v>1191</v>
      </c>
      <c r="M2120">
        <v>3490.32</v>
      </c>
      <c r="N2120" t="s">
        <v>4485</v>
      </c>
      <c r="O2120" t="s">
        <v>4478</v>
      </c>
    </row>
    <row r="2121" spans="1:15" x14ac:dyDescent="0.2">
      <c r="A2121">
        <v>99</v>
      </c>
      <c r="B2121" t="s">
        <v>2117</v>
      </c>
      <c r="C2121" t="s">
        <v>1857</v>
      </c>
      <c r="D2121" t="s">
        <v>498</v>
      </c>
      <c r="E2121" t="s">
        <v>773</v>
      </c>
      <c r="F2121">
        <v>1.2</v>
      </c>
      <c r="G2121">
        <v>0</v>
      </c>
      <c r="H2121" t="s">
        <v>84</v>
      </c>
      <c r="I2121" t="s">
        <v>1152</v>
      </c>
      <c r="J2121">
        <v>0</v>
      </c>
      <c r="K2121">
        <v>0</v>
      </c>
      <c r="L2121" t="s">
        <v>1191</v>
      </c>
      <c r="M2121">
        <v>3490.32</v>
      </c>
      <c r="N2121" t="s">
        <v>4487</v>
      </c>
      <c r="O2121" t="s">
        <v>4478</v>
      </c>
    </row>
    <row r="2122" spans="1:15" x14ac:dyDescent="0.2">
      <c r="A2122">
        <v>99</v>
      </c>
      <c r="B2122" t="s">
        <v>2117</v>
      </c>
      <c r="C2122" t="s">
        <v>1857</v>
      </c>
      <c r="D2122" t="s">
        <v>940</v>
      </c>
      <c r="E2122" t="s">
        <v>1003</v>
      </c>
      <c r="F2122">
        <v>0</v>
      </c>
      <c r="G2122">
        <v>21.3</v>
      </c>
      <c r="H2122" t="s">
        <v>151</v>
      </c>
      <c r="I2122" t="s">
        <v>1152</v>
      </c>
      <c r="J2122">
        <v>0</v>
      </c>
      <c r="K2122">
        <v>0</v>
      </c>
      <c r="L2122" t="s">
        <v>1191</v>
      </c>
      <c r="M2122">
        <v>3490.32</v>
      </c>
      <c r="N2122" t="s">
        <v>4484</v>
      </c>
      <c r="O2122" t="s">
        <v>4478</v>
      </c>
    </row>
    <row r="2123" spans="1:15" x14ac:dyDescent="0.2">
      <c r="A2123">
        <v>99</v>
      </c>
      <c r="B2123" t="s">
        <v>2117</v>
      </c>
      <c r="C2123" t="s">
        <v>1857</v>
      </c>
      <c r="D2123" t="s">
        <v>309</v>
      </c>
      <c r="E2123" t="s">
        <v>4482</v>
      </c>
      <c r="F2123">
        <v>1.0663</v>
      </c>
      <c r="G2123">
        <v>90</v>
      </c>
      <c r="H2123" t="s">
        <v>1152</v>
      </c>
      <c r="I2123" t="s">
        <v>1152</v>
      </c>
      <c r="J2123">
        <v>95.966999999999999</v>
      </c>
      <c r="K2123">
        <v>334955.53944000002</v>
      </c>
      <c r="L2123" t="s">
        <v>1191</v>
      </c>
      <c r="M2123">
        <v>3490.32</v>
      </c>
      <c r="N2123" t="s">
        <v>4483</v>
      </c>
      <c r="O2123" t="s">
        <v>4478</v>
      </c>
    </row>
    <row r="2124" spans="1:15" x14ac:dyDescent="0.2">
      <c r="A2124">
        <v>99</v>
      </c>
      <c r="B2124" t="s">
        <v>2117</v>
      </c>
      <c r="C2124" t="s">
        <v>1857</v>
      </c>
      <c r="D2124" t="s">
        <v>57</v>
      </c>
      <c r="E2124" t="s">
        <v>4473</v>
      </c>
      <c r="F2124">
        <v>0</v>
      </c>
      <c r="G2124">
        <v>11.24</v>
      </c>
      <c r="H2124" t="s">
        <v>764</v>
      </c>
      <c r="I2124" t="s">
        <v>1152</v>
      </c>
      <c r="J2124">
        <v>0</v>
      </c>
      <c r="K2124">
        <v>0</v>
      </c>
      <c r="L2124" t="s">
        <v>1191</v>
      </c>
      <c r="M2124">
        <v>3490.32</v>
      </c>
      <c r="N2124" t="s">
        <v>4477</v>
      </c>
      <c r="O2124" t="s">
        <v>4478</v>
      </c>
    </row>
    <row r="2125" spans="1:15" x14ac:dyDescent="0.2">
      <c r="A2125">
        <v>99</v>
      </c>
      <c r="B2125" t="s">
        <v>2117</v>
      </c>
      <c r="C2125" t="s">
        <v>1857</v>
      </c>
      <c r="D2125" t="s">
        <v>1260</v>
      </c>
      <c r="E2125" t="s">
        <v>1455</v>
      </c>
      <c r="F2125">
        <v>5.8999999999999999E-3</v>
      </c>
      <c r="G2125">
        <v>131.69</v>
      </c>
      <c r="H2125" t="s">
        <v>1153</v>
      </c>
      <c r="I2125" t="s">
        <v>1152</v>
      </c>
      <c r="J2125">
        <v>0.77697099999999997</v>
      </c>
      <c r="K2125">
        <v>2711.8774210000001</v>
      </c>
      <c r="L2125" t="s">
        <v>1191</v>
      </c>
      <c r="M2125">
        <v>3490.32</v>
      </c>
      <c r="N2125" t="s">
        <v>4481</v>
      </c>
      <c r="O2125" t="s">
        <v>4478</v>
      </c>
    </row>
    <row r="2126" spans="1:15" x14ac:dyDescent="0.2">
      <c r="A2126">
        <v>99</v>
      </c>
      <c r="B2126" t="s">
        <v>2117</v>
      </c>
      <c r="C2126" t="s">
        <v>1857</v>
      </c>
      <c r="D2126" t="s">
        <v>1376</v>
      </c>
      <c r="E2126" t="s">
        <v>1622</v>
      </c>
      <c r="F2126">
        <v>5.6800000000000003E-2</v>
      </c>
      <c r="G2126">
        <v>134.02000000000001</v>
      </c>
      <c r="H2126" t="s">
        <v>1153</v>
      </c>
      <c r="I2126" t="s">
        <v>1152</v>
      </c>
      <c r="J2126">
        <v>7.612336</v>
      </c>
      <c r="K2126">
        <v>26569.488588</v>
      </c>
      <c r="L2126" t="s">
        <v>1191</v>
      </c>
      <c r="M2126">
        <v>3490.32</v>
      </c>
      <c r="N2126" t="s">
        <v>4480</v>
      </c>
      <c r="O2126" t="s">
        <v>4478</v>
      </c>
    </row>
    <row r="2127" spans="1:15" x14ac:dyDescent="0.2">
      <c r="A2127">
        <v>99</v>
      </c>
      <c r="B2127" t="s">
        <v>2117</v>
      </c>
      <c r="C2127" t="s">
        <v>1857</v>
      </c>
      <c r="D2127" t="s">
        <v>1269</v>
      </c>
      <c r="E2127" t="s">
        <v>4468</v>
      </c>
      <c r="F2127">
        <v>1</v>
      </c>
      <c r="G2127">
        <v>50</v>
      </c>
      <c r="H2127" t="s">
        <v>1152</v>
      </c>
      <c r="I2127" t="s">
        <v>1152</v>
      </c>
      <c r="J2127">
        <v>50</v>
      </c>
      <c r="K2127">
        <v>174516</v>
      </c>
      <c r="L2127" t="s">
        <v>1191</v>
      </c>
      <c r="M2127">
        <v>3490.32</v>
      </c>
      <c r="N2127" t="s">
        <v>4486</v>
      </c>
      <c r="O2127" t="s">
        <v>4478</v>
      </c>
    </row>
    <row r="2128" spans="1:15" x14ac:dyDescent="0.2">
      <c r="A2128">
        <v>99</v>
      </c>
      <c r="B2128" t="s">
        <v>2117</v>
      </c>
      <c r="C2128" t="s">
        <v>1857</v>
      </c>
      <c r="D2128" t="s">
        <v>58</v>
      </c>
      <c r="E2128" t="s">
        <v>4475</v>
      </c>
      <c r="F2128">
        <v>0</v>
      </c>
      <c r="G2128">
        <v>1.31</v>
      </c>
      <c r="H2128" t="s">
        <v>742</v>
      </c>
      <c r="I2128" t="s">
        <v>1152</v>
      </c>
      <c r="J2128">
        <v>0</v>
      </c>
      <c r="K2128">
        <v>0</v>
      </c>
      <c r="L2128" t="s">
        <v>1191</v>
      </c>
      <c r="M2128">
        <v>3490.32</v>
      </c>
      <c r="N2128" t="s">
        <v>4479</v>
      </c>
      <c r="O2128" t="s">
        <v>4478</v>
      </c>
    </row>
    <row r="2129" spans="1:15" x14ac:dyDescent="0.2">
      <c r="A2129">
        <v>99</v>
      </c>
      <c r="B2129" t="s">
        <v>2117</v>
      </c>
      <c r="C2129" t="s">
        <v>1896</v>
      </c>
      <c r="D2129" t="s">
        <v>305</v>
      </c>
      <c r="E2129" t="s">
        <v>1381</v>
      </c>
      <c r="F2129">
        <v>0</v>
      </c>
      <c r="G2129">
        <v>71.92</v>
      </c>
      <c r="H2129" t="s">
        <v>742</v>
      </c>
      <c r="I2129" t="s">
        <v>1153</v>
      </c>
      <c r="J2129">
        <v>0</v>
      </c>
      <c r="K2129">
        <v>0</v>
      </c>
      <c r="L2129" t="s">
        <v>1188</v>
      </c>
      <c r="M2129">
        <v>451.32</v>
      </c>
      <c r="N2129" t="s">
        <v>4501</v>
      </c>
      <c r="O2129" t="s">
        <v>4489</v>
      </c>
    </row>
    <row r="2130" spans="1:15" x14ac:dyDescent="0.2">
      <c r="A2130">
        <v>99</v>
      </c>
      <c r="B2130" t="s">
        <v>2117</v>
      </c>
      <c r="C2130" t="s">
        <v>1896</v>
      </c>
      <c r="D2130" t="s">
        <v>305</v>
      </c>
      <c r="E2130" t="s">
        <v>1381</v>
      </c>
      <c r="F2130">
        <v>0</v>
      </c>
      <c r="G2130">
        <v>71.92</v>
      </c>
      <c r="H2130" t="s">
        <v>742</v>
      </c>
      <c r="I2130" t="s">
        <v>1153</v>
      </c>
      <c r="J2130">
        <v>0</v>
      </c>
      <c r="K2130">
        <v>0</v>
      </c>
      <c r="L2130" t="s">
        <v>5288</v>
      </c>
      <c r="M2130">
        <v>25.81</v>
      </c>
      <c r="N2130" t="s">
        <v>4501</v>
      </c>
      <c r="O2130" t="s">
        <v>4489</v>
      </c>
    </row>
    <row r="2131" spans="1:15" x14ac:dyDescent="0.2">
      <c r="A2131">
        <v>99</v>
      </c>
      <c r="B2131" t="s">
        <v>2117</v>
      </c>
      <c r="C2131" t="s">
        <v>1896</v>
      </c>
      <c r="D2131" t="s">
        <v>300</v>
      </c>
      <c r="E2131" t="s">
        <v>1398</v>
      </c>
      <c r="F2131">
        <v>0</v>
      </c>
      <c r="G2131">
        <v>172.95</v>
      </c>
      <c r="H2131" t="s">
        <v>764</v>
      </c>
      <c r="I2131" t="s">
        <v>1153</v>
      </c>
      <c r="J2131">
        <v>0</v>
      </c>
      <c r="K2131">
        <v>0</v>
      </c>
      <c r="L2131" t="s">
        <v>1188</v>
      </c>
      <c r="M2131">
        <v>451.32</v>
      </c>
      <c r="N2131" t="s">
        <v>4500</v>
      </c>
      <c r="O2131" t="s">
        <v>4489</v>
      </c>
    </row>
    <row r="2132" spans="1:15" x14ac:dyDescent="0.2">
      <c r="A2132">
        <v>99</v>
      </c>
      <c r="B2132" t="s">
        <v>2117</v>
      </c>
      <c r="C2132" t="s">
        <v>1896</v>
      </c>
      <c r="D2132" t="s">
        <v>300</v>
      </c>
      <c r="E2132" t="s">
        <v>1398</v>
      </c>
      <c r="F2132">
        <v>0</v>
      </c>
      <c r="G2132">
        <v>172.95</v>
      </c>
      <c r="H2132" t="s">
        <v>764</v>
      </c>
      <c r="I2132" t="s">
        <v>1153</v>
      </c>
      <c r="J2132">
        <v>0</v>
      </c>
      <c r="K2132">
        <v>0</v>
      </c>
      <c r="L2132" t="s">
        <v>5288</v>
      </c>
      <c r="M2132">
        <v>25.81</v>
      </c>
      <c r="N2132" t="s">
        <v>4500</v>
      </c>
      <c r="O2132" t="s">
        <v>4489</v>
      </c>
    </row>
    <row r="2133" spans="1:15" x14ac:dyDescent="0.2">
      <c r="A2133">
        <v>99</v>
      </c>
      <c r="B2133" t="s">
        <v>2117</v>
      </c>
      <c r="C2133" t="s">
        <v>1896</v>
      </c>
      <c r="D2133" t="s">
        <v>295</v>
      </c>
      <c r="E2133" t="s">
        <v>1928</v>
      </c>
      <c r="F2133">
        <v>0</v>
      </c>
      <c r="G2133">
        <v>265.10000000000002</v>
      </c>
      <c r="H2133" t="s">
        <v>764</v>
      </c>
      <c r="I2133" t="s">
        <v>1153</v>
      </c>
      <c r="J2133">
        <v>0</v>
      </c>
      <c r="K2133">
        <v>0</v>
      </c>
      <c r="L2133" t="s">
        <v>1188</v>
      </c>
      <c r="M2133">
        <v>451.32</v>
      </c>
      <c r="N2133" t="s">
        <v>4498</v>
      </c>
      <c r="O2133" t="s">
        <v>4489</v>
      </c>
    </row>
    <row r="2134" spans="1:15" x14ac:dyDescent="0.2">
      <c r="A2134">
        <v>99</v>
      </c>
      <c r="B2134" t="s">
        <v>2117</v>
      </c>
      <c r="C2134" t="s">
        <v>1896</v>
      </c>
      <c r="D2134" t="s">
        <v>295</v>
      </c>
      <c r="E2134" t="s">
        <v>1928</v>
      </c>
      <c r="F2134">
        <v>0</v>
      </c>
      <c r="G2134">
        <v>265.10000000000002</v>
      </c>
      <c r="H2134" t="s">
        <v>764</v>
      </c>
      <c r="I2134" t="s">
        <v>1153</v>
      </c>
      <c r="J2134">
        <v>0</v>
      </c>
      <c r="K2134">
        <v>0</v>
      </c>
      <c r="L2134" t="s">
        <v>5288</v>
      </c>
      <c r="M2134">
        <v>25.81</v>
      </c>
      <c r="N2134" t="s">
        <v>4498</v>
      </c>
      <c r="O2134" t="s">
        <v>4489</v>
      </c>
    </row>
    <row r="2135" spans="1:15" x14ac:dyDescent="0.2">
      <c r="A2135">
        <v>99</v>
      </c>
      <c r="B2135" t="s">
        <v>2117</v>
      </c>
      <c r="C2135" t="s">
        <v>1896</v>
      </c>
      <c r="D2135" t="s">
        <v>291</v>
      </c>
      <c r="E2135" t="s">
        <v>4494</v>
      </c>
      <c r="F2135">
        <v>0</v>
      </c>
      <c r="G2135">
        <v>233.33</v>
      </c>
      <c r="H2135" t="s">
        <v>764</v>
      </c>
      <c r="I2135" t="s">
        <v>1153</v>
      </c>
      <c r="J2135">
        <v>0</v>
      </c>
      <c r="K2135">
        <v>0</v>
      </c>
      <c r="L2135" t="s">
        <v>1188</v>
      </c>
      <c r="M2135">
        <v>451.32</v>
      </c>
      <c r="N2135" t="s">
        <v>4495</v>
      </c>
      <c r="O2135" t="s">
        <v>4489</v>
      </c>
    </row>
    <row r="2136" spans="1:15" x14ac:dyDescent="0.2">
      <c r="A2136">
        <v>99</v>
      </c>
      <c r="B2136" t="s">
        <v>2117</v>
      </c>
      <c r="C2136" t="s">
        <v>1896</v>
      </c>
      <c r="D2136" t="s">
        <v>291</v>
      </c>
      <c r="E2136" t="s">
        <v>4494</v>
      </c>
      <c r="F2136">
        <v>0</v>
      </c>
      <c r="G2136">
        <v>233.33</v>
      </c>
      <c r="H2136" t="s">
        <v>764</v>
      </c>
      <c r="I2136" t="s">
        <v>1153</v>
      </c>
      <c r="J2136">
        <v>0</v>
      </c>
      <c r="K2136">
        <v>0</v>
      </c>
      <c r="L2136" t="s">
        <v>5288</v>
      </c>
      <c r="M2136">
        <v>25.81</v>
      </c>
      <c r="N2136" t="s">
        <v>4495</v>
      </c>
      <c r="O2136" t="s">
        <v>4489</v>
      </c>
    </row>
    <row r="2137" spans="1:15" x14ac:dyDescent="0.2">
      <c r="A2137">
        <v>99</v>
      </c>
      <c r="B2137" t="s">
        <v>2117</v>
      </c>
      <c r="C2137" t="s">
        <v>1896</v>
      </c>
      <c r="D2137" t="s">
        <v>233</v>
      </c>
      <c r="E2137" t="s">
        <v>420</v>
      </c>
      <c r="F2137">
        <v>0</v>
      </c>
      <c r="G2137">
        <v>327.60000000000002</v>
      </c>
      <c r="H2137" t="s">
        <v>764</v>
      </c>
      <c r="I2137" t="s">
        <v>1153</v>
      </c>
      <c r="J2137">
        <v>0</v>
      </c>
      <c r="K2137">
        <v>0</v>
      </c>
      <c r="L2137" t="s">
        <v>1188</v>
      </c>
      <c r="M2137">
        <v>451.32</v>
      </c>
      <c r="N2137" t="s">
        <v>4492</v>
      </c>
      <c r="O2137" t="s">
        <v>4489</v>
      </c>
    </row>
    <row r="2138" spans="1:15" x14ac:dyDescent="0.2">
      <c r="A2138">
        <v>99</v>
      </c>
      <c r="B2138" t="s">
        <v>2117</v>
      </c>
      <c r="C2138" t="s">
        <v>1896</v>
      </c>
      <c r="D2138" t="s">
        <v>233</v>
      </c>
      <c r="E2138" t="s">
        <v>420</v>
      </c>
      <c r="F2138">
        <v>0</v>
      </c>
      <c r="G2138">
        <v>327.60000000000002</v>
      </c>
      <c r="H2138" t="s">
        <v>764</v>
      </c>
      <c r="I2138" t="s">
        <v>1153</v>
      </c>
      <c r="J2138">
        <v>0</v>
      </c>
      <c r="K2138">
        <v>0</v>
      </c>
      <c r="L2138" t="s">
        <v>5288</v>
      </c>
      <c r="M2138">
        <v>25.81</v>
      </c>
      <c r="N2138" t="s">
        <v>4492</v>
      </c>
      <c r="O2138" t="s">
        <v>4489</v>
      </c>
    </row>
    <row r="2139" spans="1:15" x14ac:dyDescent="0.2">
      <c r="A2139">
        <v>99</v>
      </c>
      <c r="B2139" t="s">
        <v>2117</v>
      </c>
      <c r="C2139" t="s">
        <v>1896</v>
      </c>
      <c r="D2139" t="s">
        <v>235</v>
      </c>
      <c r="E2139" t="s">
        <v>413</v>
      </c>
      <c r="F2139">
        <v>0</v>
      </c>
      <c r="G2139">
        <v>72.41</v>
      </c>
      <c r="H2139" t="s">
        <v>742</v>
      </c>
      <c r="I2139" t="s">
        <v>1153</v>
      </c>
      <c r="J2139">
        <v>0</v>
      </c>
      <c r="K2139">
        <v>0</v>
      </c>
      <c r="L2139" t="s">
        <v>1188</v>
      </c>
      <c r="M2139">
        <v>451.32</v>
      </c>
      <c r="N2139" t="s">
        <v>4493</v>
      </c>
      <c r="O2139" t="s">
        <v>4489</v>
      </c>
    </row>
    <row r="2140" spans="1:15" x14ac:dyDescent="0.2">
      <c r="A2140">
        <v>99</v>
      </c>
      <c r="B2140" t="s">
        <v>2117</v>
      </c>
      <c r="C2140" t="s">
        <v>1896</v>
      </c>
      <c r="D2140" t="s">
        <v>235</v>
      </c>
      <c r="E2140" t="s">
        <v>413</v>
      </c>
      <c r="F2140">
        <v>0</v>
      </c>
      <c r="G2140">
        <v>72.41</v>
      </c>
      <c r="H2140" t="s">
        <v>742</v>
      </c>
      <c r="I2140" t="s">
        <v>1153</v>
      </c>
      <c r="J2140">
        <v>0</v>
      </c>
      <c r="K2140">
        <v>0</v>
      </c>
      <c r="L2140" t="s">
        <v>5288</v>
      </c>
      <c r="M2140">
        <v>25.81</v>
      </c>
      <c r="N2140" t="s">
        <v>4493</v>
      </c>
      <c r="O2140" t="s">
        <v>4489</v>
      </c>
    </row>
    <row r="2141" spans="1:15" x14ac:dyDescent="0.2">
      <c r="A2141">
        <v>99</v>
      </c>
      <c r="B2141" t="s">
        <v>2117</v>
      </c>
      <c r="C2141" t="s">
        <v>1896</v>
      </c>
      <c r="D2141" t="s">
        <v>616</v>
      </c>
      <c r="E2141" t="s">
        <v>859</v>
      </c>
      <c r="F2141">
        <v>1.1000000000000001</v>
      </c>
      <c r="G2141">
        <v>112.2388</v>
      </c>
      <c r="H2141" t="s">
        <v>1153</v>
      </c>
      <c r="I2141" t="s">
        <v>1153</v>
      </c>
      <c r="J2141">
        <v>123.46268000000001</v>
      </c>
      <c r="K2141">
        <v>55721.176738000002</v>
      </c>
      <c r="L2141" t="s">
        <v>1188</v>
      </c>
      <c r="M2141">
        <v>451.32</v>
      </c>
      <c r="N2141" t="s">
        <v>4488</v>
      </c>
      <c r="O2141" t="s">
        <v>4489</v>
      </c>
    </row>
    <row r="2142" spans="1:15" x14ac:dyDescent="0.2">
      <c r="A2142">
        <v>99</v>
      </c>
      <c r="B2142" t="s">
        <v>2117</v>
      </c>
      <c r="C2142" t="s">
        <v>1896</v>
      </c>
      <c r="D2142" t="s">
        <v>616</v>
      </c>
      <c r="E2142" t="s">
        <v>859</v>
      </c>
      <c r="F2142">
        <v>1.1000000000000001</v>
      </c>
      <c r="G2142">
        <v>112.2388</v>
      </c>
      <c r="H2142" t="s">
        <v>1153</v>
      </c>
      <c r="I2142" t="s">
        <v>1153</v>
      </c>
      <c r="J2142">
        <v>123.46268000000001</v>
      </c>
      <c r="K2142">
        <v>3186.5717709999999</v>
      </c>
      <c r="L2142" t="s">
        <v>5288</v>
      </c>
      <c r="M2142">
        <v>25.81</v>
      </c>
      <c r="N2142" t="s">
        <v>4488</v>
      </c>
      <c r="O2142" t="s">
        <v>4489</v>
      </c>
    </row>
    <row r="2143" spans="1:15" x14ac:dyDescent="0.2">
      <c r="A2143">
        <v>99</v>
      </c>
      <c r="B2143" t="s">
        <v>2117</v>
      </c>
      <c r="C2143" t="s">
        <v>1896</v>
      </c>
      <c r="D2143" t="s">
        <v>299</v>
      </c>
      <c r="E2143" t="s">
        <v>1912</v>
      </c>
      <c r="F2143">
        <v>0</v>
      </c>
      <c r="G2143">
        <v>110.91</v>
      </c>
      <c r="H2143" t="s">
        <v>742</v>
      </c>
      <c r="I2143" t="s">
        <v>1153</v>
      </c>
      <c r="J2143">
        <v>0</v>
      </c>
      <c r="K2143">
        <v>0</v>
      </c>
      <c r="L2143" t="s">
        <v>1188</v>
      </c>
      <c r="M2143">
        <v>451.32</v>
      </c>
      <c r="N2143" t="s">
        <v>4499</v>
      </c>
      <c r="O2143" t="s">
        <v>4489</v>
      </c>
    </row>
    <row r="2144" spans="1:15" x14ac:dyDescent="0.2">
      <c r="A2144">
        <v>99</v>
      </c>
      <c r="B2144" t="s">
        <v>2117</v>
      </c>
      <c r="C2144" t="s">
        <v>1896</v>
      </c>
      <c r="D2144" t="s">
        <v>299</v>
      </c>
      <c r="E2144" t="s">
        <v>1912</v>
      </c>
      <c r="F2144">
        <v>0</v>
      </c>
      <c r="G2144">
        <v>110.91</v>
      </c>
      <c r="H2144" t="s">
        <v>742</v>
      </c>
      <c r="I2144" t="s">
        <v>1153</v>
      </c>
      <c r="J2144">
        <v>0</v>
      </c>
      <c r="K2144">
        <v>0</v>
      </c>
      <c r="L2144" t="s">
        <v>5288</v>
      </c>
      <c r="M2144">
        <v>25.81</v>
      </c>
      <c r="N2144" t="s">
        <v>4499</v>
      </c>
      <c r="O2144" t="s">
        <v>4489</v>
      </c>
    </row>
    <row r="2145" spans="1:15" x14ac:dyDescent="0.2">
      <c r="A2145">
        <v>99</v>
      </c>
      <c r="B2145" t="s">
        <v>2117</v>
      </c>
      <c r="C2145" t="s">
        <v>1896</v>
      </c>
      <c r="D2145" t="s">
        <v>498</v>
      </c>
      <c r="E2145" t="s">
        <v>773</v>
      </c>
      <c r="F2145">
        <v>1.2</v>
      </c>
      <c r="G2145">
        <v>0</v>
      </c>
      <c r="H2145" t="s">
        <v>84</v>
      </c>
      <c r="I2145" t="s">
        <v>1153</v>
      </c>
      <c r="J2145">
        <v>0</v>
      </c>
      <c r="K2145">
        <v>0</v>
      </c>
      <c r="L2145" t="s">
        <v>1188</v>
      </c>
      <c r="M2145">
        <v>451.32</v>
      </c>
      <c r="N2145" t="s">
        <v>4491</v>
      </c>
      <c r="O2145" t="s">
        <v>4489</v>
      </c>
    </row>
    <row r="2146" spans="1:15" x14ac:dyDescent="0.2">
      <c r="A2146">
        <v>99</v>
      </c>
      <c r="B2146" t="s">
        <v>2117</v>
      </c>
      <c r="C2146" t="s">
        <v>1896</v>
      </c>
      <c r="D2146" t="s">
        <v>498</v>
      </c>
      <c r="E2146" t="s">
        <v>773</v>
      </c>
      <c r="F2146">
        <v>1.2</v>
      </c>
      <c r="G2146">
        <v>0</v>
      </c>
      <c r="H2146" t="s">
        <v>84</v>
      </c>
      <c r="I2146" t="s">
        <v>1153</v>
      </c>
      <c r="J2146">
        <v>0</v>
      </c>
      <c r="K2146">
        <v>0</v>
      </c>
      <c r="L2146" t="s">
        <v>5288</v>
      </c>
      <c r="M2146">
        <v>25.81</v>
      </c>
      <c r="N2146" t="s">
        <v>4491</v>
      </c>
      <c r="O2146" t="s">
        <v>4489</v>
      </c>
    </row>
    <row r="2147" spans="1:15" x14ac:dyDescent="0.2">
      <c r="A2147">
        <v>99</v>
      </c>
      <c r="B2147" t="s">
        <v>2117</v>
      </c>
      <c r="C2147" t="s">
        <v>1896</v>
      </c>
      <c r="D2147" t="s">
        <v>292</v>
      </c>
      <c r="E2147" t="s">
        <v>4496</v>
      </c>
      <c r="F2147">
        <v>0</v>
      </c>
      <c r="G2147">
        <v>98.71</v>
      </c>
      <c r="H2147" t="s">
        <v>742</v>
      </c>
      <c r="I2147" t="s">
        <v>1153</v>
      </c>
      <c r="J2147">
        <v>0</v>
      </c>
      <c r="K2147">
        <v>0</v>
      </c>
      <c r="L2147" t="s">
        <v>1188</v>
      </c>
      <c r="M2147">
        <v>451.32</v>
      </c>
      <c r="N2147" t="s">
        <v>4497</v>
      </c>
      <c r="O2147" t="s">
        <v>4489</v>
      </c>
    </row>
    <row r="2148" spans="1:15" x14ac:dyDescent="0.2">
      <c r="A2148">
        <v>99</v>
      </c>
      <c r="B2148" t="s">
        <v>2117</v>
      </c>
      <c r="C2148" t="s">
        <v>1896</v>
      </c>
      <c r="D2148" t="s">
        <v>292</v>
      </c>
      <c r="E2148" t="s">
        <v>4496</v>
      </c>
      <c r="F2148">
        <v>0</v>
      </c>
      <c r="G2148">
        <v>98.71</v>
      </c>
      <c r="H2148" t="s">
        <v>742</v>
      </c>
      <c r="I2148" t="s">
        <v>1153</v>
      </c>
      <c r="J2148">
        <v>0</v>
      </c>
      <c r="K2148">
        <v>0</v>
      </c>
      <c r="L2148" t="s">
        <v>5288</v>
      </c>
      <c r="M2148">
        <v>25.81</v>
      </c>
      <c r="N2148" t="s">
        <v>4497</v>
      </c>
      <c r="O2148" t="s">
        <v>4489</v>
      </c>
    </row>
    <row r="2149" spans="1:15" x14ac:dyDescent="0.2">
      <c r="A2149">
        <v>99</v>
      </c>
      <c r="B2149" t="s">
        <v>2117</v>
      </c>
      <c r="C2149" t="s">
        <v>1896</v>
      </c>
      <c r="D2149" t="s">
        <v>801</v>
      </c>
      <c r="E2149" t="s">
        <v>402</v>
      </c>
      <c r="F2149">
        <v>0</v>
      </c>
      <c r="G2149">
        <v>10.3</v>
      </c>
      <c r="H2149" t="s">
        <v>151</v>
      </c>
      <c r="I2149" t="s">
        <v>1153</v>
      </c>
      <c r="J2149">
        <v>0</v>
      </c>
      <c r="K2149">
        <v>0</v>
      </c>
      <c r="L2149" t="s">
        <v>1188</v>
      </c>
      <c r="M2149">
        <v>451.32</v>
      </c>
      <c r="N2149" t="s">
        <v>4490</v>
      </c>
      <c r="O2149" t="s">
        <v>4489</v>
      </c>
    </row>
    <row r="2150" spans="1:15" x14ac:dyDescent="0.2">
      <c r="A2150">
        <v>99</v>
      </c>
      <c r="B2150" t="s">
        <v>2117</v>
      </c>
      <c r="C2150" t="s">
        <v>1896</v>
      </c>
      <c r="D2150" t="s">
        <v>801</v>
      </c>
      <c r="E2150" t="s">
        <v>402</v>
      </c>
      <c r="F2150">
        <v>0</v>
      </c>
      <c r="G2150">
        <v>10.3</v>
      </c>
      <c r="H2150" t="s">
        <v>151</v>
      </c>
      <c r="I2150" t="s">
        <v>1153</v>
      </c>
      <c r="J2150">
        <v>0</v>
      </c>
      <c r="K2150">
        <v>0</v>
      </c>
      <c r="L2150" t="s">
        <v>5288</v>
      </c>
      <c r="M2150">
        <v>25.81</v>
      </c>
      <c r="N2150" t="s">
        <v>4490</v>
      </c>
      <c r="O2150" t="s">
        <v>4489</v>
      </c>
    </row>
    <row r="2151" spans="1:15" x14ac:dyDescent="0.2">
      <c r="A2151">
        <v>99</v>
      </c>
      <c r="B2151" t="s">
        <v>2117</v>
      </c>
      <c r="C2151" t="s">
        <v>5289</v>
      </c>
      <c r="D2151" t="s">
        <v>1009</v>
      </c>
      <c r="E2151" t="s">
        <v>672</v>
      </c>
      <c r="F2151">
        <v>0</v>
      </c>
      <c r="G2151">
        <v>16.489999999999998</v>
      </c>
      <c r="H2151" t="s">
        <v>151</v>
      </c>
      <c r="I2151" t="s">
        <v>153</v>
      </c>
      <c r="J2151">
        <v>0</v>
      </c>
      <c r="K2151">
        <v>0</v>
      </c>
      <c r="L2151" t="s">
        <v>5290</v>
      </c>
      <c r="M2151">
        <v>651.82500000000005</v>
      </c>
      <c r="N2151" t="s">
        <v>5291</v>
      </c>
      <c r="O2151" t="s">
        <v>5292</v>
      </c>
    </row>
    <row r="2152" spans="1:15" x14ac:dyDescent="0.2">
      <c r="A2152">
        <v>99</v>
      </c>
      <c r="B2152" t="s">
        <v>2117</v>
      </c>
      <c r="C2152" t="s">
        <v>5289</v>
      </c>
      <c r="D2152" t="s">
        <v>498</v>
      </c>
      <c r="E2152" t="s">
        <v>773</v>
      </c>
      <c r="F2152">
        <v>1.2</v>
      </c>
      <c r="G2152">
        <v>0</v>
      </c>
      <c r="H2152" t="s">
        <v>84</v>
      </c>
      <c r="I2152" t="s">
        <v>153</v>
      </c>
      <c r="J2152">
        <v>0</v>
      </c>
      <c r="K2152">
        <v>0</v>
      </c>
      <c r="L2152" t="s">
        <v>5290</v>
      </c>
      <c r="M2152">
        <v>651.82500000000005</v>
      </c>
      <c r="N2152" t="s">
        <v>5293</v>
      </c>
      <c r="O2152" t="s">
        <v>5292</v>
      </c>
    </row>
    <row r="2153" spans="1:15" x14ac:dyDescent="0.2">
      <c r="A2153">
        <v>99</v>
      </c>
      <c r="B2153" t="s">
        <v>2117</v>
      </c>
      <c r="C2153" t="s">
        <v>5289</v>
      </c>
      <c r="D2153" t="s">
        <v>57</v>
      </c>
      <c r="E2153" t="s">
        <v>4473</v>
      </c>
      <c r="F2153">
        <v>0.04</v>
      </c>
      <c r="G2153">
        <v>11.24</v>
      </c>
      <c r="H2153" t="s">
        <v>764</v>
      </c>
      <c r="I2153" t="s">
        <v>153</v>
      </c>
      <c r="J2153">
        <v>0.4496</v>
      </c>
      <c r="K2153">
        <v>293.06052</v>
      </c>
      <c r="L2153" t="s">
        <v>5290</v>
      </c>
      <c r="M2153">
        <v>651.82500000000005</v>
      </c>
      <c r="N2153" t="s">
        <v>5294</v>
      </c>
      <c r="O2153" t="s">
        <v>5292</v>
      </c>
    </row>
    <row r="2154" spans="1:15" x14ac:dyDescent="0.2">
      <c r="A2154">
        <v>99</v>
      </c>
      <c r="B2154" t="s">
        <v>2117</v>
      </c>
      <c r="C2154" t="s">
        <v>5289</v>
      </c>
      <c r="D2154" t="s">
        <v>58</v>
      </c>
      <c r="E2154" t="s">
        <v>4475</v>
      </c>
      <c r="F2154">
        <v>0.01</v>
      </c>
      <c r="G2154">
        <v>1.31</v>
      </c>
      <c r="H2154" t="s">
        <v>742</v>
      </c>
      <c r="I2154" t="s">
        <v>153</v>
      </c>
      <c r="J2154">
        <v>1.3100000000000001E-2</v>
      </c>
      <c r="K2154">
        <v>8.5389079999999993</v>
      </c>
      <c r="L2154" t="s">
        <v>5290</v>
      </c>
      <c r="M2154">
        <v>651.82500000000005</v>
      </c>
      <c r="N2154" t="s">
        <v>5295</v>
      </c>
      <c r="O2154" t="s">
        <v>5292</v>
      </c>
    </row>
    <row r="2155" spans="1:15" x14ac:dyDescent="0.2">
      <c r="A2155">
        <v>99</v>
      </c>
      <c r="B2155" t="s">
        <v>2117</v>
      </c>
      <c r="C2155" t="s">
        <v>5289</v>
      </c>
      <c r="D2155" t="s">
        <v>5296</v>
      </c>
      <c r="E2155" t="s">
        <v>5297</v>
      </c>
      <c r="F2155">
        <v>1</v>
      </c>
      <c r="G2155">
        <v>5</v>
      </c>
      <c r="H2155" t="s">
        <v>153</v>
      </c>
      <c r="I2155" t="s">
        <v>153</v>
      </c>
      <c r="J2155">
        <v>5</v>
      </c>
      <c r="K2155">
        <v>3259.125</v>
      </c>
      <c r="L2155" t="s">
        <v>5290</v>
      </c>
      <c r="M2155">
        <v>651.82500000000005</v>
      </c>
      <c r="N2155" t="s">
        <v>5298</v>
      </c>
      <c r="O2155" t="s">
        <v>5292</v>
      </c>
    </row>
    <row r="2156" spans="1:15" x14ac:dyDescent="0.2">
      <c r="A2156">
        <v>99</v>
      </c>
      <c r="B2156" t="s">
        <v>2117</v>
      </c>
      <c r="C2156" t="s">
        <v>5299</v>
      </c>
      <c r="D2156" t="s">
        <v>5300</v>
      </c>
      <c r="E2156" t="s">
        <v>5301</v>
      </c>
      <c r="F2156">
        <v>7.0000000000000001E-3</v>
      </c>
      <c r="G2156">
        <v>9.8800000000000008</v>
      </c>
      <c r="H2156" t="s">
        <v>764</v>
      </c>
      <c r="I2156" t="s">
        <v>1152</v>
      </c>
      <c r="J2156">
        <v>6.9159999999999999E-2</v>
      </c>
      <c r="K2156">
        <v>180.32086799999999</v>
      </c>
      <c r="L2156" t="s">
        <v>5302</v>
      </c>
      <c r="M2156">
        <v>2607.3000000000002</v>
      </c>
      <c r="N2156" t="s">
        <v>5303</v>
      </c>
      <c r="O2156" t="s">
        <v>5304</v>
      </c>
    </row>
    <row r="2157" spans="1:15" x14ac:dyDescent="0.2">
      <c r="A2157">
        <v>99</v>
      </c>
      <c r="B2157" t="s">
        <v>2117</v>
      </c>
      <c r="C2157" t="s">
        <v>5299</v>
      </c>
      <c r="D2157" t="s">
        <v>5305</v>
      </c>
      <c r="E2157" t="s">
        <v>5306</v>
      </c>
      <c r="F2157">
        <v>4</v>
      </c>
      <c r="G2157">
        <v>8.75</v>
      </c>
      <c r="H2157" t="s">
        <v>1052</v>
      </c>
      <c r="I2157" t="s">
        <v>1152</v>
      </c>
      <c r="J2157">
        <v>35</v>
      </c>
      <c r="K2157">
        <v>91255.5</v>
      </c>
      <c r="L2157" t="s">
        <v>5302</v>
      </c>
      <c r="M2157">
        <v>2607.3000000000002</v>
      </c>
      <c r="N2157" t="s">
        <v>5307</v>
      </c>
      <c r="O2157" t="s">
        <v>5304</v>
      </c>
    </row>
    <row r="2158" spans="1:15" x14ac:dyDescent="0.2">
      <c r="A2158">
        <v>99</v>
      </c>
      <c r="B2158" t="s">
        <v>2117</v>
      </c>
      <c r="C2158" t="s">
        <v>5299</v>
      </c>
      <c r="D2158" t="s">
        <v>498</v>
      </c>
      <c r="E2158" t="s">
        <v>773</v>
      </c>
      <c r="F2158">
        <v>1.2</v>
      </c>
      <c r="G2158">
        <v>0</v>
      </c>
      <c r="H2158" t="s">
        <v>84</v>
      </c>
      <c r="I2158" t="s">
        <v>1152</v>
      </c>
      <c r="J2158">
        <v>0</v>
      </c>
      <c r="K2158">
        <v>0</v>
      </c>
      <c r="L2158" t="s">
        <v>5302</v>
      </c>
      <c r="M2158">
        <v>2607.3000000000002</v>
      </c>
      <c r="N2158" t="s">
        <v>5308</v>
      </c>
      <c r="O2158" t="s">
        <v>5304</v>
      </c>
    </row>
    <row r="2159" spans="1:15" x14ac:dyDescent="0.2">
      <c r="A2159">
        <v>99</v>
      </c>
      <c r="B2159" t="s">
        <v>2117</v>
      </c>
      <c r="C2159" t="s">
        <v>5299</v>
      </c>
      <c r="D2159" t="s">
        <v>1009</v>
      </c>
      <c r="E2159" t="s">
        <v>672</v>
      </c>
      <c r="F2159">
        <v>0</v>
      </c>
      <c r="G2159">
        <v>16.489999999999998</v>
      </c>
      <c r="H2159" t="s">
        <v>151</v>
      </c>
      <c r="I2159" t="s">
        <v>1152</v>
      </c>
      <c r="J2159">
        <v>0</v>
      </c>
      <c r="K2159">
        <v>0</v>
      </c>
      <c r="L2159" t="s">
        <v>5302</v>
      </c>
      <c r="M2159">
        <v>2607.3000000000002</v>
      </c>
      <c r="N2159" t="s">
        <v>5309</v>
      </c>
      <c r="O2159" t="s">
        <v>5304</v>
      </c>
    </row>
    <row r="2160" spans="1:15" x14ac:dyDescent="0.2">
      <c r="A2160">
        <v>99</v>
      </c>
      <c r="B2160" t="s">
        <v>2117</v>
      </c>
      <c r="C2160" t="s">
        <v>5299</v>
      </c>
      <c r="D2160" t="s">
        <v>5310</v>
      </c>
      <c r="E2160" t="s">
        <v>5311</v>
      </c>
      <c r="F2160">
        <v>1</v>
      </c>
      <c r="G2160">
        <v>30</v>
      </c>
      <c r="H2160" t="s">
        <v>1152</v>
      </c>
      <c r="I2160" t="s">
        <v>1152</v>
      </c>
      <c r="J2160">
        <v>30</v>
      </c>
      <c r="K2160">
        <v>78219</v>
      </c>
      <c r="L2160" t="s">
        <v>5302</v>
      </c>
      <c r="M2160">
        <v>2607.3000000000002</v>
      </c>
      <c r="N2160" t="s">
        <v>5312</v>
      </c>
      <c r="O2160" t="s">
        <v>5304</v>
      </c>
    </row>
    <row r="2161" spans="1:15" x14ac:dyDescent="0.2">
      <c r="A2161">
        <v>99</v>
      </c>
      <c r="B2161" t="s">
        <v>2117</v>
      </c>
      <c r="C2161" t="s">
        <v>1913</v>
      </c>
      <c r="D2161" t="s">
        <v>1268</v>
      </c>
      <c r="E2161" t="s">
        <v>4502</v>
      </c>
      <c r="F2161">
        <v>1</v>
      </c>
      <c r="G2161">
        <v>2.81</v>
      </c>
      <c r="H2161" t="s">
        <v>1819</v>
      </c>
      <c r="I2161" t="s">
        <v>1152</v>
      </c>
      <c r="J2161">
        <v>2.81</v>
      </c>
      <c r="K2161">
        <v>9807.7991999999995</v>
      </c>
      <c r="L2161" t="s">
        <v>1184</v>
      </c>
      <c r="M2161">
        <v>3490.32</v>
      </c>
      <c r="N2161" t="s">
        <v>4503</v>
      </c>
      <c r="O2161" t="s">
        <v>4504</v>
      </c>
    </row>
    <row r="2162" spans="1:15" x14ac:dyDescent="0.2">
      <c r="A2162">
        <v>99</v>
      </c>
      <c r="B2162" t="s">
        <v>2117</v>
      </c>
      <c r="C2162" t="s">
        <v>1913</v>
      </c>
      <c r="D2162" t="s">
        <v>1268</v>
      </c>
      <c r="E2162" t="s">
        <v>4502</v>
      </c>
      <c r="F2162">
        <v>1</v>
      </c>
      <c r="G2162">
        <v>2.81</v>
      </c>
      <c r="H2162" t="s">
        <v>1819</v>
      </c>
      <c r="I2162" t="s">
        <v>1152</v>
      </c>
      <c r="J2162">
        <v>2.81</v>
      </c>
      <c r="K2162">
        <v>2793.8706000000002</v>
      </c>
      <c r="L2162" t="s">
        <v>5313</v>
      </c>
      <c r="M2162">
        <v>994.26</v>
      </c>
      <c r="N2162" t="s">
        <v>4503</v>
      </c>
      <c r="O2162" t="s">
        <v>4504</v>
      </c>
    </row>
    <row r="2163" spans="1:15" x14ac:dyDescent="0.2">
      <c r="A2163">
        <v>99</v>
      </c>
      <c r="B2163" t="s">
        <v>2117</v>
      </c>
      <c r="C2163" t="s">
        <v>1708</v>
      </c>
      <c r="D2163" t="s">
        <v>1010</v>
      </c>
      <c r="E2163" t="s">
        <v>1140</v>
      </c>
      <c r="F2163">
        <v>0</v>
      </c>
      <c r="G2163">
        <v>35</v>
      </c>
      <c r="H2163" t="s">
        <v>151</v>
      </c>
      <c r="I2163" t="s">
        <v>153</v>
      </c>
      <c r="J2163">
        <v>0</v>
      </c>
      <c r="K2163">
        <v>0</v>
      </c>
      <c r="L2163" t="s">
        <v>778</v>
      </c>
      <c r="M2163">
        <v>1639</v>
      </c>
      <c r="N2163" t="s">
        <v>4508</v>
      </c>
      <c r="O2163" t="s">
        <v>4506</v>
      </c>
    </row>
    <row r="2164" spans="1:15" x14ac:dyDescent="0.2">
      <c r="A2164">
        <v>99</v>
      </c>
      <c r="B2164" t="s">
        <v>2117</v>
      </c>
      <c r="C2164" t="s">
        <v>1708</v>
      </c>
      <c r="D2164" t="s">
        <v>844</v>
      </c>
      <c r="E2164" t="s">
        <v>4451</v>
      </c>
      <c r="F2164">
        <v>4.2999999999999997E-2</v>
      </c>
      <c r="G2164">
        <v>15.3283</v>
      </c>
      <c r="H2164" t="s">
        <v>152</v>
      </c>
      <c r="I2164" t="s">
        <v>153</v>
      </c>
      <c r="J2164">
        <v>0.65911690000000001</v>
      </c>
      <c r="K2164">
        <v>1080.2925990000001</v>
      </c>
      <c r="L2164" t="s">
        <v>778</v>
      </c>
      <c r="M2164">
        <v>1639</v>
      </c>
      <c r="N2164" t="s">
        <v>4505</v>
      </c>
      <c r="O2164" t="s">
        <v>4506</v>
      </c>
    </row>
    <row r="2165" spans="1:15" x14ac:dyDescent="0.2">
      <c r="A2165">
        <v>99</v>
      </c>
      <c r="B2165" t="s">
        <v>2117</v>
      </c>
      <c r="C2165" t="s">
        <v>1708</v>
      </c>
      <c r="D2165" t="s">
        <v>737</v>
      </c>
      <c r="E2165" t="s">
        <v>4510</v>
      </c>
      <c r="F2165">
        <v>1</v>
      </c>
      <c r="G2165">
        <v>22</v>
      </c>
      <c r="H2165" t="s">
        <v>153</v>
      </c>
      <c r="I2165" t="s">
        <v>153</v>
      </c>
      <c r="J2165">
        <v>22</v>
      </c>
      <c r="K2165">
        <v>36058</v>
      </c>
      <c r="L2165" t="s">
        <v>778</v>
      </c>
      <c r="M2165">
        <v>1639</v>
      </c>
      <c r="N2165" t="s">
        <v>4511</v>
      </c>
      <c r="O2165" t="s">
        <v>4506</v>
      </c>
    </row>
    <row r="2166" spans="1:15" x14ac:dyDescent="0.2">
      <c r="A2166">
        <v>99</v>
      </c>
      <c r="B2166" t="s">
        <v>2117</v>
      </c>
      <c r="C2166" t="s">
        <v>1708</v>
      </c>
      <c r="D2166" t="s">
        <v>1650</v>
      </c>
      <c r="E2166" t="s">
        <v>386</v>
      </c>
      <c r="F2166">
        <v>0.04</v>
      </c>
      <c r="G2166">
        <v>8.0399999999999991</v>
      </c>
      <c r="H2166" t="s">
        <v>1781</v>
      </c>
      <c r="I2166" t="s">
        <v>153</v>
      </c>
      <c r="J2166">
        <v>0.3216</v>
      </c>
      <c r="K2166">
        <v>527.10239999999999</v>
      </c>
      <c r="L2166" t="s">
        <v>778</v>
      </c>
      <c r="M2166">
        <v>1639</v>
      </c>
      <c r="N2166" t="s">
        <v>4507</v>
      </c>
      <c r="O2166" t="s">
        <v>4506</v>
      </c>
    </row>
    <row r="2167" spans="1:15" x14ac:dyDescent="0.2">
      <c r="A2167">
        <v>99</v>
      </c>
      <c r="B2167" t="s">
        <v>2117</v>
      </c>
      <c r="C2167" t="s">
        <v>1708</v>
      </c>
      <c r="D2167" t="s">
        <v>801</v>
      </c>
      <c r="E2167" t="s">
        <v>402</v>
      </c>
      <c r="F2167">
        <v>0</v>
      </c>
      <c r="G2167">
        <v>10.3</v>
      </c>
      <c r="H2167" t="s">
        <v>151</v>
      </c>
      <c r="I2167" t="s">
        <v>153</v>
      </c>
      <c r="J2167">
        <v>0</v>
      </c>
      <c r="K2167">
        <v>0</v>
      </c>
      <c r="L2167" t="s">
        <v>778</v>
      </c>
      <c r="M2167">
        <v>1639</v>
      </c>
      <c r="N2167" t="s">
        <v>4509</v>
      </c>
      <c r="O2167" t="s">
        <v>4506</v>
      </c>
    </row>
    <row r="2168" spans="1:15" x14ac:dyDescent="0.2">
      <c r="A2168">
        <v>99</v>
      </c>
      <c r="B2168" t="s">
        <v>2117</v>
      </c>
      <c r="C2168" t="s">
        <v>1708</v>
      </c>
      <c r="D2168" t="s">
        <v>498</v>
      </c>
      <c r="E2168" t="s">
        <v>773</v>
      </c>
      <c r="F2168">
        <v>1.2</v>
      </c>
      <c r="G2168">
        <v>0</v>
      </c>
      <c r="H2168" t="s">
        <v>84</v>
      </c>
      <c r="I2168" t="s">
        <v>153</v>
      </c>
      <c r="J2168">
        <v>0</v>
      </c>
      <c r="K2168">
        <v>0</v>
      </c>
      <c r="L2168" t="s">
        <v>778</v>
      </c>
      <c r="M2168">
        <v>1639</v>
      </c>
      <c r="N2168" t="s">
        <v>4512</v>
      </c>
      <c r="O2168" t="s">
        <v>4506</v>
      </c>
    </row>
    <row r="2169" spans="1:15" x14ac:dyDescent="0.2">
      <c r="A2169">
        <v>99</v>
      </c>
      <c r="B2169" t="s">
        <v>2117</v>
      </c>
      <c r="C2169" t="s">
        <v>1712</v>
      </c>
      <c r="D2169" t="s">
        <v>498</v>
      </c>
      <c r="E2169" t="s">
        <v>773</v>
      </c>
      <c r="F2169">
        <v>1.2</v>
      </c>
      <c r="G2169">
        <v>0</v>
      </c>
      <c r="H2169" t="s">
        <v>84</v>
      </c>
      <c r="I2169" t="s">
        <v>1152</v>
      </c>
      <c r="J2169">
        <v>0</v>
      </c>
      <c r="K2169">
        <v>0</v>
      </c>
      <c r="L2169" t="s">
        <v>781</v>
      </c>
      <c r="M2169">
        <v>233.1</v>
      </c>
      <c r="N2169" t="s">
        <v>4520</v>
      </c>
      <c r="O2169" t="s">
        <v>4514</v>
      </c>
    </row>
    <row r="2170" spans="1:15" x14ac:dyDescent="0.2">
      <c r="A2170">
        <v>99</v>
      </c>
      <c r="B2170" t="s">
        <v>2117</v>
      </c>
      <c r="C2170" t="s">
        <v>1712</v>
      </c>
      <c r="D2170" t="s">
        <v>801</v>
      </c>
      <c r="E2170" t="s">
        <v>402</v>
      </c>
      <c r="F2170">
        <v>0</v>
      </c>
      <c r="G2170">
        <v>10.3</v>
      </c>
      <c r="H2170" t="s">
        <v>151</v>
      </c>
      <c r="I2170" t="s">
        <v>1152</v>
      </c>
      <c r="J2170">
        <v>0</v>
      </c>
      <c r="K2170">
        <v>0</v>
      </c>
      <c r="L2170" t="s">
        <v>781</v>
      </c>
      <c r="M2170">
        <v>233.1</v>
      </c>
      <c r="N2170" t="s">
        <v>4517</v>
      </c>
      <c r="O2170" t="s">
        <v>4514</v>
      </c>
    </row>
    <row r="2171" spans="1:15" x14ac:dyDescent="0.2">
      <c r="A2171">
        <v>99</v>
      </c>
      <c r="B2171" t="s">
        <v>2117</v>
      </c>
      <c r="C2171" t="s">
        <v>1712</v>
      </c>
      <c r="D2171" t="s">
        <v>1650</v>
      </c>
      <c r="E2171" t="s">
        <v>386</v>
      </c>
      <c r="F2171">
        <v>0.23</v>
      </c>
      <c r="G2171">
        <v>8.0399999999999991</v>
      </c>
      <c r="H2171" t="s">
        <v>1781</v>
      </c>
      <c r="I2171" t="s">
        <v>1152</v>
      </c>
      <c r="J2171">
        <v>1.8492</v>
      </c>
      <c r="K2171">
        <v>431.04852</v>
      </c>
      <c r="L2171" t="s">
        <v>781</v>
      </c>
      <c r="M2171">
        <v>233.1</v>
      </c>
      <c r="N2171" t="s">
        <v>4515</v>
      </c>
      <c r="O2171" t="s">
        <v>4514</v>
      </c>
    </row>
    <row r="2172" spans="1:15" x14ac:dyDescent="0.2">
      <c r="A2172">
        <v>99</v>
      </c>
      <c r="B2172" t="s">
        <v>2117</v>
      </c>
      <c r="C2172" t="s">
        <v>1712</v>
      </c>
      <c r="D2172" t="s">
        <v>844</v>
      </c>
      <c r="E2172" t="s">
        <v>4451</v>
      </c>
      <c r="F2172">
        <v>0.42699999999999999</v>
      </c>
      <c r="G2172">
        <v>15.3283</v>
      </c>
      <c r="H2172" t="s">
        <v>152</v>
      </c>
      <c r="I2172" t="s">
        <v>1152</v>
      </c>
      <c r="J2172">
        <v>6.5451841000000002</v>
      </c>
      <c r="K2172">
        <v>1525.6824140000001</v>
      </c>
      <c r="L2172" t="s">
        <v>781</v>
      </c>
      <c r="M2172">
        <v>233.1</v>
      </c>
      <c r="N2172" t="s">
        <v>4513</v>
      </c>
      <c r="O2172" t="s">
        <v>4514</v>
      </c>
    </row>
    <row r="2173" spans="1:15" x14ac:dyDescent="0.2">
      <c r="A2173">
        <v>99</v>
      </c>
      <c r="B2173" t="s">
        <v>2117</v>
      </c>
      <c r="C2173" t="s">
        <v>1712</v>
      </c>
      <c r="D2173" t="s">
        <v>1010</v>
      </c>
      <c r="E2173" t="s">
        <v>1140</v>
      </c>
      <c r="F2173">
        <v>0</v>
      </c>
      <c r="G2173">
        <v>35</v>
      </c>
      <c r="H2173" t="s">
        <v>151</v>
      </c>
      <c r="I2173" t="s">
        <v>1152</v>
      </c>
      <c r="J2173">
        <v>0</v>
      </c>
      <c r="K2173">
        <v>0</v>
      </c>
      <c r="L2173" t="s">
        <v>781</v>
      </c>
      <c r="M2173">
        <v>233.1</v>
      </c>
      <c r="N2173" t="s">
        <v>4516</v>
      </c>
      <c r="O2173" t="s">
        <v>4514</v>
      </c>
    </row>
    <row r="2174" spans="1:15" x14ac:dyDescent="0.2">
      <c r="A2174">
        <v>99</v>
      </c>
      <c r="B2174" t="s">
        <v>2117</v>
      </c>
      <c r="C2174" t="s">
        <v>1712</v>
      </c>
      <c r="D2174" t="s">
        <v>739</v>
      </c>
      <c r="E2174" t="s">
        <v>4518</v>
      </c>
      <c r="F2174">
        <v>1</v>
      </c>
      <c r="G2174">
        <v>112.0284</v>
      </c>
      <c r="H2174" t="s">
        <v>1152</v>
      </c>
      <c r="I2174" t="s">
        <v>1152</v>
      </c>
      <c r="J2174">
        <v>112.0284</v>
      </c>
      <c r="K2174">
        <v>26113.820039999999</v>
      </c>
      <c r="L2174" t="s">
        <v>781</v>
      </c>
      <c r="M2174">
        <v>233.1</v>
      </c>
      <c r="N2174" t="s">
        <v>4519</v>
      </c>
      <c r="O2174" t="s">
        <v>4514</v>
      </c>
    </row>
    <row r="2175" spans="1:15" x14ac:dyDescent="0.2">
      <c r="A2175">
        <v>99</v>
      </c>
      <c r="B2175" t="s">
        <v>2117</v>
      </c>
      <c r="C2175" t="s">
        <v>1718</v>
      </c>
      <c r="D2175" t="s">
        <v>1339</v>
      </c>
      <c r="E2175" t="s">
        <v>4521</v>
      </c>
      <c r="F2175">
        <v>1</v>
      </c>
      <c r="G2175">
        <v>92</v>
      </c>
      <c r="H2175" t="s">
        <v>1781</v>
      </c>
      <c r="I2175" t="s">
        <v>1781</v>
      </c>
      <c r="J2175">
        <v>92</v>
      </c>
      <c r="K2175">
        <v>43240</v>
      </c>
      <c r="L2175" t="s">
        <v>5314</v>
      </c>
      <c r="M2175">
        <v>470</v>
      </c>
      <c r="N2175" t="s">
        <v>4522</v>
      </c>
      <c r="O2175" t="s">
        <v>4523</v>
      </c>
    </row>
    <row r="2176" spans="1:15" x14ac:dyDescent="0.2">
      <c r="A2176">
        <v>99</v>
      </c>
      <c r="B2176" t="s">
        <v>2117</v>
      </c>
      <c r="C2176" t="s">
        <v>1718</v>
      </c>
      <c r="D2176" t="s">
        <v>54</v>
      </c>
      <c r="E2176" t="s">
        <v>682</v>
      </c>
      <c r="F2176">
        <v>0</v>
      </c>
      <c r="G2176">
        <v>31.84</v>
      </c>
      <c r="H2176" t="s">
        <v>764</v>
      </c>
      <c r="I2176" t="s">
        <v>1781</v>
      </c>
      <c r="J2176">
        <v>0</v>
      </c>
      <c r="K2176">
        <v>0</v>
      </c>
      <c r="L2176" t="s">
        <v>5314</v>
      </c>
      <c r="M2176">
        <v>470</v>
      </c>
      <c r="N2176" t="s">
        <v>4528</v>
      </c>
      <c r="O2176" t="s">
        <v>4523</v>
      </c>
    </row>
    <row r="2177" spans="1:15" x14ac:dyDescent="0.2">
      <c r="A2177">
        <v>99</v>
      </c>
      <c r="B2177" t="s">
        <v>2117</v>
      </c>
      <c r="C2177" t="s">
        <v>1718</v>
      </c>
      <c r="D2177" t="s">
        <v>801</v>
      </c>
      <c r="E2177" t="s">
        <v>402</v>
      </c>
      <c r="F2177">
        <v>0</v>
      </c>
      <c r="G2177">
        <v>10.3</v>
      </c>
      <c r="H2177" t="s">
        <v>151</v>
      </c>
      <c r="I2177" t="s">
        <v>1781</v>
      </c>
      <c r="J2177">
        <v>0</v>
      </c>
      <c r="K2177">
        <v>0</v>
      </c>
      <c r="L2177" t="s">
        <v>5314</v>
      </c>
      <c r="M2177">
        <v>470</v>
      </c>
      <c r="N2177" t="s">
        <v>4526</v>
      </c>
      <c r="O2177" t="s">
        <v>4523</v>
      </c>
    </row>
    <row r="2178" spans="1:15" x14ac:dyDescent="0.2">
      <c r="A2178">
        <v>99</v>
      </c>
      <c r="B2178" t="s">
        <v>2117</v>
      </c>
      <c r="C2178" t="s">
        <v>1718</v>
      </c>
      <c r="D2178" t="s">
        <v>498</v>
      </c>
      <c r="E2178" t="s">
        <v>773</v>
      </c>
      <c r="F2178">
        <v>1.2</v>
      </c>
      <c r="G2178">
        <v>0</v>
      </c>
      <c r="H2178" t="s">
        <v>84</v>
      </c>
      <c r="I2178" t="s">
        <v>1781</v>
      </c>
      <c r="J2178">
        <v>0</v>
      </c>
      <c r="K2178">
        <v>0</v>
      </c>
      <c r="L2178" t="s">
        <v>5314</v>
      </c>
      <c r="M2178">
        <v>470</v>
      </c>
      <c r="N2178" t="s">
        <v>4527</v>
      </c>
      <c r="O2178" t="s">
        <v>4523</v>
      </c>
    </row>
    <row r="2179" spans="1:15" x14ac:dyDescent="0.2">
      <c r="A2179">
        <v>99</v>
      </c>
      <c r="B2179" t="s">
        <v>2117</v>
      </c>
      <c r="C2179" t="s">
        <v>1718</v>
      </c>
      <c r="D2179" t="s">
        <v>1009</v>
      </c>
      <c r="E2179" t="s">
        <v>672</v>
      </c>
      <c r="F2179">
        <v>0</v>
      </c>
      <c r="G2179">
        <v>16.489999999999998</v>
      </c>
      <c r="H2179" t="s">
        <v>151</v>
      </c>
      <c r="I2179" t="s">
        <v>1781</v>
      </c>
      <c r="J2179">
        <v>0</v>
      </c>
      <c r="K2179">
        <v>0</v>
      </c>
      <c r="L2179" t="s">
        <v>5314</v>
      </c>
      <c r="M2179">
        <v>470</v>
      </c>
      <c r="N2179" t="s">
        <v>4525</v>
      </c>
      <c r="O2179" t="s">
        <v>4523</v>
      </c>
    </row>
    <row r="2180" spans="1:15" x14ac:dyDescent="0.2">
      <c r="A2180">
        <v>99</v>
      </c>
      <c r="B2180" t="s">
        <v>2117</v>
      </c>
      <c r="C2180" t="s">
        <v>1718</v>
      </c>
      <c r="D2180" t="s">
        <v>622</v>
      </c>
      <c r="E2180" t="s">
        <v>381</v>
      </c>
      <c r="F2180">
        <v>0.218</v>
      </c>
      <c r="G2180">
        <v>33</v>
      </c>
      <c r="H2180" t="s">
        <v>1052</v>
      </c>
      <c r="I2180" t="s">
        <v>1781</v>
      </c>
      <c r="J2180">
        <v>7.194</v>
      </c>
      <c r="K2180">
        <v>3381.18</v>
      </c>
      <c r="L2180" t="s">
        <v>5314</v>
      </c>
      <c r="M2180">
        <v>470</v>
      </c>
      <c r="N2180" t="s">
        <v>4524</v>
      </c>
      <c r="O2180" t="s">
        <v>4523</v>
      </c>
    </row>
    <row r="2181" spans="1:15" x14ac:dyDescent="0.2">
      <c r="A2181">
        <v>99</v>
      </c>
      <c r="B2181" t="s">
        <v>2117</v>
      </c>
      <c r="C2181" t="s">
        <v>1718</v>
      </c>
      <c r="D2181" t="s">
        <v>56</v>
      </c>
      <c r="E2181" t="s">
        <v>674</v>
      </c>
      <c r="F2181">
        <v>0</v>
      </c>
      <c r="G2181">
        <v>29.63</v>
      </c>
      <c r="H2181" t="s">
        <v>742</v>
      </c>
      <c r="I2181" t="s">
        <v>1781</v>
      </c>
      <c r="J2181">
        <v>0</v>
      </c>
      <c r="K2181">
        <v>0</v>
      </c>
      <c r="L2181" t="s">
        <v>5314</v>
      </c>
      <c r="M2181">
        <v>470</v>
      </c>
      <c r="N2181" t="s">
        <v>4529</v>
      </c>
      <c r="O2181" t="s">
        <v>4523</v>
      </c>
    </row>
    <row r="2182" spans="1:15" x14ac:dyDescent="0.2">
      <c r="A2182">
        <v>99</v>
      </c>
      <c r="B2182" t="s">
        <v>2117</v>
      </c>
      <c r="C2182" t="s">
        <v>1552</v>
      </c>
      <c r="D2182" t="s">
        <v>792</v>
      </c>
      <c r="E2182" t="s">
        <v>335</v>
      </c>
      <c r="F2182">
        <v>0</v>
      </c>
      <c r="G2182">
        <v>11.1343</v>
      </c>
      <c r="H2182" t="s">
        <v>151</v>
      </c>
      <c r="I2182" t="s">
        <v>153</v>
      </c>
      <c r="J2182">
        <v>0</v>
      </c>
      <c r="K2182">
        <v>0</v>
      </c>
      <c r="L2182" t="s">
        <v>650</v>
      </c>
      <c r="M2182">
        <v>419.05</v>
      </c>
      <c r="N2182" t="s">
        <v>4538</v>
      </c>
      <c r="O2182" t="s">
        <v>4531</v>
      </c>
    </row>
    <row r="2183" spans="1:15" x14ac:dyDescent="0.2">
      <c r="A2183">
        <v>99</v>
      </c>
      <c r="B2183" t="s">
        <v>2117</v>
      </c>
      <c r="C2183" t="s">
        <v>1552</v>
      </c>
      <c r="D2183" t="s">
        <v>498</v>
      </c>
      <c r="E2183" t="s">
        <v>773</v>
      </c>
      <c r="F2183">
        <v>1.2</v>
      </c>
      <c r="G2183">
        <v>0</v>
      </c>
      <c r="H2183" t="s">
        <v>84</v>
      </c>
      <c r="I2183" t="s">
        <v>153</v>
      </c>
      <c r="J2183">
        <v>0</v>
      </c>
      <c r="K2183">
        <v>0</v>
      </c>
      <c r="L2183" t="s">
        <v>650</v>
      </c>
      <c r="M2183">
        <v>419.05</v>
      </c>
      <c r="N2183" t="s">
        <v>4533</v>
      </c>
      <c r="O2183" t="s">
        <v>4531</v>
      </c>
    </row>
    <row r="2184" spans="1:15" x14ac:dyDescent="0.2">
      <c r="A2184">
        <v>99</v>
      </c>
      <c r="B2184" t="s">
        <v>2117</v>
      </c>
      <c r="C2184" t="s">
        <v>1552</v>
      </c>
      <c r="D2184" t="s">
        <v>66</v>
      </c>
      <c r="E2184" t="s">
        <v>617</v>
      </c>
      <c r="F2184">
        <v>0</v>
      </c>
      <c r="G2184">
        <v>5.45</v>
      </c>
      <c r="H2184" t="s">
        <v>764</v>
      </c>
      <c r="I2184" t="s">
        <v>153</v>
      </c>
      <c r="J2184">
        <v>0</v>
      </c>
      <c r="K2184">
        <v>0</v>
      </c>
      <c r="L2184" t="s">
        <v>650</v>
      </c>
      <c r="M2184">
        <v>419.05</v>
      </c>
      <c r="N2184" t="s">
        <v>4534</v>
      </c>
      <c r="O2184" t="s">
        <v>4531</v>
      </c>
    </row>
    <row r="2185" spans="1:15" x14ac:dyDescent="0.2">
      <c r="A2185">
        <v>99</v>
      </c>
      <c r="B2185" t="s">
        <v>2117</v>
      </c>
      <c r="C2185" t="s">
        <v>1552</v>
      </c>
      <c r="D2185" t="s">
        <v>801</v>
      </c>
      <c r="E2185" t="s">
        <v>402</v>
      </c>
      <c r="F2185">
        <v>0</v>
      </c>
      <c r="G2185">
        <v>10.3</v>
      </c>
      <c r="H2185" t="s">
        <v>151</v>
      </c>
      <c r="I2185" t="s">
        <v>153</v>
      </c>
      <c r="J2185">
        <v>0</v>
      </c>
      <c r="K2185">
        <v>0</v>
      </c>
      <c r="L2185" t="s">
        <v>650</v>
      </c>
      <c r="M2185">
        <v>419.05</v>
      </c>
      <c r="N2185" t="s">
        <v>4539</v>
      </c>
      <c r="O2185" t="s">
        <v>4531</v>
      </c>
    </row>
    <row r="2186" spans="1:15" x14ac:dyDescent="0.2">
      <c r="A2186">
        <v>99</v>
      </c>
      <c r="B2186" t="s">
        <v>2117</v>
      </c>
      <c r="C2186" t="s">
        <v>1552</v>
      </c>
      <c r="D2186" t="s">
        <v>98</v>
      </c>
      <c r="E2186" t="s">
        <v>667</v>
      </c>
      <c r="F2186">
        <v>0.35589999999999999</v>
      </c>
      <c r="G2186">
        <v>5.9442000000000004</v>
      </c>
      <c r="H2186" t="s">
        <v>1052</v>
      </c>
      <c r="I2186" t="s">
        <v>153</v>
      </c>
      <c r="J2186">
        <v>2.1155407799999999</v>
      </c>
      <c r="K2186">
        <v>886.51736400000004</v>
      </c>
      <c r="L2186" t="s">
        <v>650</v>
      </c>
      <c r="M2186">
        <v>419.05</v>
      </c>
      <c r="N2186" t="s">
        <v>4548</v>
      </c>
      <c r="O2186" t="s">
        <v>4531</v>
      </c>
    </row>
    <row r="2187" spans="1:15" x14ac:dyDescent="0.2">
      <c r="A2187">
        <v>99</v>
      </c>
      <c r="B2187" t="s">
        <v>2117</v>
      </c>
      <c r="C2187" t="s">
        <v>1552</v>
      </c>
      <c r="D2187" t="s">
        <v>1258</v>
      </c>
      <c r="E2187" t="s">
        <v>1526</v>
      </c>
      <c r="F2187">
        <v>4.6899999999999997E-2</v>
      </c>
      <c r="G2187">
        <v>148</v>
      </c>
      <c r="H2187" t="s">
        <v>1153</v>
      </c>
      <c r="I2187" t="s">
        <v>153</v>
      </c>
      <c r="J2187">
        <v>6.9412000000000003</v>
      </c>
      <c r="K2187">
        <v>2908.7098599999999</v>
      </c>
      <c r="L2187" t="s">
        <v>650</v>
      </c>
      <c r="M2187">
        <v>419.05</v>
      </c>
      <c r="N2187" t="s">
        <v>4547</v>
      </c>
      <c r="O2187" t="s">
        <v>4531</v>
      </c>
    </row>
    <row r="2188" spans="1:15" x14ac:dyDescent="0.2">
      <c r="A2188">
        <v>99</v>
      </c>
      <c r="B2188" t="s">
        <v>2117</v>
      </c>
      <c r="C2188" t="s">
        <v>1552</v>
      </c>
      <c r="D2188" t="s">
        <v>120</v>
      </c>
      <c r="E2188" t="s">
        <v>597</v>
      </c>
      <c r="F2188">
        <v>0</v>
      </c>
      <c r="G2188">
        <v>1.52</v>
      </c>
      <c r="H2188" t="s">
        <v>742</v>
      </c>
      <c r="I2188" t="s">
        <v>153</v>
      </c>
      <c r="J2188">
        <v>0</v>
      </c>
      <c r="K2188">
        <v>0</v>
      </c>
      <c r="L2188" t="s">
        <v>650</v>
      </c>
      <c r="M2188">
        <v>419.05</v>
      </c>
      <c r="N2188" t="s">
        <v>4535</v>
      </c>
      <c r="O2188" t="s">
        <v>4531</v>
      </c>
    </row>
    <row r="2189" spans="1:15" x14ac:dyDescent="0.2">
      <c r="A2189">
        <v>99</v>
      </c>
      <c r="B2189" t="s">
        <v>2117</v>
      </c>
      <c r="C2189" t="s">
        <v>1552</v>
      </c>
      <c r="D2189" t="s">
        <v>1654</v>
      </c>
      <c r="E2189" t="s">
        <v>1551</v>
      </c>
      <c r="F2189">
        <v>23.539100000000001</v>
      </c>
      <c r="G2189">
        <v>0.7974</v>
      </c>
      <c r="H2189" t="s">
        <v>1052</v>
      </c>
      <c r="I2189" t="s">
        <v>153</v>
      </c>
      <c r="J2189">
        <v>18.770078340000001</v>
      </c>
      <c r="K2189">
        <v>7865.6013279999997</v>
      </c>
      <c r="L2189" t="s">
        <v>650</v>
      </c>
      <c r="M2189">
        <v>419.05</v>
      </c>
      <c r="N2189" t="s">
        <v>4545</v>
      </c>
      <c r="O2189" t="s">
        <v>4531</v>
      </c>
    </row>
    <row r="2190" spans="1:15" x14ac:dyDescent="0.2">
      <c r="A2190">
        <v>99</v>
      </c>
      <c r="B2190" t="s">
        <v>2117</v>
      </c>
      <c r="C2190" t="s">
        <v>1552</v>
      </c>
      <c r="D2190" t="s">
        <v>1550</v>
      </c>
      <c r="E2190" t="s">
        <v>1200</v>
      </c>
      <c r="F2190">
        <v>4.0701000000000001</v>
      </c>
      <c r="G2190">
        <v>2.4</v>
      </c>
      <c r="H2190" t="s">
        <v>1052</v>
      </c>
      <c r="I2190" t="s">
        <v>153</v>
      </c>
      <c r="J2190">
        <v>9.7682400000000005</v>
      </c>
      <c r="K2190">
        <v>4093.3809719999999</v>
      </c>
      <c r="L2190" t="s">
        <v>650</v>
      </c>
      <c r="M2190">
        <v>419.05</v>
      </c>
      <c r="N2190" t="s">
        <v>4532</v>
      </c>
      <c r="O2190" t="s">
        <v>4531</v>
      </c>
    </row>
    <row r="2191" spans="1:15" x14ac:dyDescent="0.2">
      <c r="A2191">
        <v>99</v>
      </c>
      <c r="B2191" t="s">
        <v>2117</v>
      </c>
      <c r="C2191" t="s">
        <v>1552</v>
      </c>
      <c r="D2191" t="s">
        <v>1639</v>
      </c>
      <c r="E2191" t="s">
        <v>1972</v>
      </c>
      <c r="F2191">
        <v>0.78</v>
      </c>
      <c r="G2191">
        <v>62.658299999999997</v>
      </c>
      <c r="H2191" t="s">
        <v>153</v>
      </c>
      <c r="I2191" t="s">
        <v>153</v>
      </c>
      <c r="J2191">
        <v>48.873474000000002</v>
      </c>
      <c r="K2191">
        <v>20480.42928</v>
      </c>
      <c r="L2191" t="s">
        <v>650</v>
      </c>
      <c r="M2191">
        <v>419.05</v>
      </c>
      <c r="N2191" t="s">
        <v>4541</v>
      </c>
      <c r="O2191" t="s">
        <v>4531</v>
      </c>
    </row>
    <row r="2192" spans="1:15" x14ac:dyDescent="0.2">
      <c r="A2192">
        <v>99</v>
      </c>
      <c r="B2192" t="s">
        <v>2117</v>
      </c>
      <c r="C2192" t="s">
        <v>1552</v>
      </c>
      <c r="D2192" t="s">
        <v>1561</v>
      </c>
      <c r="E2192" t="s">
        <v>1939</v>
      </c>
      <c r="F2192">
        <v>8.14E-2</v>
      </c>
      <c r="G2192">
        <v>9.8886000000000003</v>
      </c>
      <c r="H2192" t="s">
        <v>1052</v>
      </c>
      <c r="I2192" t="s">
        <v>153</v>
      </c>
      <c r="J2192">
        <v>0.80493203999999996</v>
      </c>
      <c r="K2192">
        <v>337.30677100000003</v>
      </c>
      <c r="L2192" t="s">
        <v>650</v>
      </c>
      <c r="M2192">
        <v>419.05</v>
      </c>
      <c r="N2192" t="s">
        <v>4544</v>
      </c>
      <c r="O2192" t="s">
        <v>4531</v>
      </c>
    </row>
    <row r="2193" spans="1:15" x14ac:dyDescent="0.2">
      <c r="A2193">
        <v>99</v>
      </c>
      <c r="B2193" t="s">
        <v>2117</v>
      </c>
      <c r="C2193" t="s">
        <v>1552</v>
      </c>
      <c r="D2193" t="s">
        <v>1379</v>
      </c>
      <c r="E2193" t="s">
        <v>1626</v>
      </c>
      <c r="F2193">
        <v>3.85E-2</v>
      </c>
      <c r="G2193">
        <v>116.09</v>
      </c>
      <c r="H2193" t="s">
        <v>1153</v>
      </c>
      <c r="I2193" t="s">
        <v>153</v>
      </c>
      <c r="J2193">
        <v>4.4694649999999996</v>
      </c>
      <c r="K2193">
        <v>1872.929308</v>
      </c>
      <c r="L2193" t="s">
        <v>650</v>
      </c>
      <c r="M2193">
        <v>419.05</v>
      </c>
      <c r="N2193" t="s">
        <v>4546</v>
      </c>
      <c r="O2193" t="s">
        <v>4531</v>
      </c>
    </row>
    <row r="2194" spans="1:15" x14ac:dyDescent="0.2">
      <c r="A2194">
        <v>99</v>
      </c>
      <c r="B2194" t="s">
        <v>2117</v>
      </c>
      <c r="C2194" t="s">
        <v>1552</v>
      </c>
      <c r="D2194" t="s">
        <v>110</v>
      </c>
      <c r="E2194" t="s">
        <v>1544</v>
      </c>
      <c r="F2194">
        <v>2.9748000000000001</v>
      </c>
      <c r="G2194">
        <v>5.9786000000000001</v>
      </c>
      <c r="H2194" t="s">
        <v>1052</v>
      </c>
      <c r="I2194" t="s">
        <v>153</v>
      </c>
      <c r="J2194">
        <v>17.785139279999999</v>
      </c>
      <c r="K2194">
        <v>7452.862615</v>
      </c>
      <c r="L2194" t="s">
        <v>650</v>
      </c>
      <c r="M2194">
        <v>419.05</v>
      </c>
      <c r="N2194" t="s">
        <v>4543</v>
      </c>
      <c r="O2194" t="s">
        <v>4531</v>
      </c>
    </row>
    <row r="2195" spans="1:15" x14ac:dyDescent="0.2">
      <c r="A2195">
        <v>99</v>
      </c>
      <c r="B2195" t="s">
        <v>2117</v>
      </c>
      <c r="C2195" t="s">
        <v>1552</v>
      </c>
      <c r="D2195" t="s">
        <v>1489</v>
      </c>
      <c r="E2195" t="s">
        <v>250</v>
      </c>
      <c r="F2195">
        <v>4.0701000000000001</v>
      </c>
      <c r="G2195">
        <v>0.87</v>
      </c>
      <c r="H2195" t="s">
        <v>1052</v>
      </c>
      <c r="I2195" t="s">
        <v>153</v>
      </c>
      <c r="J2195">
        <v>3.5409869999999999</v>
      </c>
      <c r="K2195">
        <v>1483.850602</v>
      </c>
      <c r="L2195" t="s">
        <v>650</v>
      </c>
      <c r="M2195">
        <v>419.05</v>
      </c>
      <c r="N2195" t="s">
        <v>4530</v>
      </c>
      <c r="O2195" t="s">
        <v>4531</v>
      </c>
    </row>
    <row r="2196" spans="1:15" x14ac:dyDescent="0.2">
      <c r="A2196">
        <v>99</v>
      </c>
      <c r="B2196" t="s">
        <v>2117</v>
      </c>
      <c r="C2196" t="s">
        <v>1552</v>
      </c>
      <c r="D2196" t="s">
        <v>547</v>
      </c>
      <c r="E2196" t="s">
        <v>2320</v>
      </c>
      <c r="F2196">
        <v>0</v>
      </c>
      <c r="G2196">
        <v>13.51</v>
      </c>
      <c r="H2196" t="s">
        <v>151</v>
      </c>
      <c r="I2196" t="s">
        <v>153</v>
      </c>
      <c r="J2196">
        <v>0</v>
      </c>
      <c r="K2196">
        <v>0</v>
      </c>
      <c r="L2196" t="s">
        <v>650</v>
      </c>
      <c r="M2196">
        <v>419.05</v>
      </c>
      <c r="N2196" t="s">
        <v>4540</v>
      </c>
      <c r="O2196" t="s">
        <v>4531</v>
      </c>
    </row>
    <row r="2197" spans="1:15" x14ac:dyDescent="0.2">
      <c r="A2197">
        <v>99</v>
      </c>
      <c r="B2197" t="s">
        <v>2117</v>
      </c>
      <c r="C2197" t="s">
        <v>1552</v>
      </c>
      <c r="D2197" t="s">
        <v>935</v>
      </c>
      <c r="E2197" t="s">
        <v>1352</v>
      </c>
      <c r="F2197">
        <v>0</v>
      </c>
      <c r="G2197">
        <v>15.1457</v>
      </c>
      <c r="H2197" t="s">
        <v>151</v>
      </c>
      <c r="I2197" t="s">
        <v>153</v>
      </c>
      <c r="J2197">
        <v>0</v>
      </c>
      <c r="K2197">
        <v>0</v>
      </c>
      <c r="L2197" t="s">
        <v>650</v>
      </c>
      <c r="M2197">
        <v>419.05</v>
      </c>
      <c r="N2197" t="s">
        <v>4537</v>
      </c>
      <c r="O2197" t="s">
        <v>4531</v>
      </c>
    </row>
    <row r="2198" spans="1:15" x14ac:dyDescent="0.2">
      <c r="A2198">
        <v>99</v>
      </c>
      <c r="B2198" t="s">
        <v>2117</v>
      </c>
      <c r="C2198" t="s">
        <v>1552</v>
      </c>
      <c r="D2198" t="s">
        <v>1371</v>
      </c>
      <c r="E2198" t="s">
        <v>2406</v>
      </c>
      <c r="F2198">
        <v>1.9181999999999999</v>
      </c>
      <c r="G2198">
        <v>0.22</v>
      </c>
      <c r="H2198" t="s">
        <v>1781</v>
      </c>
      <c r="I2198" t="s">
        <v>153</v>
      </c>
      <c r="J2198">
        <v>0.42200399999999999</v>
      </c>
      <c r="K2198">
        <v>176.84077600000001</v>
      </c>
      <c r="L2198" t="s">
        <v>650</v>
      </c>
      <c r="M2198">
        <v>419.05</v>
      </c>
      <c r="N2198" t="s">
        <v>4536</v>
      </c>
      <c r="O2198" t="s">
        <v>4531</v>
      </c>
    </row>
    <row r="2199" spans="1:15" x14ac:dyDescent="0.2">
      <c r="A2199">
        <v>99</v>
      </c>
      <c r="B2199" t="s">
        <v>2117</v>
      </c>
      <c r="C2199" t="s">
        <v>1552</v>
      </c>
      <c r="D2199" t="s">
        <v>107</v>
      </c>
      <c r="E2199" t="s">
        <v>564</v>
      </c>
      <c r="F2199">
        <v>0.75980000000000003</v>
      </c>
      <c r="G2199">
        <v>6.1578999999999997</v>
      </c>
      <c r="H2199" t="s">
        <v>1052</v>
      </c>
      <c r="I2199" t="s">
        <v>153</v>
      </c>
      <c r="J2199">
        <v>4.6787724199999996</v>
      </c>
      <c r="K2199">
        <v>1960.6395829999999</v>
      </c>
      <c r="L2199" t="s">
        <v>650</v>
      </c>
      <c r="M2199">
        <v>419.05</v>
      </c>
      <c r="N2199" t="s">
        <v>4542</v>
      </c>
      <c r="O2199" t="s">
        <v>4531</v>
      </c>
    </row>
    <row r="2200" spans="1:15" x14ac:dyDescent="0.2">
      <c r="A2200">
        <v>99</v>
      </c>
      <c r="B2200" t="s">
        <v>2117</v>
      </c>
      <c r="C2200" t="s">
        <v>1554</v>
      </c>
      <c r="D2200" t="s">
        <v>107</v>
      </c>
      <c r="E2200" t="s">
        <v>564</v>
      </c>
      <c r="F2200">
        <v>5.2594000000000003</v>
      </c>
      <c r="G2200">
        <v>6.1578999999999997</v>
      </c>
      <c r="H2200" t="s">
        <v>1052</v>
      </c>
      <c r="I2200" t="s">
        <v>153</v>
      </c>
      <c r="J2200">
        <v>32.386859260000001</v>
      </c>
      <c r="K2200">
        <v>13571.713373000001</v>
      </c>
      <c r="L2200" t="s">
        <v>653</v>
      </c>
      <c r="M2200">
        <v>419.05</v>
      </c>
      <c r="N2200" t="s">
        <v>4587</v>
      </c>
      <c r="O2200" t="s">
        <v>4550</v>
      </c>
    </row>
    <row r="2201" spans="1:15" x14ac:dyDescent="0.2">
      <c r="A2201">
        <v>99</v>
      </c>
      <c r="B2201" t="s">
        <v>2117</v>
      </c>
      <c r="C2201" t="s">
        <v>1554</v>
      </c>
      <c r="D2201" t="s">
        <v>425</v>
      </c>
      <c r="E2201" t="s">
        <v>4584</v>
      </c>
      <c r="F2201">
        <v>0.71189999999999998</v>
      </c>
      <c r="G2201">
        <v>55.495800000000003</v>
      </c>
      <c r="H2201" t="s">
        <v>1152</v>
      </c>
      <c r="I2201" t="s">
        <v>153</v>
      </c>
      <c r="J2201">
        <v>39.507460020000003</v>
      </c>
      <c r="K2201">
        <v>16555.601121</v>
      </c>
      <c r="L2201" t="s">
        <v>653</v>
      </c>
      <c r="M2201">
        <v>419.05</v>
      </c>
      <c r="N2201" t="s">
        <v>4585</v>
      </c>
      <c r="O2201" t="s">
        <v>4550</v>
      </c>
    </row>
    <row r="2202" spans="1:15" x14ac:dyDescent="0.2">
      <c r="A2202">
        <v>99</v>
      </c>
      <c r="B2202" t="s">
        <v>2117</v>
      </c>
      <c r="C2202" t="s">
        <v>1554</v>
      </c>
      <c r="D2202" t="s">
        <v>1371</v>
      </c>
      <c r="E2202" t="s">
        <v>2406</v>
      </c>
      <c r="F2202">
        <v>6.3173000000000004</v>
      </c>
      <c r="G2202">
        <v>0.22</v>
      </c>
      <c r="H2202" t="s">
        <v>1781</v>
      </c>
      <c r="I2202" t="s">
        <v>153</v>
      </c>
      <c r="J2202">
        <v>1.3898060000000001</v>
      </c>
      <c r="K2202">
        <v>582.39820399999996</v>
      </c>
      <c r="L2202" t="s">
        <v>653</v>
      </c>
      <c r="M2202">
        <v>419.05</v>
      </c>
      <c r="N2202" t="s">
        <v>4578</v>
      </c>
      <c r="O2202" t="s">
        <v>4550</v>
      </c>
    </row>
    <row r="2203" spans="1:15" x14ac:dyDescent="0.2">
      <c r="A2203">
        <v>99</v>
      </c>
      <c r="B2203" t="s">
        <v>2117</v>
      </c>
      <c r="C2203" t="s">
        <v>1554</v>
      </c>
      <c r="D2203" t="s">
        <v>1555</v>
      </c>
      <c r="E2203" t="s">
        <v>177</v>
      </c>
      <c r="F2203">
        <v>8.2812999999999999</v>
      </c>
      <c r="G2203">
        <v>3.51</v>
      </c>
      <c r="H2203" t="s">
        <v>1052</v>
      </c>
      <c r="I2203" t="s">
        <v>153</v>
      </c>
      <c r="J2203">
        <v>29.067363</v>
      </c>
      <c r="K2203">
        <v>12180.678465000001</v>
      </c>
      <c r="L2203" t="s">
        <v>653</v>
      </c>
      <c r="M2203">
        <v>419.05</v>
      </c>
      <c r="N2203" t="s">
        <v>4563</v>
      </c>
      <c r="O2203" t="s">
        <v>4550</v>
      </c>
    </row>
    <row r="2204" spans="1:15" x14ac:dyDescent="0.2">
      <c r="A2204">
        <v>99</v>
      </c>
      <c r="B2204" t="s">
        <v>2117</v>
      </c>
      <c r="C2204" t="s">
        <v>1554</v>
      </c>
      <c r="D2204" t="s">
        <v>935</v>
      </c>
      <c r="E2204" t="s">
        <v>1352</v>
      </c>
      <c r="F2204">
        <v>0</v>
      </c>
      <c r="G2204">
        <v>15.1457</v>
      </c>
      <c r="H2204" t="s">
        <v>151</v>
      </c>
      <c r="I2204" t="s">
        <v>153</v>
      </c>
      <c r="J2204">
        <v>0</v>
      </c>
      <c r="K2204">
        <v>0</v>
      </c>
      <c r="L2204" t="s">
        <v>653</v>
      </c>
      <c r="M2204">
        <v>419.05</v>
      </c>
      <c r="N2204" t="s">
        <v>4565</v>
      </c>
      <c r="O2204" t="s">
        <v>4550</v>
      </c>
    </row>
    <row r="2205" spans="1:15" x14ac:dyDescent="0.2">
      <c r="A2205">
        <v>99</v>
      </c>
      <c r="B2205" t="s">
        <v>2117</v>
      </c>
      <c r="C2205" t="s">
        <v>1554</v>
      </c>
      <c r="D2205" t="s">
        <v>547</v>
      </c>
      <c r="E2205" t="s">
        <v>2320</v>
      </c>
      <c r="F2205">
        <v>0</v>
      </c>
      <c r="G2205">
        <v>13.51</v>
      </c>
      <c r="H2205" t="s">
        <v>151</v>
      </c>
      <c r="I2205" t="s">
        <v>153</v>
      </c>
      <c r="J2205">
        <v>0</v>
      </c>
      <c r="K2205">
        <v>0</v>
      </c>
      <c r="L2205" t="s">
        <v>653</v>
      </c>
      <c r="M2205">
        <v>419.05</v>
      </c>
      <c r="N2205" t="s">
        <v>4561</v>
      </c>
      <c r="O2205" t="s">
        <v>4550</v>
      </c>
    </row>
    <row r="2206" spans="1:15" x14ac:dyDescent="0.2">
      <c r="A2206">
        <v>99</v>
      </c>
      <c r="B2206" t="s">
        <v>2117</v>
      </c>
      <c r="C2206" t="s">
        <v>1554</v>
      </c>
      <c r="D2206" t="s">
        <v>82</v>
      </c>
      <c r="E2206" t="s">
        <v>2688</v>
      </c>
      <c r="F2206">
        <v>1.6317999999999999</v>
      </c>
      <c r="G2206">
        <v>2.04</v>
      </c>
      <c r="H2206" t="s">
        <v>153</v>
      </c>
      <c r="I2206" t="s">
        <v>153</v>
      </c>
      <c r="J2206">
        <v>3.3288720000000001</v>
      </c>
      <c r="K2206">
        <v>1394.963812</v>
      </c>
      <c r="L2206" t="s">
        <v>653</v>
      </c>
      <c r="M2206">
        <v>419.05</v>
      </c>
      <c r="N2206" t="s">
        <v>4572</v>
      </c>
      <c r="O2206" t="s">
        <v>4550</v>
      </c>
    </row>
    <row r="2207" spans="1:15" x14ac:dyDescent="0.2">
      <c r="A2207">
        <v>99</v>
      </c>
      <c r="B2207" t="s">
        <v>2117</v>
      </c>
      <c r="C2207" t="s">
        <v>1554</v>
      </c>
      <c r="D2207" t="s">
        <v>1489</v>
      </c>
      <c r="E2207" t="s">
        <v>250</v>
      </c>
      <c r="F2207">
        <v>8.2812999999999999</v>
      </c>
      <c r="G2207">
        <v>0.87</v>
      </c>
      <c r="H2207" t="s">
        <v>1052</v>
      </c>
      <c r="I2207" t="s">
        <v>153</v>
      </c>
      <c r="J2207">
        <v>7.2047309999999998</v>
      </c>
      <c r="K2207">
        <v>3019.1425260000001</v>
      </c>
      <c r="L2207" t="s">
        <v>653</v>
      </c>
      <c r="M2207">
        <v>419.05</v>
      </c>
      <c r="N2207" t="s">
        <v>4562</v>
      </c>
      <c r="O2207" t="s">
        <v>4550</v>
      </c>
    </row>
    <row r="2208" spans="1:15" x14ac:dyDescent="0.2">
      <c r="A2208">
        <v>99</v>
      </c>
      <c r="B2208" t="s">
        <v>2117</v>
      </c>
      <c r="C2208" t="s">
        <v>1554</v>
      </c>
      <c r="D2208" t="s">
        <v>722</v>
      </c>
      <c r="E2208" t="s">
        <v>4576</v>
      </c>
      <c r="F2208">
        <v>5.2</v>
      </c>
      <c r="G2208">
        <v>5.13</v>
      </c>
      <c r="H2208" t="s">
        <v>1781</v>
      </c>
      <c r="I2208" t="s">
        <v>153</v>
      </c>
      <c r="J2208">
        <v>26.675999999999998</v>
      </c>
      <c r="K2208">
        <v>11178.577799999999</v>
      </c>
      <c r="L2208" t="s">
        <v>653</v>
      </c>
      <c r="M2208">
        <v>419.05</v>
      </c>
      <c r="N2208" t="s">
        <v>4577</v>
      </c>
      <c r="O2208" t="s">
        <v>4550</v>
      </c>
    </row>
    <row r="2209" spans="1:15" x14ac:dyDescent="0.2">
      <c r="A2209">
        <v>99</v>
      </c>
      <c r="B2209" t="s">
        <v>2117</v>
      </c>
      <c r="C2209" t="s">
        <v>1554</v>
      </c>
      <c r="D2209" t="s">
        <v>794</v>
      </c>
      <c r="E2209" t="s">
        <v>446</v>
      </c>
      <c r="F2209">
        <v>0</v>
      </c>
      <c r="G2209">
        <v>11.1343</v>
      </c>
      <c r="H2209" t="s">
        <v>151</v>
      </c>
      <c r="I2209" t="s">
        <v>153</v>
      </c>
      <c r="J2209">
        <v>0</v>
      </c>
      <c r="K2209">
        <v>0</v>
      </c>
      <c r="L2209" t="s">
        <v>653</v>
      </c>
      <c r="M2209">
        <v>419.05</v>
      </c>
      <c r="N2209" t="s">
        <v>4570</v>
      </c>
      <c r="O2209" t="s">
        <v>4550</v>
      </c>
    </row>
    <row r="2210" spans="1:15" x14ac:dyDescent="0.2">
      <c r="A2210">
        <v>99</v>
      </c>
      <c r="B2210" t="s">
        <v>2117</v>
      </c>
      <c r="C2210" t="s">
        <v>1554</v>
      </c>
      <c r="D2210" t="s">
        <v>1217</v>
      </c>
      <c r="E2210" t="s">
        <v>2799</v>
      </c>
      <c r="F2210">
        <v>1.35</v>
      </c>
      <c r="G2210">
        <v>9.65</v>
      </c>
      <c r="H2210" t="s">
        <v>1052</v>
      </c>
      <c r="I2210" t="s">
        <v>153</v>
      </c>
      <c r="J2210">
        <v>13.0275</v>
      </c>
      <c r="K2210">
        <v>5459.1738750000004</v>
      </c>
      <c r="L2210" t="s">
        <v>653</v>
      </c>
      <c r="M2210">
        <v>419.05</v>
      </c>
      <c r="N2210" t="s">
        <v>4573</v>
      </c>
      <c r="O2210" t="s">
        <v>4550</v>
      </c>
    </row>
    <row r="2211" spans="1:15" x14ac:dyDescent="0.2">
      <c r="A2211">
        <v>99</v>
      </c>
      <c r="B2211" t="s">
        <v>2117</v>
      </c>
      <c r="C2211" t="s">
        <v>1554</v>
      </c>
      <c r="D2211" t="s">
        <v>1644</v>
      </c>
      <c r="E2211" t="s">
        <v>2804</v>
      </c>
      <c r="F2211">
        <v>0.59709999999999996</v>
      </c>
      <c r="G2211">
        <v>5.6454000000000004</v>
      </c>
      <c r="H2211" t="s">
        <v>1152</v>
      </c>
      <c r="I2211" t="s">
        <v>153</v>
      </c>
      <c r="J2211">
        <v>3.3708683399999999</v>
      </c>
      <c r="K2211">
        <v>1412.5623780000001</v>
      </c>
      <c r="L2211" t="s">
        <v>653</v>
      </c>
      <c r="M2211">
        <v>419.05</v>
      </c>
      <c r="N2211" t="s">
        <v>4555</v>
      </c>
      <c r="O2211" t="s">
        <v>4550</v>
      </c>
    </row>
    <row r="2212" spans="1:15" x14ac:dyDescent="0.2">
      <c r="A2212">
        <v>99</v>
      </c>
      <c r="B2212" t="s">
        <v>2117</v>
      </c>
      <c r="C2212" t="s">
        <v>1554</v>
      </c>
      <c r="D2212" t="s">
        <v>1051</v>
      </c>
      <c r="E2212" t="s">
        <v>1130</v>
      </c>
      <c r="F2212">
        <v>4.2999999999999997E-2</v>
      </c>
      <c r="G2212">
        <v>11.57</v>
      </c>
      <c r="H2212" t="s">
        <v>1052</v>
      </c>
      <c r="I2212" t="s">
        <v>153</v>
      </c>
      <c r="J2212">
        <v>0.49751000000000001</v>
      </c>
      <c r="K2212">
        <v>208.48156599999999</v>
      </c>
      <c r="L2212" t="s">
        <v>653</v>
      </c>
      <c r="M2212">
        <v>419.05</v>
      </c>
      <c r="N2212" t="s">
        <v>4590</v>
      </c>
      <c r="O2212" t="s">
        <v>4550</v>
      </c>
    </row>
    <row r="2213" spans="1:15" x14ac:dyDescent="0.2">
      <c r="A2213">
        <v>99</v>
      </c>
      <c r="B2213" t="s">
        <v>2117</v>
      </c>
      <c r="C2213" t="s">
        <v>1554</v>
      </c>
      <c r="D2213" t="s">
        <v>795</v>
      </c>
      <c r="E2213" t="s">
        <v>1842</v>
      </c>
      <c r="F2213">
        <v>0</v>
      </c>
      <c r="G2213">
        <v>10.525700000000001</v>
      </c>
      <c r="H2213" t="s">
        <v>151</v>
      </c>
      <c r="I2213" t="s">
        <v>153</v>
      </c>
      <c r="J2213">
        <v>0</v>
      </c>
      <c r="K2213">
        <v>0</v>
      </c>
      <c r="L2213" t="s">
        <v>653</v>
      </c>
      <c r="M2213">
        <v>419.05</v>
      </c>
      <c r="N2213" t="s">
        <v>4559</v>
      </c>
      <c r="O2213" t="s">
        <v>4550</v>
      </c>
    </row>
    <row r="2214" spans="1:15" x14ac:dyDescent="0.2">
      <c r="A2214">
        <v>99</v>
      </c>
      <c r="B2214" t="s">
        <v>2117</v>
      </c>
      <c r="C2214" t="s">
        <v>1554</v>
      </c>
      <c r="D2214" t="s">
        <v>718</v>
      </c>
      <c r="E2214" t="s">
        <v>4574</v>
      </c>
      <c r="F2214">
        <v>6.25</v>
      </c>
      <c r="G2214">
        <v>4.28</v>
      </c>
      <c r="H2214" t="s">
        <v>1781</v>
      </c>
      <c r="I2214" t="s">
        <v>153</v>
      </c>
      <c r="J2214">
        <v>26.75</v>
      </c>
      <c r="K2214">
        <v>11209.5875</v>
      </c>
      <c r="L2214" t="s">
        <v>653</v>
      </c>
      <c r="M2214">
        <v>419.05</v>
      </c>
      <c r="N2214" t="s">
        <v>4575</v>
      </c>
      <c r="O2214" t="s">
        <v>4550</v>
      </c>
    </row>
    <row r="2215" spans="1:15" x14ac:dyDescent="0.2">
      <c r="A2215">
        <v>99</v>
      </c>
      <c r="B2215" t="s">
        <v>2117</v>
      </c>
      <c r="C2215" t="s">
        <v>1554</v>
      </c>
      <c r="D2215" t="s">
        <v>105</v>
      </c>
      <c r="E2215" t="s">
        <v>707</v>
      </c>
      <c r="F2215">
        <v>1.548</v>
      </c>
      <c r="G2215">
        <v>5.5869</v>
      </c>
      <c r="H2215" t="s">
        <v>1052</v>
      </c>
      <c r="I2215" t="s">
        <v>153</v>
      </c>
      <c r="J2215">
        <v>8.6485211999999994</v>
      </c>
      <c r="K2215">
        <v>3624.1628089999999</v>
      </c>
      <c r="L2215" t="s">
        <v>653</v>
      </c>
      <c r="M2215">
        <v>419.05</v>
      </c>
      <c r="N2215" t="s">
        <v>4586</v>
      </c>
      <c r="O2215" t="s">
        <v>4550</v>
      </c>
    </row>
    <row r="2216" spans="1:15" x14ac:dyDescent="0.2">
      <c r="A2216">
        <v>99</v>
      </c>
      <c r="B2216" t="s">
        <v>2117</v>
      </c>
      <c r="C2216" t="s">
        <v>1554</v>
      </c>
      <c r="D2216" t="s">
        <v>1971</v>
      </c>
      <c r="E2216" t="s">
        <v>1147</v>
      </c>
      <c r="F2216">
        <v>0</v>
      </c>
      <c r="G2216">
        <v>28.81</v>
      </c>
      <c r="H2216" t="s">
        <v>742</v>
      </c>
      <c r="I2216" t="s">
        <v>153</v>
      </c>
      <c r="J2216">
        <v>0</v>
      </c>
      <c r="K2216">
        <v>0</v>
      </c>
      <c r="L2216" t="s">
        <v>653</v>
      </c>
      <c r="M2216">
        <v>419.05</v>
      </c>
      <c r="N2216" t="s">
        <v>4558</v>
      </c>
      <c r="O2216" t="s">
        <v>4550</v>
      </c>
    </row>
    <row r="2217" spans="1:15" x14ac:dyDescent="0.2">
      <c r="A2217">
        <v>99</v>
      </c>
      <c r="B2217" t="s">
        <v>2117</v>
      </c>
      <c r="C2217" t="s">
        <v>1554</v>
      </c>
      <c r="D2217" t="s">
        <v>1043</v>
      </c>
      <c r="E2217" t="s">
        <v>1497</v>
      </c>
      <c r="F2217">
        <v>9.1000000000000004E-3</v>
      </c>
      <c r="G2217">
        <v>12.1</v>
      </c>
      <c r="H2217" t="s">
        <v>1052</v>
      </c>
      <c r="I2217" t="s">
        <v>153</v>
      </c>
      <c r="J2217">
        <v>0.11011</v>
      </c>
      <c r="K2217">
        <v>46.141596</v>
      </c>
      <c r="L2217" t="s">
        <v>653</v>
      </c>
      <c r="M2217">
        <v>419.05</v>
      </c>
      <c r="N2217" t="s">
        <v>4589</v>
      </c>
      <c r="O2217" t="s">
        <v>4550</v>
      </c>
    </row>
    <row r="2218" spans="1:15" x14ac:dyDescent="0.2">
      <c r="A2218">
        <v>99</v>
      </c>
      <c r="B2218" t="s">
        <v>2117</v>
      </c>
      <c r="C2218" t="s">
        <v>1554</v>
      </c>
      <c r="D2218" t="s">
        <v>1379</v>
      </c>
      <c r="E2218" t="s">
        <v>1626</v>
      </c>
      <c r="F2218">
        <v>1.2800000000000001E-2</v>
      </c>
      <c r="G2218">
        <v>116.09</v>
      </c>
      <c r="H2218" t="s">
        <v>1153</v>
      </c>
      <c r="I2218" t="s">
        <v>153</v>
      </c>
      <c r="J2218">
        <v>1.4859519999999999</v>
      </c>
      <c r="K2218">
        <v>622.68818599999997</v>
      </c>
      <c r="L2218" t="s">
        <v>653</v>
      </c>
      <c r="M2218">
        <v>419.05</v>
      </c>
      <c r="N2218" t="s">
        <v>4580</v>
      </c>
      <c r="O2218" t="s">
        <v>4550</v>
      </c>
    </row>
    <row r="2219" spans="1:15" x14ac:dyDescent="0.2">
      <c r="A2219">
        <v>99</v>
      </c>
      <c r="B2219" t="s">
        <v>2117</v>
      </c>
      <c r="C2219" t="s">
        <v>1554</v>
      </c>
      <c r="D2219" t="s">
        <v>1129</v>
      </c>
      <c r="E2219" t="s">
        <v>2681</v>
      </c>
      <c r="F2219">
        <v>6.0000000000000001E-3</v>
      </c>
      <c r="G2219">
        <v>19.722200000000001</v>
      </c>
      <c r="H2219" t="s">
        <v>152</v>
      </c>
      <c r="I2219" t="s">
        <v>153</v>
      </c>
      <c r="J2219">
        <v>0.1183332</v>
      </c>
      <c r="K2219">
        <v>49.587527000000001</v>
      </c>
      <c r="L2219" t="s">
        <v>653</v>
      </c>
      <c r="M2219">
        <v>419.05</v>
      </c>
      <c r="N2219" t="s">
        <v>4582</v>
      </c>
      <c r="O2219" t="s">
        <v>4550</v>
      </c>
    </row>
    <row r="2220" spans="1:15" x14ac:dyDescent="0.2">
      <c r="A2220">
        <v>99</v>
      </c>
      <c r="B2220" t="s">
        <v>2117</v>
      </c>
      <c r="C2220" t="s">
        <v>1554</v>
      </c>
      <c r="D2220" t="s">
        <v>1561</v>
      </c>
      <c r="E2220" t="s">
        <v>1939</v>
      </c>
      <c r="F2220">
        <v>0.20699999999999999</v>
      </c>
      <c r="G2220">
        <v>9.8886000000000003</v>
      </c>
      <c r="H2220" t="s">
        <v>1052</v>
      </c>
      <c r="I2220" t="s">
        <v>153</v>
      </c>
      <c r="J2220">
        <v>2.0469401999999999</v>
      </c>
      <c r="K2220">
        <v>857.77029100000004</v>
      </c>
      <c r="L2220" t="s">
        <v>653</v>
      </c>
      <c r="M2220">
        <v>419.05</v>
      </c>
      <c r="N2220" t="s">
        <v>4588</v>
      </c>
      <c r="O2220" t="s">
        <v>4550</v>
      </c>
    </row>
    <row r="2221" spans="1:15" x14ac:dyDescent="0.2">
      <c r="A2221">
        <v>99</v>
      </c>
      <c r="B2221" t="s">
        <v>2117</v>
      </c>
      <c r="C2221" t="s">
        <v>1554</v>
      </c>
      <c r="D2221" t="s">
        <v>1575</v>
      </c>
      <c r="E2221" t="s">
        <v>2428</v>
      </c>
      <c r="F2221">
        <v>0.32350000000000001</v>
      </c>
      <c r="G2221">
        <v>96.42</v>
      </c>
      <c r="H2221" t="s">
        <v>1153</v>
      </c>
      <c r="I2221" t="s">
        <v>153</v>
      </c>
      <c r="J2221">
        <v>31.191870000000002</v>
      </c>
      <c r="K2221">
        <v>13070.953124</v>
      </c>
      <c r="L2221" t="s">
        <v>653</v>
      </c>
      <c r="M2221">
        <v>419.05</v>
      </c>
      <c r="N2221" t="s">
        <v>4553</v>
      </c>
      <c r="O2221" t="s">
        <v>4550</v>
      </c>
    </row>
    <row r="2222" spans="1:15" x14ac:dyDescent="0.2">
      <c r="A2222">
        <v>99</v>
      </c>
      <c r="B2222" t="s">
        <v>2117</v>
      </c>
      <c r="C2222" t="s">
        <v>1554</v>
      </c>
      <c r="D2222" t="s">
        <v>1654</v>
      </c>
      <c r="E2222" t="s">
        <v>1551</v>
      </c>
      <c r="F2222">
        <v>4.6959999999999997</v>
      </c>
      <c r="G2222">
        <v>0.7974</v>
      </c>
      <c r="H2222" t="s">
        <v>1052</v>
      </c>
      <c r="I2222" t="s">
        <v>153</v>
      </c>
      <c r="J2222">
        <v>3.7445903999999999</v>
      </c>
      <c r="K2222">
        <v>1569.170607</v>
      </c>
      <c r="L2222" t="s">
        <v>653</v>
      </c>
      <c r="M2222">
        <v>419.05</v>
      </c>
      <c r="N2222" t="s">
        <v>4579</v>
      </c>
      <c r="O2222" t="s">
        <v>4550</v>
      </c>
    </row>
    <row r="2223" spans="1:15" x14ac:dyDescent="0.2">
      <c r="A2223">
        <v>99</v>
      </c>
      <c r="B2223" t="s">
        <v>2117</v>
      </c>
      <c r="C2223" t="s">
        <v>1554</v>
      </c>
      <c r="D2223" t="s">
        <v>954</v>
      </c>
      <c r="E2223" t="s">
        <v>171</v>
      </c>
      <c r="F2223">
        <v>0</v>
      </c>
      <c r="G2223">
        <v>15.0943</v>
      </c>
      <c r="H2223" t="s">
        <v>151</v>
      </c>
      <c r="I2223" t="s">
        <v>153</v>
      </c>
      <c r="J2223">
        <v>0</v>
      </c>
      <c r="K2223">
        <v>0</v>
      </c>
      <c r="L2223" t="s">
        <v>653</v>
      </c>
      <c r="M2223">
        <v>419.05</v>
      </c>
      <c r="N2223" t="s">
        <v>4567</v>
      </c>
      <c r="O2223" t="s">
        <v>4550</v>
      </c>
    </row>
    <row r="2224" spans="1:15" x14ac:dyDescent="0.2">
      <c r="A2224">
        <v>99</v>
      </c>
      <c r="B2224" t="s">
        <v>2117</v>
      </c>
      <c r="C2224" t="s">
        <v>1554</v>
      </c>
      <c r="D2224" t="s">
        <v>120</v>
      </c>
      <c r="E2224" t="s">
        <v>597</v>
      </c>
      <c r="F2224">
        <v>0</v>
      </c>
      <c r="G2224">
        <v>1.52</v>
      </c>
      <c r="H2224" t="s">
        <v>742</v>
      </c>
      <c r="I2224" t="s">
        <v>153</v>
      </c>
      <c r="J2224">
        <v>0</v>
      </c>
      <c r="K2224">
        <v>0</v>
      </c>
      <c r="L2224" t="s">
        <v>653</v>
      </c>
      <c r="M2224">
        <v>419.05</v>
      </c>
      <c r="N2224" t="s">
        <v>4552</v>
      </c>
      <c r="O2224" t="s">
        <v>4550</v>
      </c>
    </row>
    <row r="2225" spans="1:15" x14ac:dyDescent="0.2">
      <c r="A2225">
        <v>99</v>
      </c>
      <c r="B2225" t="s">
        <v>2117</v>
      </c>
      <c r="C2225" t="s">
        <v>1554</v>
      </c>
      <c r="D2225" t="s">
        <v>1258</v>
      </c>
      <c r="E2225" t="s">
        <v>1526</v>
      </c>
      <c r="F2225">
        <v>1.83E-2</v>
      </c>
      <c r="G2225">
        <v>148</v>
      </c>
      <c r="H2225" t="s">
        <v>1153</v>
      </c>
      <c r="I2225" t="s">
        <v>153</v>
      </c>
      <c r="J2225">
        <v>2.7084000000000001</v>
      </c>
      <c r="K2225">
        <v>1134.9550200000001</v>
      </c>
      <c r="L2225" t="s">
        <v>653</v>
      </c>
      <c r="M2225">
        <v>419.05</v>
      </c>
      <c r="N2225" t="s">
        <v>4581</v>
      </c>
      <c r="O2225" t="s">
        <v>4550</v>
      </c>
    </row>
    <row r="2226" spans="1:15" x14ac:dyDescent="0.2">
      <c r="A2226">
        <v>99</v>
      </c>
      <c r="B2226" t="s">
        <v>2117</v>
      </c>
      <c r="C2226" t="s">
        <v>1554</v>
      </c>
      <c r="D2226" t="s">
        <v>1640</v>
      </c>
      <c r="E2226" t="s">
        <v>2504</v>
      </c>
      <c r="F2226">
        <v>0.13</v>
      </c>
      <c r="G2226">
        <v>40.157299999999999</v>
      </c>
      <c r="H2226" t="s">
        <v>1152</v>
      </c>
      <c r="I2226" t="s">
        <v>153</v>
      </c>
      <c r="J2226">
        <v>5.2204490000000003</v>
      </c>
      <c r="K2226">
        <v>2187.6291529999999</v>
      </c>
      <c r="L2226" t="s">
        <v>653</v>
      </c>
      <c r="M2226">
        <v>419.05</v>
      </c>
      <c r="N2226" t="s">
        <v>4554</v>
      </c>
      <c r="O2226" t="s">
        <v>4550</v>
      </c>
    </row>
    <row r="2227" spans="1:15" x14ac:dyDescent="0.2">
      <c r="A2227">
        <v>99</v>
      </c>
      <c r="B2227" t="s">
        <v>2117</v>
      </c>
      <c r="C2227" t="s">
        <v>1554</v>
      </c>
      <c r="D2227" t="s">
        <v>98</v>
      </c>
      <c r="E2227" t="s">
        <v>667</v>
      </c>
      <c r="F2227">
        <v>1.5154000000000001</v>
      </c>
      <c r="G2227">
        <v>5.9442000000000004</v>
      </c>
      <c r="H2227" t="s">
        <v>1052</v>
      </c>
      <c r="I2227" t="s">
        <v>153</v>
      </c>
      <c r="J2227">
        <v>9.0078406799999993</v>
      </c>
      <c r="K2227">
        <v>3774.7356370000002</v>
      </c>
      <c r="L2227" t="s">
        <v>653</v>
      </c>
      <c r="M2227">
        <v>419.05</v>
      </c>
      <c r="N2227" t="s">
        <v>4549</v>
      </c>
      <c r="O2227" t="s">
        <v>4550</v>
      </c>
    </row>
    <row r="2228" spans="1:15" x14ac:dyDescent="0.2">
      <c r="A2228">
        <v>99</v>
      </c>
      <c r="B2228" t="s">
        <v>2117</v>
      </c>
      <c r="C2228" t="s">
        <v>1554</v>
      </c>
      <c r="D2228" t="s">
        <v>944</v>
      </c>
      <c r="E2228" t="s">
        <v>1601</v>
      </c>
      <c r="F2228">
        <v>0</v>
      </c>
      <c r="G2228">
        <v>19.170000000000002</v>
      </c>
      <c r="H2228" t="s">
        <v>151</v>
      </c>
      <c r="I2228" t="s">
        <v>153</v>
      </c>
      <c r="J2228">
        <v>0</v>
      </c>
      <c r="K2228">
        <v>0</v>
      </c>
      <c r="L2228" t="s">
        <v>653</v>
      </c>
      <c r="M2228">
        <v>419.05</v>
      </c>
      <c r="N2228" t="s">
        <v>4566</v>
      </c>
      <c r="O2228" t="s">
        <v>4550</v>
      </c>
    </row>
    <row r="2229" spans="1:15" x14ac:dyDescent="0.2">
      <c r="A2229">
        <v>99</v>
      </c>
      <c r="B2229" t="s">
        <v>2117</v>
      </c>
      <c r="C2229" t="s">
        <v>1554</v>
      </c>
      <c r="D2229" t="s">
        <v>801</v>
      </c>
      <c r="E2229" t="s">
        <v>402</v>
      </c>
      <c r="F2229">
        <v>0</v>
      </c>
      <c r="G2229">
        <v>10.3</v>
      </c>
      <c r="H2229" t="s">
        <v>151</v>
      </c>
      <c r="I2229" t="s">
        <v>153</v>
      </c>
      <c r="J2229">
        <v>0</v>
      </c>
      <c r="K2229">
        <v>0</v>
      </c>
      <c r="L2229" t="s">
        <v>653</v>
      </c>
      <c r="M2229">
        <v>419.05</v>
      </c>
      <c r="N2229" t="s">
        <v>4560</v>
      </c>
      <c r="O2229" t="s">
        <v>4550</v>
      </c>
    </row>
    <row r="2230" spans="1:15" x14ac:dyDescent="0.2">
      <c r="A2230">
        <v>99</v>
      </c>
      <c r="B2230" t="s">
        <v>2117</v>
      </c>
      <c r="C2230" t="s">
        <v>1554</v>
      </c>
      <c r="D2230" t="s">
        <v>66</v>
      </c>
      <c r="E2230" t="s">
        <v>617</v>
      </c>
      <c r="F2230">
        <v>0</v>
      </c>
      <c r="G2230">
        <v>5.45</v>
      </c>
      <c r="H2230" t="s">
        <v>764</v>
      </c>
      <c r="I2230" t="s">
        <v>153</v>
      </c>
      <c r="J2230">
        <v>0</v>
      </c>
      <c r="K2230">
        <v>0</v>
      </c>
      <c r="L2230" t="s">
        <v>653</v>
      </c>
      <c r="M2230">
        <v>419.05</v>
      </c>
      <c r="N2230" t="s">
        <v>4551</v>
      </c>
      <c r="O2230" t="s">
        <v>4550</v>
      </c>
    </row>
    <row r="2231" spans="1:15" x14ac:dyDescent="0.2">
      <c r="A2231">
        <v>99</v>
      </c>
      <c r="B2231" t="s">
        <v>2117</v>
      </c>
      <c r="C2231" t="s">
        <v>1554</v>
      </c>
      <c r="D2231" t="s">
        <v>1065</v>
      </c>
      <c r="E2231" t="s">
        <v>1026</v>
      </c>
      <c r="F2231">
        <v>2.2599999999999999E-2</v>
      </c>
      <c r="G2231">
        <v>14.2</v>
      </c>
      <c r="H2231" t="s">
        <v>1052</v>
      </c>
      <c r="I2231" t="s">
        <v>153</v>
      </c>
      <c r="J2231">
        <v>0.32091999999999998</v>
      </c>
      <c r="K2231">
        <v>134.481526</v>
      </c>
      <c r="L2231" t="s">
        <v>653</v>
      </c>
      <c r="M2231">
        <v>419.05</v>
      </c>
      <c r="N2231" t="s">
        <v>4591</v>
      </c>
      <c r="O2231" t="s">
        <v>4550</v>
      </c>
    </row>
    <row r="2232" spans="1:15" x14ac:dyDescent="0.2">
      <c r="A2232">
        <v>99</v>
      </c>
      <c r="B2232" t="s">
        <v>2117</v>
      </c>
      <c r="C2232" t="s">
        <v>1554</v>
      </c>
      <c r="D2232" t="s">
        <v>498</v>
      </c>
      <c r="E2232" t="s">
        <v>773</v>
      </c>
      <c r="F2232">
        <v>1.2</v>
      </c>
      <c r="G2232">
        <v>0</v>
      </c>
      <c r="H2232" t="s">
        <v>84</v>
      </c>
      <c r="I2232" t="s">
        <v>153</v>
      </c>
      <c r="J2232">
        <v>0</v>
      </c>
      <c r="K2232">
        <v>0</v>
      </c>
      <c r="L2232" t="s">
        <v>653</v>
      </c>
      <c r="M2232">
        <v>419.05</v>
      </c>
      <c r="N2232" t="s">
        <v>4556</v>
      </c>
      <c r="O2232" t="s">
        <v>4550</v>
      </c>
    </row>
    <row r="2233" spans="1:15" x14ac:dyDescent="0.2">
      <c r="A2233">
        <v>99</v>
      </c>
      <c r="B2233" t="s">
        <v>2117</v>
      </c>
      <c r="C2233" t="s">
        <v>1554</v>
      </c>
      <c r="D2233" t="s">
        <v>1009</v>
      </c>
      <c r="E2233" t="s">
        <v>672</v>
      </c>
      <c r="F2233">
        <v>0</v>
      </c>
      <c r="G2233">
        <v>16.489999999999998</v>
      </c>
      <c r="H2233" t="s">
        <v>151</v>
      </c>
      <c r="I2233" t="s">
        <v>153</v>
      </c>
      <c r="J2233">
        <v>0</v>
      </c>
      <c r="K2233">
        <v>0</v>
      </c>
      <c r="L2233" t="s">
        <v>653</v>
      </c>
      <c r="M2233">
        <v>419.05</v>
      </c>
      <c r="N2233" t="s">
        <v>4568</v>
      </c>
      <c r="O2233" t="s">
        <v>4550</v>
      </c>
    </row>
    <row r="2234" spans="1:15" x14ac:dyDescent="0.2">
      <c r="A2234">
        <v>99</v>
      </c>
      <c r="B2234" t="s">
        <v>2117</v>
      </c>
      <c r="C2234" t="s">
        <v>1554</v>
      </c>
      <c r="D2234" t="s">
        <v>792</v>
      </c>
      <c r="E2234" t="s">
        <v>335</v>
      </c>
      <c r="F2234">
        <v>0</v>
      </c>
      <c r="G2234">
        <v>11.1343</v>
      </c>
      <c r="H2234" t="s">
        <v>151</v>
      </c>
      <c r="I2234" t="s">
        <v>153</v>
      </c>
      <c r="J2234">
        <v>0</v>
      </c>
      <c r="K2234">
        <v>0</v>
      </c>
      <c r="L2234" t="s">
        <v>653</v>
      </c>
      <c r="M2234">
        <v>419.05</v>
      </c>
      <c r="N2234" t="s">
        <v>4569</v>
      </c>
      <c r="O2234" t="s">
        <v>4550</v>
      </c>
    </row>
    <row r="2235" spans="1:15" x14ac:dyDescent="0.2">
      <c r="A2235">
        <v>99</v>
      </c>
      <c r="B2235" t="s">
        <v>2117</v>
      </c>
      <c r="C2235" t="s">
        <v>1554</v>
      </c>
      <c r="D2235" t="s">
        <v>1133</v>
      </c>
      <c r="E2235" t="s">
        <v>2843</v>
      </c>
      <c r="F2235">
        <v>5.0000000000000001E-4</v>
      </c>
      <c r="G2235">
        <v>8.93</v>
      </c>
      <c r="H2235" t="s">
        <v>152</v>
      </c>
      <c r="I2235" t="s">
        <v>153</v>
      </c>
      <c r="J2235">
        <v>4.4650000000000002E-3</v>
      </c>
      <c r="K2235">
        <v>1.8710580000000001</v>
      </c>
      <c r="L2235" t="s">
        <v>653</v>
      </c>
      <c r="M2235">
        <v>419.05</v>
      </c>
      <c r="N2235" t="s">
        <v>4583</v>
      </c>
      <c r="O2235" t="s">
        <v>4550</v>
      </c>
    </row>
    <row r="2236" spans="1:15" x14ac:dyDescent="0.2">
      <c r="A2236">
        <v>99</v>
      </c>
      <c r="B2236" t="s">
        <v>2117</v>
      </c>
      <c r="C2236" t="s">
        <v>1554</v>
      </c>
      <c r="D2236" t="s">
        <v>1568</v>
      </c>
      <c r="E2236" t="s">
        <v>2692</v>
      </c>
      <c r="F2236">
        <v>0.6</v>
      </c>
      <c r="G2236">
        <v>49.4</v>
      </c>
      <c r="H2236" t="s">
        <v>1152</v>
      </c>
      <c r="I2236" t="s">
        <v>153</v>
      </c>
      <c r="J2236">
        <v>29.64</v>
      </c>
      <c r="K2236">
        <v>12420.642</v>
      </c>
      <c r="L2236" t="s">
        <v>653</v>
      </c>
      <c r="M2236">
        <v>419.05</v>
      </c>
      <c r="N2236" t="s">
        <v>4564</v>
      </c>
      <c r="O2236" t="s">
        <v>4550</v>
      </c>
    </row>
    <row r="2237" spans="1:15" x14ac:dyDescent="0.2">
      <c r="A2237">
        <v>99</v>
      </c>
      <c r="B2237" t="s">
        <v>2117</v>
      </c>
      <c r="C2237" t="s">
        <v>1554</v>
      </c>
      <c r="D2237" t="s">
        <v>189</v>
      </c>
      <c r="E2237" t="s">
        <v>2685</v>
      </c>
      <c r="F2237">
        <v>2.7528000000000001</v>
      </c>
      <c r="G2237">
        <v>11.05</v>
      </c>
      <c r="H2237" t="s">
        <v>153</v>
      </c>
      <c r="I2237" t="s">
        <v>153</v>
      </c>
      <c r="J2237">
        <v>30.41844</v>
      </c>
      <c r="K2237">
        <v>12746.847282000001</v>
      </c>
      <c r="L2237" t="s">
        <v>653</v>
      </c>
      <c r="M2237">
        <v>419.05</v>
      </c>
      <c r="N2237" t="s">
        <v>4571</v>
      </c>
      <c r="O2237" t="s">
        <v>4550</v>
      </c>
    </row>
    <row r="2238" spans="1:15" x14ac:dyDescent="0.2">
      <c r="A2238">
        <v>99</v>
      </c>
      <c r="B2238" t="s">
        <v>2117</v>
      </c>
      <c r="C2238" t="s">
        <v>1554</v>
      </c>
      <c r="D2238" t="s">
        <v>1970</v>
      </c>
      <c r="E2238" t="s">
        <v>1166</v>
      </c>
      <c r="F2238">
        <v>0</v>
      </c>
      <c r="G2238">
        <v>30.29</v>
      </c>
      <c r="H2238" t="s">
        <v>764</v>
      </c>
      <c r="I2238" t="s">
        <v>153</v>
      </c>
      <c r="J2238">
        <v>0</v>
      </c>
      <c r="K2238">
        <v>0</v>
      </c>
      <c r="L2238" t="s">
        <v>653</v>
      </c>
      <c r="M2238">
        <v>419.05</v>
      </c>
      <c r="N2238" t="s">
        <v>4557</v>
      </c>
      <c r="O2238" t="s">
        <v>4550</v>
      </c>
    </row>
    <row r="2239" spans="1:15" x14ac:dyDescent="0.2">
      <c r="A2239">
        <v>99</v>
      </c>
      <c r="B2239" t="s">
        <v>2117</v>
      </c>
      <c r="C2239" t="s">
        <v>1556</v>
      </c>
      <c r="D2239" t="s">
        <v>1133</v>
      </c>
      <c r="E2239" t="s">
        <v>2843</v>
      </c>
      <c r="F2239">
        <v>5.9999999999999995E-4</v>
      </c>
      <c r="G2239">
        <v>8.93</v>
      </c>
      <c r="H2239" t="s">
        <v>152</v>
      </c>
      <c r="I2239" t="s">
        <v>1152</v>
      </c>
      <c r="J2239">
        <v>5.3579999999999999E-3</v>
      </c>
      <c r="K2239">
        <v>5.6132020000000002</v>
      </c>
      <c r="L2239" t="s">
        <v>654</v>
      </c>
      <c r="M2239">
        <v>1047.6300000000001</v>
      </c>
      <c r="N2239" t="s">
        <v>4597</v>
      </c>
      <c r="O2239" t="s">
        <v>4594</v>
      </c>
    </row>
    <row r="2240" spans="1:15" x14ac:dyDescent="0.2">
      <c r="A2240">
        <v>99</v>
      </c>
      <c r="B2240" t="s">
        <v>2117</v>
      </c>
      <c r="C2240" t="s">
        <v>1556</v>
      </c>
      <c r="D2240" t="s">
        <v>1009</v>
      </c>
      <c r="E2240" t="s">
        <v>672</v>
      </c>
      <c r="F2240">
        <v>0</v>
      </c>
      <c r="G2240">
        <v>16.489999999999998</v>
      </c>
      <c r="H2240" t="s">
        <v>151</v>
      </c>
      <c r="I2240" t="s">
        <v>1152</v>
      </c>
      <c r="J2240">
        <v>0</v>
      </c>
      <c r="K2240">
        <v>0</v>
      </c>
      <c r="L2240" t="s">
        <v>654</v>
      </c>
      <c r="M2240">
        <v>1047.6300000000001</v>
      </c>
      <c r="N2240" t="s">
        <v>4602</v>
      </c>
      <c r="O2240" t="s">
        <v>4594</v>
      </c>
    </row>
    <row r="2241" spans="1:15" x14ac:dyDescent="0.2">
      <c r="A2241">
        <v>99</v>
      </c>
      <c r="B2241" t="s">
        <v>2117</v>
      </c>
      <c r="C2241" t="s">
        <v>1556</v>
      </c>
      <c r="D2241" t="s">
        <v>498</v>
      </c>
      <c r="E2241" t="s">
        <v>773</v>
      </c>
      <c r="F2241">
        <v>1.2</v>
      </c>
      <c r="G2241">
        <v>0</v>
      </c>
      <c r="H2241" t="s">
        <v>84</v>
      </c>
      <c r="I2241" t="s">
        <v>1152</v>
      </c>
      <c r="J2241">
        <v>0</v>
      </c>
      <c r="K2241">
        <v>0</v>
      </c>
      <c r="L2241" t="s">
        <v>654</v>
      </c>
      <c r="M2241">
        <v>1047.6300000000001</v>
      </c>
      <c r="N2241" t="s">
        <v>4606</v>
      </c>
      <c r="O2241" t="s">
        <v>4594</v>
      </c>
    </row>
    <row r="2242" spans="1:15" x14ac:dyDescent="0.2">
      <c r="A2242">
        <v>99</v>
      </c>
      <c r="B2242" t="s">
        <v>2117</v>
      </c>
      <c r="C2242" t="s">
        <v>1556</v>
      </c>
      <c r="D2242" t="s">
        <v>66</v>
      </c>
      <c r="E2242" t="s">
        <v>617</v>
      </c>
      <c r="F2242">
        <v>0</v>
      </c>
      <c r="G2242">
        <v>5.45</v>
      </c>
      <c r="H2242" t="s">
        <v>764</v>
      </c>
      <c r="I2242" t="s">
        <v>1152</v>
      </c>
      <c r="J2242">
        <v>0</v>
      </c>
      <c r="K2242">
        <v>0</v>
      </c>
      <c r="L2242" t="s">
        <v>654</v>
      </c>
      <c r="M2242">
        <v>1047.6300000000001</v>
      </c>
      <c r="N2242" t="s">
        <v>4607</v>
      </c>
      <c r="O2242" t="s">
        <v>4594</v>
      </c>
    </row>
    <row r="2243" spans="1:15" x14ac:dyDescent="0.2">
      <c r="A2243">
        <v>99</v>
      </c>
      <c r="B2243" t="s">
        <v>2117</v>
      </c>
      <c r="C2243" t="s">
        <v>1556</v>
      </c>
      <c r="D2243" t="s">
        <v>801</v>
      </c>
      <c r="E2243" t="s">
        <v>402</v>
      </c>
      <c r="F2243">
        <v>0</v>
      </c>
      <c r="G2243">
        <v>10.3</v>
      </c>
      <c r="H2243" t="s">
        <v>151</v>
      </c>
      <c r="I2243" t="s">
        <v>1152</v>
      </c>
      <c r="J2243">
        <v>0</v>
      </c>
      <c r="K2243">
        <v>0</v>
      </c>
      <c r="L2243" t="s">
        <v>654</v>
      </c>
      <c r="M2243">
        <v>1047.6300000000001</v>
      </c>
      <c r="N2243" t="s">
        <v>4603</v>
      </c>
      <c r="O2243" t="s">
        <v>4594</v>
      </c>
    </row>
    <row r="2244" spans="1:15" x14ac:dyDescent="0.2">
      <c r="A2244">
        <v>99</v>
      </c>
      <c r="B2244" t="s">
        <v>2117</v>
      </c>
      <c r="C2244" t="s">
        <v>1556</v>
      </c>
      <c r="D2244" t="s">
        <v>1258</v>
      </c>
      <c r="E2244" t="s">
        <v>1526</v>
      </c>
      <c r="F2244">
        <v>1.2999999999999999E-2</v>
      </c>
      <c r="G2244">
        <v>148</v>
      </c>
      <c r="H2244" t="s">
        <v>1153</v>
      </c>
      <c r="I2244" t="s">
        <v>1152</v>
      </c>
      <c r="J2244">
        <v>1.9239999999999999</v>
      </c>
      <c r="K2244">
        <v>2015.64012</v>
      </c>
      <c r="L2244" t="s">
        <v>654</v>
      </c>
      <c r="M2244">
        <v>1047.6300000000001</v>
      </c>
      <c r="N2244" t="s">
        <v>4596</v>
      </c>
      <c r="O2244" t="s">
        <v>4594</v>
      </c>
    </row>
    <row r="2245" spans="1:15" x14ac:dyDescent="0.2">
      <c r="A2245">
        <v>99</v>
      </c>
      <c r="B2245" t="s">
        <v>2117</v>
      </c>
      <c r="C2245" t="s">
        <v>1556</v>
      </c>
      <c r="D2245" t="s">
        <v>120</v>
      </c>
      <c r="E2245" t="s">
        <v>597</v>
      </c>
      <c r="F2245">
        <v>0</v>
      </c>
      <c r="G2245">
        <v>1.52</v>
      </c>
      <c r="H2245" t="s">
        <v>742</v>
      </c>
      <c r="I2245" t="s">
        <v>1152</v>
      </c>
      <c r="J2245">
        <v>0</v>
      </c>
      <c r="K2245">
        <v>0</v>
      </c>
      <c r="L2245" t="s">
        <v>654</v>
      </c>
      <c r="M2245">
        <v>1047.6300000000001</v>
      </c>
      <c r="N2245" t="s">
        <v>4601</v>
      </c>
      <c r="O2245" t="s">
        <v>4594</v>
      </c>
    </row>
    <row r="2246" spans="1:15" x14ac:dyDescent="0.2">
      <c r="A2246">
        <v>99</v>
      </c>
      <c r="B2246" t="s">
        <v>2117</v>
      </c>
      <c r="C2246" t="s">
        <v>1556</v>
      </c>
      <c r="D2246" t="s">
        <v>1359</v>
      </c>
      <c r="E2246" t="s">
        <v>2832</v>
      </c>
      <c r="F2246">
        <v>1</v>
      </c>
      <c r="G2246">
        <v>48</v>
      </c>
      <c r="H2246" t="s">
        <v>1152</v>
      </c>
      <c r="I2246" t="s">
        <v>1152</v>
      </c>
      <c r="J2246">
        <v>48</v>
      </c>
      <c r="K2246">
        <v>50286.239999999998</v>
      </c>
      <c r="L2246" t="s">
        <v>654</v>
      </c>
      <c r="M2246">
        <v>1047.6300000000001</v>
      </c>
      <c r="N2246" t="s">
        <v>4605</v>
      </c>
      <c r="O2246" t="s">
        <v>4594</v>
      </c>
    </row>
    <row r="2247" spans="1:15" x14ac:dyDescent="0.2">
      <c r="A2247">
        <v>99</v>
      </c>
      <c r="B2247" t="s">
        <v>2117</v>
      </c>
      <c r="C2247" t="s">
        <v>1556</v>
      </c>
      <c r="D2247" t="s">
        <v>1654</v>
      </c>
      <c r="E2247" t="s">
        <v>1551</v>
      </c>
      <c r="F2247">
        <v>2.9049999999999998</v>
      </c>
      <c r="G2247">
        <v>0.7974</v>
      </c>
      <c r="H2247" t="s">
        <v>1052</v>
      </c>
      <c r="I2247" t="s">
        <v>1152</v>
      </c>
      <c r="J2247">
        <v>2.3164470000000001</v>
      </c>
      <c r="K2247">
        <v>2426.7793710000001</v>
      </c>
      <c r="L2247" t="s">
        <v>654</v>
      </c>
      <c r="M2247">
        <v>1047.6300000000001</v>
      </c>
      <c r="N2247" t="s">
        <v>4595</v>
      </c>
      <c r="O2247" t="s">
        <v>4594</v>
      </c>
    </row>
    <row r="2248" spans="1:15" x14ac:dyDescent="0.2">
      <c r="A2248">
        <v>99</v>
      </c>
      <c r="B2248" t="s">
        <v>2117</v>
      </c>
      <c r="C2248" t="s">
        <v>1556</v>
      </c>
      <c r="D2248" t="s">
        <v>608</v>
      </c>
      <c r="E2248" t="s">
        <v>4598</v>
      </c>
      <c r="F2248">
        <v>14.2</v>
      </c>
      <c r="G2248">
        <v>4.0999999999999996</v>
      </c>
      <c r="H2248" t="s">
        <v>1781</v>
      </c>
      <c r="I2248" t="s">
        <v>1152</v>
      </c>
      <c r="J2248">
        <v>58.22</v>
      </c>
      <c r="K2248">
        <v>60993.018600000003</v>
      </c>
      <c r="L2248" t="s">
        <v>654</v>
      </c>
      <c r="M2248">
        <v>1047.6300000000001</v>
      </c>
      <c r="N2248" t="s">
        <v>4599</v>
      </c>
      <c r="O2248" t="s">
        <v>4594</v>
      </c>
    </row>
    <row r="2249" spans="1:15" x14ac:dyDescent="0.2">
      <c r="A2249">
        <v>99</v>
      </c>
      <c r="B2249" t="s">
        <v>2117</v>
      </c>
      <c r="C2249" t="s">
        <v>1556</v>
      </c>
      <c r="D2249" t="s">
        <v>891</v>
      </c>
      <c r="E2249" t="s">
        <v>1719</v>
      </c>
      <c r="F2249">
        <v>0.01</v>
      </c>
      <c r="G2249">
        <v>43.84</v>
      </c>
      <c r="H2249" t="s">
        <v>2827</v>
      </c>
      <c r="I2249" t="s">
        <v>1152</v>
      </c>
      <c r="J2249">
        <v>0.43840000000000001</v>
      </c>
      <c r="K2249">
        <v>459.28099200000003</v>
      </c>
      <c r="L2249" t="s">
        <v>654</v>
      </c>
      <c r="M2249">
        <v>1047.6300000000001</v>
      </c>
      <c r="N2249" t="s">
        <v>4600</v>
      </c>
      <c r="O2249" t="s">
        <v>4594</v>
      </c>
    </row>
    <row r="2250" spans="1:15" x14ac:dyDescent="0.2">
      <c r="A2250">
        <v>99</v>
      </c>
      <c r="B2250" t="s">
        <v>2117</v>
      </c>
      <c r="C2250" t="s">
        <v>1556</v>
      </c>
      <c r="D2250" t="s">
        <v>1430</v>
      </c>
      <c r="E2250" t="s">
        <v>4592</v>
      </c>
      <c r="F2250">
        <v>0.42</v>
      </c>
      <c r="G2250">
        <v>3.46</v>
      </c>
      <c r="H2250" t="s">
        <v>153</v>
      </c>
      <c r="I2250" t="s">
        <v>1152</v>
      </c>
      <c r="J2250">
        <v>1.4532</v>
      </c>
      <c r="K2250">
        <v>1522.4159159999999</v>
      </c>
      <c r="L2250" t="s">
        <v>654</v>
      </c>
      <c r="M2250">
        <v>1047.6300000000001</v>
      </c>
      <c r="N2250" t="s">
        <v>4593</v>
      </c>
      <c r="O2250" t="s">
        <v>4594</v>
      </c>
    </row>
    <row r="2251" spans="1:15" x14ac:dyDescent="0.2">
      <c r="A2251">
        <v>99</v>
      </c>
      <c r="B2251" t="s">
        <v>2117</v>
      </c>
      <c r="C2251" t="s">
        <v>1556</v>
      </c>
      <c r="D2251" t="s">
        <v>547</v>
      </c>
      <c r="E2251" t="s">
        <v>2320</v>
      </c>
      <c r="F2251">
        <v>0</v>
      </c>
      <c r="G2251">
        <v>13.51</v>
      </c>
      <c r="H2251" t="s">
        <v>151</v>
      </c>
      <c r="I2251" t="s">
        <v>1152</v>
      </c>
      <c r="J2251">
        <v>0</v>
      </c>
      <c r="K2251">
        <v>0</v>
      </c>
      <c r="L2251" t="s">
        <v>654</v>
      </c>
      <c r="M2251">
        <v>1047.6300000000001</v>
      </c>
      <c r="N2251" t="s">
        <v>4604</v>
      </c>
      <c r="O2251" t="s">
        <v>4594</v>
      </c>
    </row>
    <row r="2252" spans="1:15" x14ac:dyDescent="0.2">
      <c r="A2252">
        <v>99</v>
      </c>
      <c r="B2252" t="s">
        <v>2117</v>
      </c>
      <c r="C2252" t="s">
        <v>1559</v>
      </c>
      <c r="D2252" t="s">
        <v>547</v>
      </c>
      <c r="E2252" t="s">
        <v>2320</v>
      </c>
      <c r="F2252">
        <v>0</v>
      </c>
      <c r="G2252">
        <v>13.51</v>
      </c>
      <c r="H2252" t="s">
        <v>151</v>
      </c>
      <c r="I2252" t="s">
        <v>1152</v>
      </c>
      <c r="J2252">
        <v>0</v>
      </c>
      <c r="K2252">
        <v>0</v>
      </c>
      <c r="L2252" t="s">
        <v>655</v>
      </c>
      <c r="M2252">
        <v>2095.25</v>
      </c>
      <c r="N2252" t="s">
        <v>4613</v>
      </c>
      <c r="O2252" t="s">
        <v>4609</v>
      </c>
    </row>
    <row r="2253" spans="1:15" x14ac:dyDescent="0.2">
      <c r="A2253">
        <v>99</v>
      </c>
      <c r="B2253" t="s">
        <v>2117</v>
      </c>
      <c r="C2253" t="s">
        <v>1559</v>
      </c>
      <c r="D2253" t="s">
        <v>1260</v>
      </c>
      <c r="E2253" t="s">
        <v>1455</v>
      </c>
      <c r="F2253">
        <v>3.5000000000000001E-3</v>
      </c>
      <c r="G2253">
        <v>131.69</v>
      </c>
      <c r="H2253" t="s">
        <v>1153</v>
      </c>
      <c r="I2253" t="s">
        <v>1152</v>
      </c>
      <c r="J2253">
        <v>0.46091500000000002</v>
      </c>
      <c r="K2253">
        <v>965.73215400000004</v>
      </c>
      <c r="L2253" t="s">
        <v>655</v>
      </c>
      <c r="M2253">
        <v>2095.25</v>
      </c>
      <c r="N2253" t="s">
        <v>4610</v>
      </c>
      <c r="O2253" t="s">
        <v>4609</v>
      </c>
    </row>
    <row r="2254" spans="1:15" x14ac:dyDescent="0.2">
      <c r="A2254">
        <v>99</v>
      </c>
      <c r="B2254" t="s">
        <v>2117</v>
      </c>
      <c r="C2254" t="s">
        <v>1559</v>
      </c>
      <c r="D2254" t="s">
        <v>1654</v>
      </c>
      <c r="E2254" t="s">
        <v>1551</v>
      </c>
      <c r="F2254">
        <v>1.5828</v>
      </c>
      <c r="G2254">
        <v>0.7974</v>
      </c>
      <c r="H2254" t="s">
        <v>1052</v>
      </c>
      <c r="I2254" t="s">
        <v>1152</v>
      </c>
      <c r="J2254">
        <v>1.2621247200000001</v>
      </c>
      <c r="K2254">
        <v>2644.4668200000001</v>
      </c>
      <c r="L2254" t="s">
        <v>655</v>
      </c>
      <c r="M2254">
        <v>2095.25</v>
      </c>
      <c r="N2254" t="s">
        <v>4608</v>
      </c>
      <c r="O2254" t="s">
        <v>4609</v>
      </c>
    </row>
    <row r="2255" spans="1:15" x14ac:dyDescent="0.2">
      <c r="A2255">
        <v>99</v>
      </c>
      <c r="B2255" t="s">
        <v>2117</v>
      </c>
      <c r="C2255" t="s">
        <v>1559</v>
      </c>
      <c r="D2255" t="s">
        <v>120</v>
      </c>
      <c r="E2255" t="s">
        <v>597</v>
      </c>
      <c r="F2255">
        <v>0</v>
      </c>
      <c r="G2255">
        <v>1.52</v>
      </c>
      <c r="H2255" t="s">
        <v>742</v>
      </c>
      <c r="I2255" t="s">
        <v>1152</v>
      </c>
      <c r="J2255">
        <v>0</v>
      </c>
      <c r="K2255">
        <v>0</v>
      </c>
      <c r="L2255" t="s">
        <v>655</v>
      </c>
      <c r="M2255">
        <v>2095.25</v>
      </c>
      <c r="N2255" t="s">
        <v>4616</v>
      </c>
      <c r="O2255" t="s">
        <v>4609</v>
      </c>
    </row>
    <row r="2256" spans="1:15" x14ac:dyDescent="0.2">
      <c r="A2256">
        <v>99</v>
      </c>
      <c r="B2256" t="s">
        <v>2117</v>
      </c>
      <c r="C2256" t="s">
        <v>1559</v>
      </c>
      <c r="D2256" t="s">
        <v>801</v>
      </c>
      <c r="E2256" t="s">
        <v>402</v>
      </c>
      <c r="F2256">
        <v>0</v>
      </c>
      <c r="G2256">
        <v>10.3</v>
      </c>
      <c r="H2256" t="s">
        <v>151</v>
      </c>
      <c r="I2256" t="s">
        <v>1152</v>
      </c>
      <c r="J2256">
        <v>0</v>
      </c>
      <c r="K2256">
        <v>0</v>
      </c>
      <c r="L2256" t="s">
        <v>655</v>
      </c>
      <c r="M2256">
        <v>2095.25</v>
      </c>
      <c r="N2256" t="s">
        <v>4612</v>
      </c>
      <c r="O2256" t="s">
        <v>4609</v>
      </c>
    </row>
    <row r="2257" spans="1:15" x14ac:dyDescent="0.2">
      <c r="A2257">
        <v>99</v>
      </c>
      <c r="B2257" t="s">
        <v>2117</v>
      </c>
      <c r="C2257" t="s">
        <v>1559</v>
      </c>
      <c r="D2257" t="s">
        <v>66</v>
      </c>
      <c r="E2257" t="s">
        <v>617</v>
      </c>
      <c r="F2257">
        <v>0</v>
      </c>
      <c r="G2257">
        <v>5.45</v>
      </c>
      <c r="H2257" t="s">
        <v>764</v>
      </c>
      <c r="I2257" t="s">
        <v>1152</v>
      </c>
      <c r="J2257">
        <v>0</v>
      </c>
      <c r="K2257">
        <v>0</v>
      </c>
      <c r="L2257" t="s">
        <v>655</v>
      </c>
      <c r="M2257">
        <v>2095.25</v>
      </c>
      <c r="N2257" t="s">
        <v>4615</v>
      </c>
      <c r="O2257" t="s">
        <v>4609</v>
      </c>
    </row>
    <row r="2258" spans="1:15" x14ac:dyDescent="0.2">
      <c r="A2258">
        <v>99</v>
      </c>
      <c r="B2258" t="s">
        <v>2117</v>
      </c>
      <c r="C2258" t="s">
        <v>1559</v>
      </c>
      <c r="D2258" t="s">
        <v>498</v>
      </c>
      <c r="E2258" t="s">
        <v>773</v>
      </c>
      <c r="F2258">
        <v>1.2</v>
      </c>
      <c r="G2258">
        <v>0</v>
      </c>
      <c r="H2258" t="s">
        <v>84</v>
      </c>
      <c r="I2258" t="s">
        <v>1152</v>
      </c>
      <c r="J2258">
        <v>0</v>
      </c>
      <c r="K2258">
        <v>0</v>
      </c>
      <c r="L2258" t="s">
        <v>655</v>
      </c>
      <c r="M2258">
        <v>2095.25</v>
      </c>
      <c r="N2258" t="s">
        <v>4614</v>
      </c>
      <c r="O2258" t="s">
        <v>4609</v>
      </c>
    </row>
    <row r="2259" spans="1:15" x14ac:dyDescent="0.2">
      <c r="A2259">
        <v>99</v>
      </c>
      <c r="B2259" t="s">
        <v>2117</v>
      </c>
      <c r="C2259" t="s">
        <v>1559</v>
      </c>
      <c r="D2259" t="s">
        <v>1009</v>
      </c>
      <c r="E2259" t="s">
        <v>672</v>
      </c>
      <c r="F2259">
        <v>0</v>
      </c>
      <c r="G2259">
        <v>16.489999999999998</v>
      </c>
      <c r="H2259" t="s">
        <v>151</v>
      </c>
      <c r="I2259" t="s">
        <v>1152</v>
      </c>
      <c r="J2259">
        <v>0</v>
      </c>
      <c r="K2259">
        <v>0</v>
      </c>
      <c r="L2259" t="s">
        <v>655</v>
      </c>
      <c r="M2259">
        <v>2095.25</v>
      </c>
      <c r="N2259" t="s">
        <v>4611</v>
      </c>
      <c r="O2259" t="s">
        <v>4609</v>
      </c>
    </row>
    <row r="2260" spans="1:15" x14ac:dyDescent="0.2">
      <c r="A2260">
        <v>99</v>
      </c>
      <c r="B2260" t="s">
        <v>2117</v>
      </c>
      <c r="C2260" t="s">
        <v>1563</v>
      </c>
      <c r="D2260" t="s">
        <v>1009</v>
      </c>
      <c r="E2260" t="s">
        <v>672</v>
      </c>
      <c r="F2260">
        <v>0</v>
      </c>
      <c r="G2260">
        <v>16.489999999999998</v>
      </c>
      <c r="H2260" t="s">
        <v>151</v>
      </c>
      <c r="I2260" t="s">
        <v>1152</v>
      </c>
      <c r="J2260">
        <v>0</v>
      </c>
      <c r="K2260">
        <v>0</v>
      </c>
      <c r="L2260" t="s">
        <v>656</v>
      </c>
      <c r="M2260">
        <v>2095.25</v>
      </c>
      <c r="N2260" t="s">
        <v>4621</v>
      </c>
      <c r="O2260" t="s">
        <v>4618</v>
      </c>
    </row>
    <row r="2261" spans="1:15" x14ac:dyDescent="0.2">
      <c r="A2261">
        <v>99</v>
      </c>
      <c r="B2261" t="s">
        <v>2117</v>
      </c>
      <c r="C2261" t="s">
        <v>1563</v>
      </c>
      <c r="D2261" t="s">
        <v>498</v>
      </c>
      <c r="E2261" t="s">
        <v>773</v>
      </c>
      <c r="F2261">
        <v>1.2</v>
      </c>
      <c r="G2261">
        <v>0</v>
      </c>
      <c r="H2261" t="s">
        <v>84</v>
      </c>
      <c r="I2261" t="s">
        <v>1152</v>
      </c>
      <c r="J2261">
        <v>0</v>
      </c>
      <c r="K2261">
        <v>0</v>
      </c>
      <c r="L2261" t="s">
        <v>656</v>
      </c>
      <c r="M2261">
        <v>2095.25</v>
      </c>
      <c r="N2261" t="s">
        <v>4625</v>
      </c>
      <c r="O2261" t="s">
        <v>4618</v>
      </c>
    </row>
    <row r="2262" spans="1:15" x14ac:dyDescent="0.2">
      <c r="A2262">
        <v>99</v>
      </c>
      <c r="B2262" t="s">
        <v>2117</v>
      </c>
      <c r="C2262" t="s">
        <v>1563</v>
      </c>
      <c r="D2262" t="s">
        <v>1133</v>
      </c>
      <c r="E2262" t="s">
        <v>2843</v>
      </c>
      <c r="F2262">
        <v>2.7000000000000001E-3</v>
      </c>
      <c r="G2262">
        <v>8.93</v>
      </c>
      <c r="H2262" t="s">
        <v>152</v>
      </c>
      <c r="I2262" t="s">
        <v>1152</v>
      </c>
      <c r="J2262">
        <v>2.4111E-2</v>
      </c>
      <c r="K2262">
        <v>50.518573000000004</v>
      </c>
      <c r="L2262" t="s">
        <v>656</v>
      </c>
      <c r="M2262">
        <v>2095.25</v>
      </c>
      <c r="N2262" t="s">
        <v>4620</v>
      </c>
      <c r="O2262" t="s">
        <v>4618</v>
      </c>
    </row>
    <row r="2263" spans="1:15" x14ac:dyDescent="0.2">
      <c r="A2263">
        <v>99</v>
      </c>
      <c r="B2263" t="s">
        <v>2117</v>
      </c>
      <c r="C2263" t="s">
        <v>1563</v>
      </c>
      <c r="D2263" t="s">
        <v>66</v>
      </c>
      <c r="E2263" t="s">
        <v>617</v>
      </c>
      <c r="F2263">
        <v>0</v>
      </c>
      <c r="G2263">
        <v>5.45</v>
      </c>
      <c r="H2263" t="s">
        <v>764</v>
      </c>
      <c r="I2263" t="s">
        <v>1152</v>
      </c>
      <c r="J2263">
        <v>0</v>
      </c>
      <c r="K2263">
        <v>0</v>
      </c>
      <c r="L2263" t="s">
        <v>656</v>
      </c>
      <c r="M2263">
        <v>2095.25</v>
      </c>
      <c r="N2263" t="s">
        <v>4626</v>
      </c>
      <c r="O2263" t="s">
        <v>4618</v>
      </c>
    </row>
    <row r="2264" spans="1:15" x14ac:dyDescent="0.2">
      <c r="A2264">
        <v>99</v>
      </c>
      <c r="B2264" t="s">
        <v>2117</v>
      </c>
      <c r="C2264" t="s">
        <v>1563</v>
      </c>
      <c r="D2264" t="s">
        <v>801</v>
      </c>
      <c r="E2264" t="s">
        <v>402</v>
      </c>
      <c r="F2264">
        <v>0</v>
      </c>
      <c r="G2264">
        <v>10.3</v>
      </c>
      <c r="H2264" t="s">
        <v>151</v>
      </c>
      <c r="I2264" t="s">
        <v>1152</v>
      </c>
      <c r="J2264">
        <v>0</v>
      </c>
      <c r="K2264">
        <v>0</v>
      </c>
      <c r="L2264" t="s">
        <v>656</v>
      </c>
      <c r="M2264">
        <v>2095.25</v>
      </c>
      <c r="N2264" t="s">
        <v>4622</v>
      </c>
      <c r="O2264" t="s">
        <v>4618</v>
      </c>
    </row>
    <row r="2265" spans="1:15" x14ac:dyDescent="0.2">
      <c r="A2265">
        <v>99</v>
      </c>
      <c r="B2265" t="s">
        <v>2117</v>
      </c>
      <c r="C2265" t="s">
        <v>1563</v>
      </c>
      <c r="D2265" t="s">
        <v>120</v>
      </c>
      <c r="E2265" t="s">
        <v>597</v>
      </c>
      <c r="F2265">
        <v>0</v>
      </c>
      <c r="G2265">
        <v>1.52</v>
      </c>
      <c r="H2265" t="s">
        <v>742</v>
      </c>
      <c r="I2265" t="s">
        <v>1152</v>
      </c>
      <c r="J2265">
        <v>0</v>
      </c>
      <c r="K2265">
        <v>0</v>
      </c>
      <c r="L2265" t="s">
        <v>656</v>
      </c>
      <c r="M2265">
        <v>2095.25</v>
      </c>
      <c r="N2265" t="s">
        <v>4627</v>
      </c>
      <c r="O2265" t="s">
        <v>4618</v>
      </c>
    </row>
    <row r="2266" spans="1:15" x14ac:dyDescent="0.2">
      <c r="A2266">
        <v>99</v>
      </c>
      <c r="B2266" t="s">
        <v>2117</v>
      </c>
      <c r="C2266" t="s">
        <v>1563</v>
      </c>
      <c r="D2266" t="s">
        <v>1365</v>
      </c>
      <c r="E2266" t="s">
        <v>25</v>
      </c>
      <c r="F2266">
        <v>1</v>
      </c>
      <c r="G2266">
        <v>60</v>
      </c>
      <c r="H2266" t="s">
        <v>1152</v>
      </c>
      <c r="I2266" t="s">
        <v>1152</v>
      </c>
      <c r="J2266">
        <v>60</v>
      </c>
      <c r="K2266">
        <v>125715</v>
      </c>
      <c r="L2266" t="s">
        <v>656</v>
      </c>
      <c r="M2266">
        <v>2095.25</v>
      </c>
      <c r="N2266" t="s">
        <v>4624</v>
      </c>
      <c r="O2266" t="s">
        <v>4618</v>
      </c>
    </row>
    <row r="2267" spans="1:15" x14ac:dyDescent="0.2">
      <c r="A2267">
        <v>99</v>
      </c>
      <c r="B2267" t="s">
        <v>2117</v>
      </c>
      <c r="C2267" t="s">
        <v>1563</v>
      </c>
      <c r="D2267" t="s">
        <v>1258</v>
      </c>
      <c r="E2267" t="s">
        <v>1526</v>
      </c>
      <c r="F2267">
        <v>5.4699999999999999E-2</v>
      </c>
      <c r="G2267">
        <v>148</v>
      </c>
      <c r="H2267" t="s">
        <v>1153</v>
      </c>
      <c r="I2267" t="s">
        <v>1152</v>
      </c>
      <c r="J2267">
        <v>8.0955999999999992</v>
      </c>
      <c r="K2267">
        <v>16962.305899999999</v>
      </c>
      <c r="L2267" t="s">
        <v>656</v>
      </c>
      <c r="M2267">
        <v>2095.25</v>
      </c>
      <c r="N2267" t="s">
        <v>4619</v>
      </c>
      <c r="O2267" t="s">
        <v>4618</v>
      </c>
    </row>
    <row r="2268" spans="1:15" x14ac:dyDescent="0.2">
      <c r="A2268">
        <v>99</v>
      </c>
      <c r="B2268" t="s">
        <v>2117</v>
      </c>
      <c r="C2268" t="s">
        <v>1563</v>
      </c>
      <c r="D2268" t="s">
        <v>1654</v>
      </c>
      <c r="E2268" t="s">
        <v>1551</v>
      </c>
      <c r="F2268">
        <v>12.2692</v>
      </c>
      <c r="G2268">
        <v>0.7974</v>
      </c>
      <c r="H2268" t="s">
        <v>1052</v>
      </c>
      <c r="I2268" t="s">
        <v>1152</v>
      </c>
      <c r="J2268">
        <v>9.7834600799999993</v>
      </c>
      <c r="K2268">
        <v>20498.794732999999</v>
      </c>
      <c r="L2268" t="s">
        <v>656</v>
      </c>
      <c r="M2268">
        <v>2095.25</v>
      </c>
      <c r="N2268" t="s">
        <v>4617</v>
      </c>
      <c r="O2268" t="s">
        <v>4618</v>
      </c>
    </row>
    <row r="2269" spans="1:15" x14ac:dyDescent="0.2">
      <c r="A2269">
        <v>99</v>
      </c>
      <c r="B2269" t="s">
        <v>2117</v>
      </c>
      <c r="C2269" t="s">
        <v>1563</v>
      </c>
      <c r="D2269" t="s">
        <v>547</v>
      </c>
      <c r="E2269" t="s">
        <v>2320</v>
      </c>
      <c r="F2269">
        <v>0</v>
      </c>
      <c r="G2269">
        <v>13.51</v>
      </c>
      <c r="H2269" t="s">
        <v>151</v>
      </c>
      <c r="I2269" t="s">
        <v>1152</v>
      </c>
      <c r="J2269">
        <v>0</v>
      </c>
      <c r="K2269">
        <v>0</v>
      </c>
      <c r="L2269" t="s">
        <v>656</v>
      </c>
      <c r="M2269">
        <v>2095.25</v>
      </c>
      <c r="N2269" t="s">
        <v>4623</v>
      </c>
      <c r="O2269" t="s">
        <v>4618</v>
      </c>
    </row>
    <row r="2270" spans="1:15" x14ac:dyDescent="0.2">
      <c r="A2270">
        <v>99</v>
      </c>
      <c r="B2270" t="s">
        <v>2117</v>
      </c>
      <c r="C2270" t="s">
        <v>1571</v>
      </c>
      <c r="D2270" t="s">
        <v>547</v>
      </c>
      <c r="E2270" t="s">
        <v>2320</v>
      </c>
      <c r="F2270">
        <v>0</v>
      </c>
      <c r="G2270">
        <v>13.51</v>
      </c>
      <c r="H2270" t="s">
        <v>151</v>
      </c>
      <c r="I2270" t="s">
        <v>153</v>
      </c>
      <c r="J2270">
        <v>0</v>
      </c>
      <c r="K2270">
        <v>0</v>
      </c>
      <c r="L2270" t="s">
        <v>658</v>
      </c>
      <c r="M2270">
        <v>419.05</v>
      </c>
      <c r="N2270" t="s">
        <v>4637</v>
      </c>
      <c r="O2270" t="s">
        <v>4629</v>
      </c>
    </row>
    <row r="2271" spans="1:15" x14ac:dyDescent="0.2">
      <c r="A2271">
        <v>99</v>
      </c>
      <c r="B2271" t="s">
        <v>2117</v>
      </c>
      <c r="C2271" t="s">
        <v>1571</v>
      </c>
      <c r="D2271" t="s">
        <v>1122</v>
      </c>
      <c r="E2271" t="s">
        <v>2958</v>
      </c>
      <c r="F2271">
        <v>1</v>
      </c>
      <c r="G2271">
        <v>20</v>
      </c>
      <c r="H2271" t="s">
        <v>153</v>
      </c>
      <c r="I2271" t="s">
        <v>153</v>
      </c>
      <c r="J2271">
        <v>20</v>
      </c>
      <c r="K2271">
        <v>8381</v>
      </c>
      <c r="L2271" t="s">
        <v>658</v>
      </c>
      <c r="M2271">
        <v>419.05</v>
      </c>
      <c r="N2271" t="s">
        <v>4638</v>
      </c>
      <c r="O2271" t="s">
        <v>4629</v>
      </c>
    </row>
    <row r="2272" spans="1:15" x14ac:dyDescent="0.2">
      <c r="A2272">
        <v>99</v>
      </c>
      <c r="B2272" t="s">
        <v>2117</v>
      </c>
      <c r="C2272" t="s">
        <v>1571</v>
      </c>
      <c r="D2272" t="s">
        <v>1971</v>
      </c>
      <c r="E2272" t="s">
        <v>1147</v>
      </c>
      <c r="F2272">
        <v>0</v>
      </c>
      <c r="G2272">
        <v>28.81</v>
      </c>
      <c r="H2272" t="s">
        <v>742</v>
      </c>
      <c r="I2272" t="s">
        <v>153</v>
      </c>
      <c r="J2272">
        <v>0</v>
      </c>
      <c r="K2272">
        <v>0</v>
      </c>
      <c r="L2272" t="s">
        <v>658</v>
      </c>
      <c r="M2272">
        <v>419.05</v>
      </c>
      <c r="N2272" t="s">
        <v>4641</v>
      </c>
      <c r="O2272" t="s">
        <v>4629</v>
      </c>
    </row>
    <row r="2273" spans="1:15" x14ac:dyDescent="0.2">
      <c r="A2273">
        <v>99</v>
      </c>
      <c r="B2273" t="s">
        <v>2117</v>
      </c>
      <c r="C2273" t="s">
        <v>1571</v>
      </c>
      <c r="D2273" t="s">
        <v>409</v>
      </c>
      <c r="E2273" t="s">
        <v>494</v>
      </c>
      <c r="F2273">
        <v>1.08</v>
      </c>
      <c r="G2273">
        <v>20</v>
      </c>
      <c r="H2273" t="s">
        <v>153</v>
      </c>
      <c r="I2273" t="s">
        <v>153</v>
      </c>
      <c r="J2273">
        <v>21.6</v>
      </c>
      <c r="K2273">
        <v>9051.48</v>
      </c>
      <c r="L2273" t="s">
        <v>658</v>
      </c>
      <c r="M2273">
        <v>419.05</v>
      </c>
      <c r="N2273" t="s">
        <v>4632</v>
      </c>
      <c r="O2273" t="s">
        <v>4629</v>
      </c>
    </row>
    <row r="2274" spans="1:15" x14ac:dyDescent="0.2">
      <c r="A2274">
        <v>99</v>
      </c>
      <c r="B2274" t="s">
        <v>2117</v>
      </c>
      <c r="C2274" t="s">
        <v>1571</v>
      </c>
      <c r="D2274" t="s">
        <v>1654</v>
      </c>
      <c r="E2274" t="s">
        <v>1551</v>
      </c>
      <c r="F2274">
        <v>1.7088000000000001</v>
      </c>
      <c r="G2274">
        <v>0.7974</v>
      </c>
      <c r="H2274" t="s">
        <v>1052</v>
      </c>
      <c r="I2274" t="s">
        <v>153</v>
      </c>
      <c r="J2274">
        <v>1.36259712</v>
      </c>
      <c r="K2274">
        <v>570.99632299999996</v>
      </c>
      <c r="L2274" t="s">
        <v>658</v>
      </c>
      <c r="M2274">
        <v>419.05</v>
      </c>
      <c r="N2274" t="s">
        <v>4628</v>
      </c>
      <c r="O2274" t="s">
        <v>4629</v>
      </c>
    </row>
    <row r="2275" spans="1:15" x14ac:dyDescent="0.2">
      <c r="A2275">
        <v>99</v>
      </c>
      <c r="B2275" t="s">
        <v>2117</v>
      </c>
      <c r="C2275" t="s">
        <v>1571</v>
      </c>
      <c r="D2275" t="s">
        <v>1258</v>
      </c>
      <c r="E2275" t="s">
        <v>1526</v>
      </c>
      <c r="F2275">
        <v>7.6E-3</v>
      </c>
      <c r="G2275">
        <v>148</v>
      </c>
      <c r="H2275" t="s">
        <v>1153</v>
      </c>
      <c r="I2275" t="s">
        <v>153</v>
      </c>
      <c r="J2275">
        <v>1.1248</v>
      </c>
      <c r="K2275">
        <v>471.34744000000001</v>
      </c>
      <c r="L2275" t="s">
        <v>658</v>
      </c>
      <c r="M2275">
        <v>419.05</v>
      </c>
      <c r="N2275" t="s">
        <v>4630</v>
      </c>
      <c r="O2275" t="s">
        <v>4629</v>
      </c>
    </row>
    <row r="2276" spans="1:15" x14ac:dyDescent="0.2">
      <c r="A2276">
        <v>99</v>
      </c>
      <c r="B2276" t="s">
        <v>2117</v>
      </c>
      <c r="C2276" t="s">
        <v>1571</v>
      </c>
      <c r="D2276" t="s">
        <v>120</v>
      </c>
      <c r="E2276" t="s">
        <v>597</v>
      </c>
      <c r="F2276">
        <v>0</v>
      </c>
      <c r="G2276">
        <v>1.52</v>
      </c>
      <c r="H2276" t="s">
        <v>742</v>
      </c>
      <c r="I2276" t="s">
        <v>153</v>
      </c>
      <c r="J2276">
        <v>0</v>
      </c>
      <c r="K2276">
        <v>0</v>
      </c>
      <c r="L2276" t="s">
        <v>658</v>
      </c>
      <c r="M2276">
        <v>419.05</v>
      </c>
      <c r="N2276" t="s">
        <v>4636</v>
      </c>
      <c r="O2276" t="s">
        <v>4629</v>
      </c>
    </row>
    <row r="2277" spans="1:15" x14ac:dyDescent="0.2">
      <c r="A2277">
        <v>99</v>
      </c>
      <c r="B2277" t="s">
        <v>2117</v>
      </c>
      <c r="C2277" t="s">
        <v>1571</v>
      </c>
      <c r="D2277" t="s">
        <v>801</v>
      </c>
      <c r="E2277" t="s">
        <v>402</v>
      </c>
      <c r="F2277">
        <v>0</v>
      </c>
      <c r="G2277">
        <v>10.3</v>
      </c>
      <c r="H2277" t="s">
        <v>151</v>
      </c>
      <c r="I2277" t="s">
        <v>153</v>
      </c>
      <c r="J2277">
        <v>0</v>
      </c>
      <c r="K2277">
        <v>0</v>
      </c>
      <c r="L2277" t="s">
        <v>658</v>
      </c>
      <c r="M2277">
        <v>419.05</v>
      </c>
      <c r="N2277" t="s">
        <v>4634</v>
      </c>
      <c r="O2277" t="s">
        <v>4629</v>
      </c>
    </row>
    <row r="2278" spans="1:15" x14ac:dyDescent="0.2">
      <c r="A2278">
        <v>99</v>
      </c>
      <c r="B2278" t="s">
        <v>2117</v>
      </c>
      <c r="C2278" t="s">
        <v>1571</v>
      </c>
      <c r="D2278" t="s">
        <v>66</v>
      </c>
      <c r="E2278" t="s">
        <v>617</v>
      </c>
      <c r="F2278">
        <v>0</v>
      </c>
      <c r="G2278">
        <v>5.45</v>
      </c>
      <c r="H2278" t="s">
        <v>764</v>
      </c>
      <c r="I2278" t="s">
        <v>153</v>
      </c>
      <c r="J2278">
        <v>0</v>
      </c>
      <c r="K2278">
        <v>0</v>
      </c>
      <c r="L2278" t="s">
        <v>658</v>
      </c>
      <c r="M2278">
        <v>419.05</v>
      </c>
      <c r="N2278" t="s">
        <v>4635</v>
      </c>
      <c r="O2278" t="s">
        <v>4629</v>
      </c>
    </row>
    <row r="2279" spans="1:15" x14ac:dyDescent="0.2">
      <c r="A2279">
        <v>99</v>
      </c>
      <c r="B2279" t="s">
        <v>2117</v>
      </c>
      <c r="C2279" t="s">
        <v>1571</v>
      </c>
      <c r="D2279" t="s">
        <v>1133</v>
      </c>
      <c r="E2279" t="s">
        <v>2843</v>
      </c>
      <c r="F2279">
        <v>4.0000000000000002E-4</v>
      </c>
      <c r="G2279">
        <v>8.93</v>
      </c>
      <c r="H2279" t="s">
        <v>152</v>
      </c>
      <c r="I2279" t="s">
        <v>153</v>
      </c>
      <c r="J2279">
        <v>3.5720000000000001E-3</v>
      </c>
      <c r="K2279">
        <v>1.496847</v>
      </c>
      <c r="L2279" t="s">
        <v>658</v>
      </c>
      <c r="M2279">
        <v>419.05</v>
      </c>
      <c r="N2279" t="s">
        <v>4631</v>
      </c>
      <c r="O2279" t="s">
        <v>4629</v>
      </c>
    </row>
    <row r="2280" spans="1:15" x14ac:dyDescent="0.2">
      <c r="A2280">
        <v>99</v>
      </c>
      <c r="B2280" t="s">
        <v>2117</v>
      </c>
      <c r="C2280" t="s">
        <v>1571</v>
      </c>
      <c r="D2280" t="s">
        <v>1970</v>
      </c>
      <c r="E2280" t="s">
        <v>1166</v>
      </c>
      <c r="F2280">
        <v>0</v>
      </c>
      <c r="G2280">
        <v>30.29</v>
      </c>
      <c r="H2280" t="s">
        <v>764</v>
      </c>
      <c r="I2280" t="s">
        <v>153</v>
      </c>
      <c r="J2280">
        <v>0</v>
      </c>
      <c r="K2280">
        <v>0</v>
      </c>
      <c r="L2280" t="s">
        <v>658</v>
      </c>
      <c r="M2280">
        <v>419.05</v>
      </c>
      <c r="N2280" t="s">
        <v>4640</v>
      </c>
      <c r="O2280" t="s">
        <v>4629</v>
      </c>
    </row>
    <row r="2281" spans="1:15" x14ac:dyDescent="0.2">
      <c r="A2281">
        <v>99</v>
      </c>
      <c r="B2281" t="s">
        <v>2117</v>
      </c>
      <c r="C2281" t="s">
        <v>1571</v>
      </c>
      <c r="D2281" t="s">
        <v>498</v>
      </c>
      <c r="E2281" t="s">
        <v>773</v>
      </c>
      <c r="F2281">
        <v>1.2</v>
      </c>
      <c r="G2281">
        <v>0</v>
      </c>
      <c r="H2281" t="s">
        <v>84</v>
      </c>
      <c r="I2281" t="s">
        <v>153</v>
      </c>
      <c r="J2281">
        <v>0</v>
      </c>
      <c r="K2281">
        <v>0</v>
      </c>
      <c r="L2281" t="s">
        <v>658</v>
      </c>
      <c r="M2281">
        <v>419.05</v>
      </c>
      <c r="N2281" t="s">
        <v>4639</v>
      </c>
      <c r="O2281" t="s">
        <v>4629</v>
      </c>
    </row>
    <row r="2282" spans="1:15" x14ac:dyDescent="0.2">
      <c r="A2282">
        <v>99</v>
      </c>
      <c r="B2282" t="s">
        <v>2117</v>
      </c>
      <c r="C2282" t="s">
        <v>1571</v>
      </c>
      <c r="D2282" t="s">
        <v>1009</v>
      </c>
      <c r="E2282" t="s">
        <v>672</v>
      </c>
      <c r="F2282">
        <v>0</v>
      </c>
      <c r="G2282">
        <v>16.489999999999998</v>
      </c>
      <c r="H2282" t="s">
        <v>151</v>
      </c>
      <c r="I2282" t="s">
        <v>153</v>
      </c>
      <c r="J2282">
        <v>0</v>
      </c>
      <c r="K2282">
        <v>0</v>
      </c>
      <c r="L2282" t="s">
        <v>658</v>
      </c>
      <c r="M2282">
        <v>419.05</v>
      </c>
      <c r="N2282" t="s">
        <v>4633</v>
      </c>
      <c r="O2282" t="s">
        <v>4629</v>
      </c>
    </row>
    <row r="2283" spans="1:15" x14ac:dyDescent="0.2">
      <c r="A2283">
        <v>99</v>
      </c>
      <c r="B2283" t="s">
        <v>2117</v>
      </c>
      <c r="C2283" t="s">
        <v>1577</v>
      </c>
      <c r="D2283" t="s">
        <v>498</v>
      </c>
      <c r="E2283" t="s">
        <v>773</v>
      </c>
      <c r="F2283">
        <v>1.2</v>
      </c>
      <c r="G2283">
        <v>0</v>
      </c>
      <c r="H2283" t="s">
        <v>84</v>
      </c>
      <c r="I2283" t="s">
        <v>1152</v>
      </c>
      <c r="J2283">
        <v>0</v>
      </c>
      <c r="K2283">
        <v>0</v>
      </c>
      <c r="L2283" t="s">
        <v>660</v>
      </c>
      <c r="M2283">
        <v>2095.25</v>
      </c>
      <c r="N2283" t="s">
        <v>4647</v>
      </c>
      <c r="O2283" t="s">
        <v>4643</v>
      </c>
    </row>
    <row r="2284" spans="1:15" x14ac:dyDescent="0.2">
      <c r="A2284">
        <v>99</v>
      </c>
      <c r="B2284" t="s">
        <v>2117</v>
      </c>
      <c r="C2284" t="s">
        <v>1577</v>
      </c>
      <c r="D2284" t="s">
        <v>801</v>
      </c>
      <c r="E2284" t="s">
        <v>402</v>
      </c>
      <c r="F2284">
        <v>0</v>
      </c>
      <c r="G2284">
        <v>10.3</v>
      </c>
      <c r="H2284" t="s">
        <v>151</v>
      </c>
      <c r="I2284" t="s">
        <v>1152</v>
      </c>
      <c r="J2284">
        <v>0</v>
      </c>
      <c r="K2284">
        <v>0</v>
      </c>
      <c r="L2284" t="s">
        <v>660</v>
      </c>
      <c r="M2284">
        <v>2095.25</v>
      </c>
      <c r="N2284" t="s">
        <v>4645</v>
      </c>
      <c r="O2284" t="s">
        <v>4643</v>
      </c>
    </row>
    <row r="2285" spans="1:15" x14ac:dyDescent="0.2">
      <c r="A2285">
        <v>99</v>
      </c>
      <c r="B2285" t="s">
        <v>2117</v>
      </c>
      <c r="C2285" t="s">
        <v>1577</v>
      </c>
      <c r="D2285" t="s">
        <v>687</v>
      </c>
      <c r="E2285" t="s">
        <v>3958</v>
      </c>
      <c r="F2285">
        <v>1</v>
      </c>
      <c r="G2285">
        <v>4</v>
      </c>
      <c r="H2285" t="s">
        <v>1152</v>
      </c>
      <c r="I2285" t="s">
        <v>1152</v>
      </c>
      <c r="J2285">
        <v>4</v>
      </c>
      <c r="K2285">
        <v>8381</v>
      </c>
      <c r="L2285" t="s">
        <v>660</v>
      </c>
      <c r="M2285">
        <v>2095.25</v>
      </c>
      <c r="N2285" t="s">
        <v>4646</v>
      </c>
      <c r="O2285" t="s">
        <v>4643</v>
      </c>
    </row>
    <row r="2286" spans="1:15" x14ac:dyDescent="0.2">
      <c r="A2286">
        <v>99</v>
      </c>
      <c r="B2286" t="s">
        <v>2117</v>
      </c>
      <c r="C2286" t="s">
        <v>1577</v>
      </c>
      <c r="D2286" t="s">
        <v>1010</v>
      </c>
      <c r="E2286" t="s">
        <v>1140</v>
      </c>
      <c r="F2286">
        <v>0</v>
      </c>
      <c r="G2286">
        <v>35</v>
      </c>
      <c r="H2286" t="s">
        <v>151</v>
      </c>
      <c r="I2286" t="s">
        <v>1152</v>
      </c>
      <c r="J2286">
        <v>0</v>
      </c>
      <c r="K2286">
        <v>0</v>
      </c>
      <c r="L2286" t="s">
        <v>660</v>
      </c>
      <c r="M2286">
        <v>2095.25</v>
      </c>
      <c r="N2286" t="s">
        <v>4644</v>
      </c>
      <c r="O2286" t="s">
        <v>4643</v>
      </c>
    </row>
    <row r="2287" spans="1:15" x14ac:dyDescent="0.2">
      <c r="A2287">
        <v>99</v>
      </c>
      <c r="B2287" t="s">
        <v>2117</v>
      </c>
      <c r="C2287" t="s">
        <v>1577</v>
      </c>
      <c r="D2287" t="s">
        <v>1250</v>
      </c>
      <c r="E2287" t="s">
        <v>3953</v>
      </c>
      <c r="F2287">
        <v>0.15</v>
      </c>
      <c r="G2287">
        <v>6.9950000000000001</v>
      </c>
      <c r="H2287" t="s">
        <v>152</v>
      </c>
      <c r="I2287" t="s">
        <v>1152</v>
      </c>
      <c r="J2287">
        <v>1.04925</v>
      </c>
      <c r="K2287">
        <v>2198.4410630000002</v>
      </c>
      <c r="L2287" t="s">
        <v>660</v>
      </c>
      <c r="M2287">
        <v>2095.25</v>
      </c>
      <c r="N2287" t="s">
        <v>4642</v>
      </c>
      <c r="O2287" t="s">
        <v>4643</v>
      </c>
    </row>
    <row r="2288" spans="1:15" x14ac:dyDescent="0.2">
      <c r="A2288">
        <v>99</v>
      </c>
      <c r="B2288" t="s">
        <v>2117</v>
      </c>
      <c r="C2288" t="s">
        <v>1581</v>
      </c>
      <c r="D2288" t="s">
        <v>986</v>
      </c>
      <c r="E2288" t="s">
        <v>4058</v>
      </c>
      <c r="F2288">
        <v>1.1073999999999999</v>
      </c>
      <c r="G2288">
        <v>11</v>
      </c>
      <c r="H2288" t="s">
        <v>1052</v>
      </c>
      <c r="I2288" t="s">
        <v>1152</v>
      </c>
      <c r="J2288">
        <v>12.1814</v>
      </c>
      <c r="K2288">
        <v>25523.07835</v>
      </c>
      <c r="L2288" t="s">
        <v>664</v>
      </c>
      <c r="M2288">
        <v>2095.25</v>
      </c>
      <c r="N2288" t="s">
        <v>4648</v>
      </c>
      <c r="O2288" t="s">
        <v>4649</v>
      </c>
    </row>
    <row r="2289" spans="1:15" x14ac:dyDescent="0.2">
      <c r="A2289">
        <v>99</v>
      </c>
      <c r="B2289" t="s">
        <v>2117</v>
      </c>
      <c r="C2289" t="s">
        <v>1581</v>
      </c>
      <c r="D2289" t="s">
        <v>1010</v>
      </c>
      <c r="E2289" t="s">
        <v>1140</v>
      </c>
      <c r="F2289">
        <v>0</v>
      </c>
      <c r="G2289">
        <v>35</v>
      </c>
      <c r="H2289" t="s">
        <v>151</v>
      </c>
      <c r="I2289" t="s">
        <v>1152</v>
      </c>
      <c r="J2289">
        <v>0</v>
      </c>
      <c r="K2289">
        <v>0</v>
      </c>
      <c r="L2289" t="s">
        <v>664</v>
      </c>
      <c r="M2289">
        <v>2095.25</v>
      </c>
      <c r="N2289" t="s">
        <v>4650</v>
      </c>
      <c r="O2289" t="s">
        <v>4649</v>
      </c>
    </row>
    <row r="2290" spans="1:15" x14ac:dyDescent="0.2">
      <c r="A2290">
        <v>99</v>
      </c>
      <c r="B2290" t="s">
        <v>2117</v>
      </c>
      <c r="C2290" t="s">
        <v>1581</v>
      </c>
      <c r="D2290" t="s">
        <v>694</v>
      </c>
      <c r="E2290" t="s">
        <v>4063</v>
      </c>
      <c r="F2290">
        <v>1</v>
      </c>
      <c r="G2290">
        <v>26.5</v>
      </c>
      <c r="H2290" t="s">
        <v>1152</v>
      </c>
      <c r="I2290" t="s">
        <v>1152</v>
      </c>
      <c r="J2290">
        <v>26.5</v>
      </c>
      <c r="K2290">
        <v>55524.125</v>
      </c>
      <c r="L2290" t="s">
        <v>664</v>
      </c>
      <c r="M2290">
        <v>2095.25</v>
      </c>
      <c r="N2290" t="s">
        <v>4652</v>
      </c>
      <c r="O2290" t="s">
        <v>4649</v>
      </c>
    </row>
    <row r="2291" spans="1:15" x14ac:dyDescent="0.2">
      <c r="A2291">
        <v>99</v>
      </c>
      <c r="B2291" t="s">
        <v>2117</v>
      </c>
      <c r="C2291" t="s">
        <v>1581</v>
      </c>
      <c r="D2291" t="s">
        <v>801</v>
      </c>
      <c r="E2291" t="s">
        <v>402</v>
      </c>
      <c r="F2291">
        <v>0</v>
      </c>
      <c r="G2291">
        <v>10.3</v>
      </c>
      <c r="H2291" t="s">
        <v>151</v>
      </c>
      <c r="I2291" t="s">
        <v>1152</v>
      </c>
      <c r="J2291">
        <v>0</v>
      </c>
      <c r="K2291">
        <v>0</v>
      </c>
      <c r="L2291" t="s">
        <v>664</v>
      </c>
      <c r="M2291">
        <v>2095.25</v>
      </c>
      <c r="N2291" t="s">
        <v>4651</v>
      </c>
      <c r="O2291" t="s">
        <v>4649</v>
      </c>
    </row>
    <row r="2292" spans="1:15" x14ac:dyDescent="0.2">
      <c r="A2292">
        <v>99</v>
      </c>
      <c r="B2292" t="s">
        <v>2117</v>
      </c>
      <c r="C2292" t="s">
        <v>1581</v>
      </c>
      <c r="D2292" t="s">
        <v>498</v>
      </c>
      <c r="E2292" t="s">
        <v>773</v>
      </c>
      <c r="F2292">
        <v>1.2</v>
      </c>
      <c r="G2292">
        <v>0</v>
      </c>
      <c r="H2292" t="s">
        <v>84</v>
      </c>
      <c r="I2292" t="s">
        <v>1152</v>
      </c>
      <c r="J2292">
        <v>0</v>
      </c>
      <c r="K2292">
        <v>0</v>
      </c>
      <c r="L2292" t="s">
        <v>664</v>
      </c>
      <c r="M2292">
        <v>2095.25</v>
      </c>
      <c r="N2292" t="s">
        <v>4653</v>
      </c>
      <c r="O2292" t="s">
        <v>4649</v>
      </c>
    </row>
    <row r="2293" spans="1:15" x14ac:dyDescent="0.2">
      <c r="A2293">
        <v>99</v>
      </c>
      <c r="B2293" t="s">
        <v>2117</v>
      </c>
      <c r="C2293" t="s">
        <v>1638</v>
      </c>
      <c r="D2293" t="s">
        <v>1637</v>
      </c>
      <c r="E2293" t="s">
        <v>1123</v>
      </c>
      <c r="F2293">
        <v>1</v>
      </c>
      <c r="G2293">
        <v>116.38</v>
      </c>
      <c r="H2293" t="s">
        <v>1819</v>
      </c>
      <c r="I2293" t="s">
        <v>1152</v>
      </c>
      <c r="J2293">
        <v>116.38</v>
      </c>
      <c r="K2293">
        <v>284489.74619999999</v>
      </c>
      <c r="L2293" t="s">
        <v>668</v>
      </c>
      <c r="M2293">
        <v>2444.4899999999998</v>
      </c>
      <c r="N2293" t="s">
        <v>4654</v>
      </c>
      <c r="O2293" t="s">
        <v>4655</v>
      </c>
    </row>
    <row r="2294" spans="1:15" x14ac:dyDescent="0.2">
      <c r="A2294">
        <v>99</v>
      </c>
      <c r="B2294" t="s">
        <v>2117</v>
      </c>
      <c r="C2294" t="s">
        <v>1638</v>
      </c>
      <c r="D2294" t="s">
        <v>1869</v>
      </c>
      <c r="E2294" t="s">
        <v>4656</v>
      </c>
      <c r="F2294">
        <v>1</v>
      </c>
      <c r="G2294">
        <v>18.97</v>
      </c>
      <c r="H2294" t="s">
        <v>1819</v>
      </c>
      <c r="I2294" t="s">
        <v>1152</v>
      </c>
      <c r="J2294">
        <v>18.97</v>
      </c>
      <c r="K2294">
        <v>46371.975299999998</v>
      </c>
      <c r="L2294" t="s">
        <v>668</v>
      </c>
      <c r="M2294">
        <v>2444.4899999999998</v>
      </c>
      <c r="N2294" t="s">
        <v>4657</v>
      </c>
      <c r="O2294" t="s">
        <v>4655</v>
      </c>
    </row>
    <row r="2295" spans="1:15" x14ac:dyDescent="0.2">
      <c r="A2295">
        <v>99</v>
      </c>
      <c r="B2295" t="s">
        <v>2117</v>
      </c>
      <c r="C2295" t="s">
        <v>1423</v>
      </c>
      <c r="D2295" t="s">
        <v>82</v>
      </c>
      <c r="E2295" t="s">
        <v>2688</v>
      </c>
      <c r="F2295">
        <v>0.38</v>
      </c>
      <c r="G2295">
        <v>2.04</v>
      </c>
      <c r="H2295" t="s">
        <v>153</v>
      </c>
      <c r="I2295" t="s">
        <v>153</v>
      </c>
      <c r="J2295">
        <v>0.7752</v>
      </c>
      <c r="K2295">
        <v>1929.6510960000001</v>
      </c>
      <c r="L2295" t="s">
        <v>1222</v>
      </c>
      <c r="M2295">
        <v>2489.23</v>
      </c>
      <c r="N2295" t="s">
        <v>4662</v>
      </c>
      <c r="O2295" t="s">
        <v>4659</v>
      </c>
    </row>
    <row r="2296" spans="1:15" x14ac:dyDescent="0.2">
      <c r="A2296">
        <v>99</v>
      </c>
      <c r="B2296" t="s">
        <v>2117</v>
      </c>
      <c r="C2296" t="s">
        <v>1423</v>
      </c>
      <c r="D2296" t="s">
        <v>320</v>
      </c>
      <c r="E2296" t="s">
        <v>2871</v>
      </c>
      <c r="F2296">
        <v>0.1583</v>
      </c>
      <c r="G2296">
        <v>18.329999999999998</v>
      </c>
      <c r="H2296" t="s">
        <v>153</v>
      </c>
      <c r="I2296" t="s">
        <v>153</v>
      </c>
      <c r="J2296">
        <v>2.9016389999999999</v>
      </c>
      <c r="K2296">
        <v>7222.8468480000001</v>
      </c>
      <c r="L2296" t="s">
        <v>1222</v>
      </c>
      <c r="M2296">
        <v>2489.23</v>
      </c>
      <c r="N2296" t="s">
        <v>4661</v>
      </c>
      <c r="O2296" t="s">
        <v>4659</v>
      </c>
    </row>
    <row r="2297" spans="1:15" x14ac:dyDescent="0.2">
      <c r="A2297">
        <v>99</v>
      </c>
      <c r="B2297" t="s">
        <v>2117</v>
      </c>
      <c r="C2297" t="s">
        <v>1423</v>
      </c>
      <c r="D2297" t="s">
        <v>498</v>
      </c>
      <c r="E2297" t="s">
        <v>773</v>
      </c>
      <c r="F2297">
        <v>1.2</v>
      </c>
      <c r="G2297">
        <v>0</v>
      </c>
      <c r="H2297" t="s">
        <v>84</v>
      </c>
      <c r="I2297" t="s">
        <v>153</v>
      </c>
      <c r="J2297">
        <v>0</v>
      </c>
      <c r="K2297">
        <v>0</v>
      </c>
      <c r="L2297" t="s">
        <v>1222</v>
      </c>
      <c r="M2297">
        <v>2489.23</v>
      </c>
      <c r="N2297" t="s">
        <v>4667</v>
      </c>
      <c r="O2297" t="s">
        <v>4659</v>
      </c>
    </row>
    <row r="2298" spans="1:15" x14ac:dyDescent="0.2">
      <c r="A2298">
        <v>99</v>
      </c>
      <c r="B2298" t="s">
        <v>2117</v>
      </c>
      <c r="C2298" t="s">
        <v>1423</v>
      </c>
      <c r="D2298" t="s">
        <v>1009</v>
      </c>
      <c r="E2298" t="s">
        <v>672</v>
      </c>
      <c r="F2298">
        <v>0</v>
      </c>
      <c r="G2298">
        <v>16.489999999999998</v>
      </c>
      <c r="H2298" t="s">
        <v>151</v>
      </c>
      <c r="I2298" t="s">
        <v>153</v>
      </c>
      <c r="J2298">
        <v>0</v>
      </c>
      <c r="K2298">
        <v>0</v>
      </c>
      <c r="L2298" t="s">
        <v>1222</v>
      </c>
      <c r="M2298">
        <v>2489.23</v>
      </c>
      <c r="N2298" t="s">
        <v>4663</v>
      </c>
      <c r="O2298" t="s">
        <v>4659</v>
      </c>
    </row>
    <row r="2299" spans="1:15" x14ac:dyDescent="0.2">
      <c r="A2299">
        <v>99</v>
      </c>
      <c r="B2299" t="s">
        <v>2117</v>
      </c>
      <c r="C2299" t="s">
        <v>1423</v>
      </c>
      <c r="D2299" t="s">
        <v>681</v>
      </c>
      <c r="E2299" t="s">
        <v>1022</v>
      </c>
      <c r="F2299">
        <v>0.107</v>
      </c>
      <c r="G2299">
        <v>500</v>
      </c>
      <c r="H2299" t="s">
        <v>1153</v>
      </c>
      <c r="I2299" t="s">
        <v>153</v>
      </c>
      <c r="J2299">
        <v>53.5</v>
      </c>
      <c r="K2299">
        <v>133173.80499999999</v>
      </c>
      <c r="L2299" t="s">
        <v>1222</v>
      </c>
      <c r="M2299">
        <v>2489.23</v>
      </c>
      <c r="N2299" t="s">
        <v>4658</v>
      </c>
      <c r="O2299" t="s">
        <v>4659</v>
      </c>
    </row>
    <row r="2300" spans="1:15" x14ac:dyDescent="0.2">
      <c r="A2300">
        <v>99</v>
      </c>
      <c r="B2300" t="s">
        <v>2117</v>
      </c>
      <c r="C2300" t="s">
        <v>1423</v>
      </c>
      <c r="D2300" t="s">
        <v>801</v>
      </c>
      <c r="E2300" t="s">
        <v>402</v>
      </c>
      <c r="F2300">
        <v>0</v>
      </c>
      <c r="G2300">
        <v>10.3</v>
      </c>
      <c r="H2300" t="s">
        <v>151</v>
      </c>
      <c r="I2300" t="s">
        <v>153</v>
      </c>
      <c r="J2300">
        <v>0</v>
      </c>
      <c r="K2300">
        <v>0</v>
      </c>
      <c r="L2300" t="s">
        <v>1222</v>
      </c>
      <c r="M2300">
        <v>2489.23</v>
      </c>
      <c r="N2300" t="s">
        <v>4664</v>
      </c>
      <c r="O2300" t="s">
        <v>4659</v>
      </c>
    </row>
    <row r="2301" spans="1:15" x14ac:dyDescent="0.2">
      <c r="A2301">
        <v>99</v>
      </c>
      <c r="B2301" t="s">
        <v>2117</v>
      </c>
      <c r="C2301" t="s">
        <v>1423</v>
      </c>
      <c r="D2301" t="s">
        <v>1258</v>
      </c>
      <c r="E2301" t="s">
        <v>1526</v>
      </c>
      <c r="F2301">
        <v>2.8299999999999999E-2</v>
      </c>
      <c r="G2301">
        <v>148</v>
      </c>
      <c r="H2301" t="s">
        <v>1153</v>
      </c>
      <c r="I2301" t="s">
        <v>153</v>
      </c>
      <c r="J2301">
        <v>4.1883999999999997</v>
      </c>
      <c r="K2301">
        <v>10425.890932</v>
      </c>
      <c r="L2301" t="s">
        <v>1222</v>
      </c>
      <c r="M2301">
        <v>2489.23</v>
      </c>
      <c r="N2301" t="s">
        <v>4660</v>
      </c>
      <c r="O2301" t="s">
        <v>4659</v>
      </c>
    </row>
    <row r="2302" spans="1:15" x14ac:dyDescent="0.2">
      <c r="A2302">
        <v>99</v>
      </c>
      <c r="B2302" t="s">
        <v>2117</v>
      </c>
      <c r="C2302" t="s">
        <v>1423</v>
      </c>
      <c r="D2302" t="s">
        <v>1287</v>
      </c>
      <c r="E2302" t="s">
        <v>4665</v>
      </c>
      <c r="F2302">
        <v>1</v>
      </c>
      <c r="G2302">
        <v>15</v>
      </c>
      <c r="H2302" t="s">
        <v>153</v>
      </c>
      <c r="I2302" t="s">
        <v>153</v>
      </c>
      <c r="J2302">
        <v>15</v>
      </c>
      <c r="K2302">
        <v>37338.449999999997</v>
      </c>
      <c r="L2302" t="s">
        <v>1222</v>
      </c>
      <c r="M2302">
        <v>2489.23</v>
      </c>
      <c r="N2302" t="s">
        <v>4666</v>
      </c>
      <c r="O2302" t="s">
        <v>4659</v>
      </c>
    </row>
    <row r="2303" spans="1:15" x14ac:dyDescent="0.2">
      <c r="A2303">
        <v>99</v>
      </c>
      <c r="B2303" t="s">
        <v>2117</v>
      </c>
      <c r="C2303" t="s">
        <v>5315</v>
      </c>
      <c r="D2303" t="s">
        <v>801</v>
      </c>
      <c r="E2303" t="s">
        <v>402</v>
      </c>
      <c r="F2303">
        <v>0</v>
      </c>
      <c r="G2303">
        <v>10.3</v>
      </c>
      <c r="H2303" t="s">
        <v>151</v>
      </c>
      <c r="I2303" t="s">
        <v>1781</v>
      </c>
      <c r="J2303">
        <v>0</v>
      </c>
      <c r="K2303">
        <v>0</v>
      </c>
      <c r="L2303" t="s">
        <v>1214</v>
      </c>
      <c r="M2303">
        <v>102</v>
      </c>
      <c r="N2303" t="s">
        <v>5316</v>
      </c>
      <c r="O2303" t="s">
        <v>5317</v>
      </c>
    </row>
    <row r="2304" spans="1:15" x14ac:dyDescent="0.2">
      <c r="A2304">
        <v>99</v>
      </c>
      <c r="B2304" t="s">
        <v>2117</v>
      </c>
      <c r="C2304" t="s">
        <v>5315</v>
      </c>
      <c r="D2304" t="s">
        <v>5318</v>
      </c>
      <c r="E2304" t="s">
        <v>5319</v>
      </c>
      <c r="F2304">
        <v>1</v>
      </c>
      <c r="G2304">
        <v>346.28</v>
      </c>
      <c r="H2304" t="s">
        <v>1781</v>
      </c>
      <c r="I2304" t="s">
        <v>1781</v>
      </c>
      <c r="J2304">
        <v>346.28</v>
      </c>
      <c r="K2304">
        <v>35320.559999999998</v>
      </c>
      <c r="L2304" t="s">
        <v>1214</v>
      </c>
      <c r="M2304">
        <v>102</v>
      </c>
      <c r="N2304" t="s">
        <v>5320</v>
      </c>
      <c r="O2304" t="s">
        <v>5317</v>
      </c>
    </row>
    <row r="2305" spans="1:15" x14ac:dyDescent="0.2">
      <c r="A2305">
        <v>99</v>
      </c>
      <c r="B2305" t="s">
        <v>2117</v>
      </c>
      <c r="C2305" t="s">
        <v>5315</v>
      </c>
      <c r="D2305" t="s">
        <v>1009</v>
      </c>
      <c r="E2305" t="s">
        <v>672</v>
      </c>
      <c r="F2305">
        <v>0</v>
      </c>
      <c r="G2305">
        <v>16.489999999999998</v>
      </c>
      <c r="H2305" t="s">
        <v>151</v>
      </c>
      <c r="I2305" t="s">
        <v>1781</v>
      </c>
      <c r="J2305">
        <v>0</v>
      </c>
      <c r="K2305">
        <v>0</v>
      </c>
      <c r="L2305" t="s">
        <v>1214</v>
      </c>
      <c r="M2305">
        <v>102</v>
      </c>
      <c r="N2305" t="s">
        <v>5321</v>
      </c>
      <c r="O2305" t="s">
        <v>5317</v>
      </c>
    </row>
    <row r="2306" spans="1:15" x14ac:dyDescent="0.2">
      <c r="A2306">
        <v>99</v>
      </c>
      <c r="B2306" t="s">
        <v>2117</v>
      </c>
      <c r="C2306" t="s">
        <v>5315</v>
      </c>
      <c r="D2306" t="s">
        <v>498</v>
      </c>
      <c r="E2306" t="s">
        <v>773</v>
      </c>
      <c r="F2306">
        <v>1.2</v>
      </c>
      <c r="G2306">
        <v>0</v>
      </c>
      <c r="H2306" t="s">
        <v>84</v>
      </c>
      <c r="I2306" t="s">
        <v>1781</v>
      </c>
      <c r="J2306">
        <v>0</v>
      </c>
      <c r="K2306">
        <v>0</v>
      </c>
      <c r="L2306" t="s">
        <v>1214</v>
      </c>
      <c r="M2306">
        <v>102</v>
      </c>
      <c r="N2306" t="s">
        <v>5322</v>
      </c>
      <c r="O2306" t="s">
        <v>5317</v>
      </c>
    </row>
    <row r="2307" spans="1:15" x14ac:dyDescent="0.2">
      <c r="A2307">
        <v>99</v>
      </c>
      <c r="B2307" t="s">
        <v>2117</v>
      </c>
      <c r="C2307" t="s">
        <v>5323</v>
      </c>
      <c r="D2307" t="s">
        <v>498</v>
      </c>
      <c r="E2307" t="s">
        <v>773</v>
      </c>
      <c r="F2307">
        <v>1.2</v>
      </c>
      <c r="G2307">
        <v>0</v>
      </c>
      <c r="H2307" t="s">
        <v>84</v>
      </c>
      <c r="I2307" t="s">
        <v>153</v>
      </c>
      <c r="J2307">
        <v>0</v>
      </c>
      <c r="K2307">
        <v>0</v>
      </c>
      <c r="L2307" t="s">
        <v>1207</v>
      </c>
      <c r="M2307">
        <v>30.6</v>
      </c>
      <c r="N2307" t="s">
        <v>5324</v>
      </c>
      <c r="O2307" t="s">
        <v>5325</v>
      </c>
    </row>
    <row r="2308" spans="1:15" x14ac:dyDescent="0.2">
      <c r="A2308">
        <v>99</v>
      </c>
      <c r="B2308" t="s">
        <v>2117</v>
      </c>
      <c r="C2308" t="s">
        <v>5323</v>
      </c>
      <c r="D2308" t="s">
        <v>1009</v>
      </c>
      <c r="E2308" t="s">
        <v>672</v>
      </c>
      <c r="F2308">
        <v>0</v>
      </c>
      <c r="G2308">
        <v>16.489999999999998</v>
      </c>
      <c r="H2308" t="s">
        <v>151</v>
      </c>
      <c r="I2308" t="s">
        <v>153</v>
      </c>
      <c r="J2308">
        <v>0</v>
      </c>
      <c r="K2308">
        <v>0</v>
      </c>
      <c r="L2308" t="s">
        <v>1207</v>
      </c>
      <c r="M2308">
        <v>30.6</v>
      </c>
      <c r="N2308" t="s">
        <v>5326</v>
      </c>
      <c r="O2308" t="s">
        <v>5325</v>
      </c>
    </row>
    <row r="2309" spans="1:15" x14ac:dyDescent="0.2">
      <c r="A2309">
        <v>99</v>
      </c>
      <c r="B2309" t="s">
        <v>2117</v>
      </c>
      <c r="C2309" t="s">
        <v>5323</v>
      </c>
      <c r="D2309" t="s">
        <v>66</v>
      </c>
      <c r="E2309" t="s">
        <v>617</v>
      </c>
      <c r="F2309">
        <v>0</v>
      </c>
      <c r="G2309">
        <v>5.45</v>
      </c>
      <c r="H2309" t="s">
        <v>764</v>
      </c>
      <c r="I2309" t="s">
        <v>153</v>
      </c>
      <c r="J2309">
        <v>0</v>
      </c>
      <c r="K2309">
        <v>0</v>
      </c>
      <c r="L2309" t="s">
        <v>1207</v>
      </c>
      <c r="M2309">
        <v>30.6</v>
      </c>
      <c r="N2309" t="s">
        <v>5327</v>
      </c>
      <c r="O2309" t="s">
        <v>5325</v>
      </c>
    </row>
    <row r="2310" spans="1:15" x14ac:dyDescent="0.2">
      <c r="A2310">
        <v>99</v>
      </c>
      <c r="B2310" t="s">
        <v>2117</v>
      </c>
      <c r="C2310" t="s">
        <v>5323</v>
      </c>
      <c r="D2310" t="s">
        <v>801</v>
      </c>
      <c r="E2310" t="s">
        <v>402</v>
      </c>
      <c r="F2310">
        <v>0</v>
      </c>
      <c r="G2310">
        <v>10.3</v>
      </c>
      <c r="H2310" t="s">
        <v>151</v>
      </c>
      <c r="I2310" t="s">
        <v>153</v>
      </c>
      <c r="J2310">
        <v>0</v>
      </c>
      <c r="K2310">
        <v>0</v>
      </c>
      <c r="L2310" t="s">
        <v>1207</v>
      </c>
      <c r="M2310">
        <v>30.6</v>
      </c>
      <c r="N2310" t="s">
        <v>5328</v>
      </c>
      <c r="O2310" t="s">
        <v>5325</v>
      </c>
    </row>
    <row r="2311" spans="1:15" x14ac:dyDescent="0.2">
      <c r="A2311">
        <v>99</v>
      </c>
      <c r="B2311" t="s">
        <v>2117</v>
      </c>
      <c r="C2311" t="s">
        <v>5323</v>
      </c>
      <c r="D2311" t="s">
        <v>1654</v>
      </c>
      <c r="E2311" t="s">
        <v>1551</v>
      </c>
      <c r="F2311">
        <v>14.9953</v>
      </c>
      <c r="G2311">
        <v>0.7974</v>
      </c>
      <c r="H2311" t="s">
        <v>1052</v>
      </c>
      <c r="I2311" t="s">
        <v>153</v>
      </c>
      <c r="J2311">
        <v>11.957252220000001</v>
      </c>
      <c r="K2311">
        <v>365.89191799999998</v>
      </c>
      <c r="L2311" t="s">
        <v>1207</v>
      </c>
      <c r="M2311">
        <v>30.6</v>
      </c>
      <c r="N2311" t="s">
        <v>5329</v>
      </c>
      <c r="O2311" t="s">
        <v>5325</v>
      </c>
    </row>
    <row r="2312" spans="1:15" x14ac:dyDescent="0.2">
      <c r="A2312">
        <v>99</v>
      </c>
      <c r="B2312" t="s">
        <v>2117</v>
      </c>
      <c r="C2312" t="s">
        <v>5323</v>
      </c>
      <c r="D2312" t="s">
        <v>1258</v>
      </c>
      <c r="E2312" t="s">
        <v>1526</v>
      </c>
      <c r="F2312">
        <v>3.32E-2</v>
      </c>
      <c r="G2312">
        <v>148</v>
      </c>
      <c r="H2312" t="s">
        <v>1153</v>
      </c>
      <c r="I2312" t="s">
        <v>153</v>
      </c>
      <c r="J2312">
        <v>4.9135999999999997</v>
      </c>
      <c r="K2312">
        <v>150.35615999999999</v>
      </c>
      <c r="L2312" t="s">
        <v>1207</v>
      </c>
      <c r="M2312">
        <v>30.6</v>
      </c>
      <c r="N2312" t="s">
        <v>5330</v>
      </c>
      <c r="O2312" t="s">
        <v>5325</v>
      </c>
    </row>
    <row r="2313" spans="1:15" x14ac:dyDescent="0.2">
      <c r="A2313">
        <v>99</v>
      </c>
      <c r="B2313" t="s">
        <v>2117</v>
      </c>
      <c r="C2313" t="s">
        <v>5323</v>
      </c>
      <c r="D2313" t="s">
        <v>120</v>
      </c>
      <c r="E2313" t="s">
        <v>597</v>
      </c>
      <c r="F2313">
        <v>0</v>
      </c>
      <c r="G2313">
        <v>1.52</v>
      </c>
      <c r="H2313" t="s">
        <v>742</v>
      </c>
      <c r="I2313" t="s">
        <v>153</v>
      </c>
      <c r="J2313">
        <v>0</v>
      </c>
      <c r="K2313">
        <v>0</v>
      </c>
      <c r="L2313" t="s">
        <v>1207</v>
      </c>
      <c r="M2313">
        <v>30.6</v>
      </c>
      <c r="N2313" t="s">
        <v>5331</v>
      </c>
      <c r="O2313" t="s">
        <v>5325</v>
      </c>
    </row>
    <row r="2314" spans="1:15" x14ac:dyDescent="0.2">
      <c r="A2314">
        <v>99</v>
      </c>
      <c r="B2314" t="s">
        <v>2117</v>
      </c>
      <c r="C2314" t="s">
        <v>5323</v>
      </c>
      <c r="D2314" t="s">
        <v>239</v>
      </c>
      <c r="E2314" t="s">
        <v>2378</v>
      </c>
      <c r="F2314">
        <v>0</v>
      </c>
      <c r="G2314">
        <v>65.73</v>
      </c>
      <c r="H2314" t="s">
        <v>742</v>
      </c>
      <c r="I2314" t="s">
        <v>153</v>
      </c>
      <c r="J2314">
        <v>0</v>
      </c>
      <c r="K2314">
        <v>0</v>
      </c>
      <c r="L2314" t="s">
        <v>1207</v>
      </c>
      <c r="M2314">
        <v>30.6</v>
      </c>
      <c r="N2314" t="s">
        <v>5332</v>
      </c>
      <c r="O2314" t="s">
        <v>5325</v>
      </c>
    </row>
    <row r="2315" spans="1:15" x14ac:dyDescent="0.2">
      <c r="A2315">
        <v>99</v>
      </c>
      <c r="B2315" t="s">
        <v>2117</v>
      </c>
      <c r="C2315" t="s">
        <v>5323</v>
      </c>
      <c r="D2315" t="s">
        <v>1927</v>
      </c>
      <c r="E2315" t="s">
        <v>4705</v>
      </c>
      <c r="F2315">
        <v>2</v>
      </c>
      <c r="G2315">
        <v>479.78</v>
      </c>
      <c r="H2315" t="s">
        <v>1781</v>
      </c>
      <c r="I2315" t="s">
        <v>153</v>
      </c>
      <c r="J2315">
        <v>959.56</v>
      </c>
      <c r="K2315">
        <v>29362.536</v>
      </c>
      <c r="L2315" t="s">
        <v>1207</v>
      </c>
      <c r="M2315">
        <v>30.6</v>
      </c>
      <c r="N2315" t="s">
        <v>5333</v>
      </c>
      <c r="O2315" t="s">
        <v>5325</v>
      </c>
    </row>
    <row r="2316" spans="1:15" x14ac:dyDescent="0.2">
      <c r="A2316">
        <v>99</v>
      </c>
      <c r="B2316" t="s">
        <v>2117</v>
      </c>
      <c r="C2316" t="s">
        <v>5323</v>
      </c>
      <c r="D2316" t="s">
        <v>547</v>
      </c>
      <c r="E2316" t="s">
        <v>2320</v>
      </c>
      <c r="F2316">
        <v>0</v>
      </c>
      <c r="G2316">
        <v>13.51</v>
      </c>
      <c r="H2316" t="s">
        <v>151</v>
      </c>
      <c r="I2316" t="s">
        <v>153</v>
      </c>
      <c r="J2316">
        <v>0</v>
      </c>
      <c r="K2316">
        <v>0</v>
      </c>
      <c r="L2316" t="s">
        <v>1207</v>
      </c>
      <c r="M2316">
        <v>30.6</v>
      </c>
      <c r="N2316" t="s">
        <v>5334</v>
      </c>
      <c r="O2316" t="s">
        <v>5325</v>
      </c>
    </row>
    <row r="2317" spans="1:15" x14ac:dyDescent="0.2">
      <c r="A2317">
        <v>99</v>
      </c>
      <c r="B2317" t="s">
        <v>2117</v>
      </c>
      <c r="C2317" t="s">
        <v>5323</v>
      </c>
      <c r="D2317" t="s">
        <v>238</v>
      </c>
      <c r="E2317" t="s">
        <v>2376</v>
      </c>
      <c r="F2317">
        <v>0</v>
      </c>
      <c r="G2317">
        <v>138.31</v>
      </c>
      <c r="H2317" t="s">
        <v>764</v>
      </c>
      <c r="I2317" t="s">
        <v>153</v>
      </c>
      <c r="J2317">
        <v>0</v>
      </c>
      <c r="K2317">
        <v>0</v>
      </c>
      <c r="L2317" t="s">
        <v>1207</v>
      </c>
      <c r="M2317">
        <v>30.6</v>
      </c>
      <c r="N2317" t="s">
        <v>5335</v>
      </c>
      <c r="O2317" t="s">
        <v>5325</v>
      </c>
    </row>
    <row r="2318" spans="1:15" x14ac:dyDescent="0.2">
      <c r="A2318">
        <v>99</v>
      </c>
      <c r="B2318" t="s">
        <v>2117</v>
      </c>
      <c r="C2318" t="s">
        <v>1431</v>
      </c>
      <c r="D2318" t="s">
        <v>238</v>
      </c>
      <c r="E2318" t="s">
        <v>2376</v>
      </c>
      <c r="F2318">
        <v>0</v>
      </c>
      <c r="G2318">
        <v>138.31</v>
      </c>
      <c r="H2318" t="s">
        <v>764</v>
      </c>
      <c r="I2318" t="s">
        <v>1781</v>
      </c>
      <c r="J2318">
        <v>0</v>
      </c>
      <c r="K2318">
        <v>0</v>
      </c>
      <c r="L2318" t="s">
        <v>1202</v>
      </c>
      <c r="M2318">
        <v>102</v>
      </c>
      <c r="N2318" t="s">
        <v>4691</v>
      </c>
      <c r="O2318" t="s">
        <v>4671</v>
      </c>
    </row>
    <row r="2319" spans="1:15" x14ac:dyDescent="0.2">
      <c r="A2319">
        <v>99</v>
      </c>
      <c r="B2319" t="s">
        <v>2117</v>
      </c>
      <c r="C2319" t="s">
        <v>1431</v>
      </c>
      <c r="D2319" t="s">
        <v>547</v>
      </c>
      <c r="E2319" t="s">
        <v>2320</v>
      </c>
      <c r="F2319">
        <v>0</v>
      </c>
      <c r="G2319">
        <v>13.51</v>
      </c>
      <c r="H2319" t="s">
        <v>151</v>
      </c>
      <c r="I2319" t="s">
        <v>1781</v>
      </c>
      <c r="J2319">
        <v>0</v>
      </c>
      <c r="K2319">
        <v>0</v>
      </c>
      <c r="L2319" t="s">
        <v>1202</v>
      </c>
      <c r="M2319">
        <v>102</v>
      </c>
      <c r="N2319" t="s">
        <v>4687</v>
      </c>
      <c r="O2319" t="s">
        <v>4671</v>
      </c>
    </row>
    <row r="2320" spans="1:15" x14ac:dyDescent="0.2">
      <c r="A2320">
        <v>99</v>
      </c>
      <c r="B2320" t="s">
        <v>2117</v>
      </c>
      <c r="C2320" t="s">
        <v>1431</v>
      </c>
      <c r="D2320" t="s">
        <v>935</v>
      </c>
      <c r="E2320" t="s">
        <v>1352</v>
      </c>
      <c r="F2320">
        <v>0</v>
      </c>
      <c r="G2320">
        <v>15.1457</v>
      </c>
      <c r="H2320" t="s">
        <v>151</v>
      </c>
      <c r="I2320" t="s">
        <v>1781</v>
      </c>
      <c r="J2320">
        <v>0</v>
      </c>
      <c r="K2320">
        <v>0</v>
      </c>
      <c r="L2320" t="s">
        <v>1202</v>
      </c>
      <c r="M2320">
        <v>102</v>
      </c>
      <c r="N2320" t="s">
        <v>4694</v>
      </c>
      <c r="O2320" t="s">
        <v>4671</v>
      </c>
    </row>
    <row r="2321" spans="1:15" x14ac:dyDescent="0.2">
      <c r="A2321">
        <v>99</v>
      </c>
      <c r="B2321" t="s">
        <v>2117</v>
      </c>
      <c r="C2321" t="s">
        <v>1431</v>
      </c>
      <c r="D2321" t="s">
        <v>62</v>
      </c>
      <c r="E2321" t="s">
        <v>4668</v>
      </c>
      <c r="F2321">
        <v>0</v>
      </c>
      <c r="G2321">
        <v>29.73</v>
      </c>
      <c r="H2321" t="s">
        <v>742</v>
      </c>
      <c r="I2321" t="s">
        <v>1781</v>
      </c>
      <c r="J2321">
        <v>0</v>
      </c>
      <c r="K2321">
        <v>0</v>
      </c>
      <c r="L2321" t="s">
        <v>1202</v>
      </c>
      <c r="M2321">
        <v>102</v>
      </c>
      <c r="N2321" t="s">
        <v>4685</v>
      </c>
      <c r="O2321" t="s">
        <v>4671</v>
      </c>
    </row>
    <row r="2322" spans="1:15" x14ac:dyDescent="0.2">
      <c r="A2322">
        <v>99</v>
      </c>
      <c r="B2322" t="s">
        <v>2117</v>
      </c>
      <c r="C2322" t="s">
        <v>1431</v>
      </c>
      <c r="D2322" t="s">
        <v>82</v>
      </c>
      <c r="E2322" t="s">
        <v>2688</v>
      </c>
      <c r="F2322">
        <v>1.9643999999999999</v>
      </c>
      <c r="G2322">
        <v>2.04</v>
      </c>
      <c r="H2322" t="s">
        <v>153</v>
      </c>
      <c r="I2322" t="s">
        <v>1781</v>
      </c>
      <c r="J2322">
        <v>4.0073759999999998</v>
      </c>
      <c r="K2322">
        <v>408.75235199999997</v>
      </c>
      <c r="L2322" t="s">
        <v>1202</v>
      </c>
      <c r="M2322">
        <v>102</v>
      </c>
      <c r="N2322" t="s">
        <v>4700</v>
      </c>
      <c r="O2322" t="s">
        <v>4671</v>
      </c>
    </row>
    <row r="2323" spans="1:15" x14ac:dyDescent="0.2">
      <c r="A2323">
        <v>99</v>
      </c>
      <c r="B2323" t="s">
        <v>2117</v>
      </c>
      <c r="C2323" t="s">
        <v>1431</v>
      </c>
      <c r="D2323" t="s">
        <v>1371</v>
      </c>
      <c r="E2323" t="s">
        <v>2406</v>
      </c>
      <c r="F2323">
        <v>21.7545</v>
      </c>
      <c r="G2323">
        <v>0.22</v>
      </c>
      <c r="H2323" t="s">
        <v>1781</v>
      </c>
      <c r="I2323" t="s">
        <v>1781</v>
      </c>
      <c r="J2323">
        <v>4.78599</v>
      </c>
      <c r="K2323">
        <v>488.17097999999999</v>
      </c>
      <c r="L2323" t="s">
        <v>1202</v>
      </c>
      <c r="M2323">
        <v>102</v>
      </c>
      <c r="N2323" t="s">
        <v>4693</v>
      </c>
      <c r="O2323" t="s">
        <v>4671</v>
      </c>
    </row>
    <row r="2324" spans="1:15" x14ac:dyDescent="0.2">
      <c r="A2324">
        <v>99</v>
      </c>
      <c r="B2324" t="s">
        <v>2117</v>
      </c>
      <c r="C2324" t="s">
        <v>1431</v>
      </c>
      <c r="D2324" t="s">
        <v>1927</v>
      </c>
      <c r="E2324" t="s">
        <v>4705</v>
      </c>
      <c r="F2324">
        <v>1</v>
      </c>
      <c r="G2324">
        <v>479.78</v>
      </c>
      <c r="H2324" t="s">
        <v>1781</v>
      </c>
      <c r="I2324" t="s">
        <v>1781</v>
      </c>
      <c r="J2324">
        <v>479.78</v>
      </c>
      <c r="K2324">
        <v>48937.56</v>
      </c>
      <c r="L2324" t="s">
        <v>1202</v>
      </c>
      <c r="M2324">
        <v>102</v>
      </c>
      <c r="N2324" t="s">
        <v>4706</v>
      </c>
      <c r="O2324" t="s">
        <v>4671</v>
      </c>
    </row>
    <row r="2325" spans="1:15" x14ac:dyDescent="0.2">
      <c r="A2325">
        <v>99</v>
      </c>
      <c r="B2325" t="s">
        <v>2117</v>
      </c>
      <c r="C2325" t="s">
        <v>1431</v>
      </c>
      <c r="D2325" t="s">
        <v>794</v>
      </c>
      <c r="E2325" t="s">
        <v>446</v>
      </c>
      <c r="F2325">
        <v>0</v>
      </c>
      <c r="G2325">
        <v>11.1343</v>
      </c>
      <c r="H2325" t="s">
        <v>151</v>
      </c>
      <c r="I2325" t="s">
        <v>1781</v>
      </c>
      <c r="J2325">
        <v>0</v>
      </c>
      <c r="K2325">
        <v>0</v>
      </c>
      <c r="L2325" t="s">
        <v>1202</v>
      </c>
      <c r="M2325">
        <v>102</v>
      </c>
      <c r="N2325" t="s">
        <v>4698</v>
      </c>
      <c r="O2325" t="s">
        <v>4671</v>
      </c>
    </row>
    <row r="2326" spans="1:15" x14ac:dyDescent="0.2">
      <c r="A2326">
        <v>99</v>
      </c>
      <c r="B2326" t="s">
        <v>2117</v>
      </c>
      <c r="C2326" t="s">
        <v>1431</v>
      </c>
      <c r="D2326" t="s">
        <v>1969</v>
      </c>
      <c r="E2326" t="s">
        <v>2502</v>
      </c>
      <c r="F2326">
        <v>0</v>
      </c>
      <c r="G2326">
        <v>0.53</v>
      </c>
      <c r="H2326" t="s">
        <v>742</v>
      </c>
      <c r="I2326" t="s">
        <v>1781</v>
      </c>
      <c r="J2326">
        <v>0</v>
      </c>
      <c r="K2326">
        <v>0</v>
      </c>
      <c r="L2326" t="s">
        <v>1202</v>
      </c>
      <c r="M2326">
        <v>102</v>
      </c>
      <c r="N2326" t="s">
        <v>4681</v>
      </c>
      <c r="O2326" t="s">
        <v>4671</v>
      </c>
    </row>
    <row r="2327" spans="1:15" x14ac:dyDescent="0.2">
      <c r="A2327">
        <v>99</v>
      </c>
      <c r="B2327" t="s">
        <v>2117</v>
      </c>
      <c r="C2327" t="s">
        <v>1431</v>
      </c>
      <c r="D2327" t="s">
        <v>1051</v>
      </c>
      <c r="E2327" t="s">
        <v>1130</v>
      </c>
      <c r="F2327">
        <v>5.79E-2</v>
      </c>
      <c r="G2327">
        <v>11.57</v>
      </c>
      <c r="H2327" t="s">
        <v>1052</v>
      </c>
      <c r="I2327" t="s">
        <v>1781</v>
      </c>
      <c r="J2327">
        <v>0.66990300000000003</v>
      </c>
      <c r="K2327">
        <v>68.330106000000001</v>
      </c>
      <c r="L2327" t="s">
        <v>1202</v>
      </c>
      <c r="M2327">
        <v>102</v>
      </c>
      <c r="N2327" t="s">
        <v>4676</v>
      </c>
      <c r="O2327" t="s">
        <v>4671</v>
      </c>
    </row>
    <row r="2328" spans="1:15" x14ac:dyDescent="0.2">
      <c r="A2328">
        <v>99</v>
      </c>
      <c r="B2328" t="s">
        <v>2117</v>
      </c>
      <c r="C2328" t="s">
        <v>1431</v>
      </c>
      <c r="D2328" t="s">
        <v>239</v>
      </c>
      <c r="E2328" t="s">
        <v>2378</v>
      </c>
      <c r="F2328">
        <v>0</v>
      </c>
      <c r="G2328">
        <v>65.73</v>
      </c>
      <c r="H2328" t="s">
        <v>742</v>
      </c>
      <c r="I2328" t="s">
        <v>1781</v>
      </c>
      <c r="J2328">
        <v>0</v>
      </c>
      <c r="K2328">
        <v>0</v>
      </c>
      <c r="L2328" t="s">
        <v>1202</v>
      </c>
      <c r="M2328">
        <v>102</v>
      </c>
      <c r="N2328" t="s">
        <v>4692</v>
      </c>
      <c r="O2328" t="s">
        <v>4671</v>
      </c>
    </row>
    <row r="2329" spans="1:15" x14ac:dyDescent="0.2">
      <c r="A2329">
        <v>99</v>
      </c>
      <c r="B2329" t="s">
        <v>2117</v>
      </c>
      <c r="C2329" t="s">
        <v>1431</v>
      </c>
      <c r="D2329" t="s">
        <v>1971</v>
      </c>
      <c r="E2329" t="s">
        <v>1147</v>
      </c>
      <c r="F2329">
        <v>0</v>
      </c>
      <c r="G2329">
        <v>28.81</v>
      </c>
      <c r="H2329" t="s">
        <v>742</v>
      </c>
      <c r="I2329" t="s">
        <v>1781</v>
      </c>
      <c r="J2329">
        <v>0</v>
      </c>
      <c r="K2329">
        <v>0</v>
      </c>
      <c r="L2329" t="s">
        <v>1202</v>
      </c>
      <c r="M2329">
        <v>102</v>
      </c>
      <c r="N2329" t="s">
        <v>4683</v>
      </c>
      <c r="O2329" t="s">
        <v>4671</v>
      </c>
    </row>
    <row r="2330" spans="1:15" x14ac:dyDescent="0.2">
      <c r="A2330">
        <v>99</v>
      </c>
      <c r="B2330" t="s">
        <v>2117</v>
      </c>
      <c r="C2330" t="s">
        <v>1431</v>
      </c>
      <c r="D2330" t="s">
        <v>423</v>
      </c>
      <c r="E2330" t="s">
        <v>2683</v>
      </c>
      <c r="F2330">
        <v>2.1251000000000002</v>
      </c>
      <c r="G2330">
        <v>55.495800000000003</v>
      </c>
      <c r="H2330" t="s">
        <v>1152</v>
      </c>
      <c r="I2330" t="s">
        <v>1781</v>
      </c>
      <c r="J2330">
        <v>117.93412458</v>
      </c>
      <c r="K2330">
        <v>12029.280707</v>
      </c>
      <c r="L2330" t="s">
        <v>1202</v>
      </c>
      <c r="M2330">
        <v>102</v>
      </c>
      <c r="N2330" t="s">
        <v>4714</v>
      </c>
      <c r="O2330" t="s">
        <v>4671</v>
      </c>
    </row>
    <row r="2331" spans="1:15" x14ac:dyDescent="0.2">
      <c r="A2331">
        <v>99</v>
      </c>
      <c r="B2331" t="s">
        <v>2117</v>
      </c>
      <c r="C2331" t="s">
        <v>1431</v>
      </c>
      <c r="D2331" t="s">
        <v>1591</v>
      </c>
      <c r="E2331" t="s">
        <v>4669</v>
      </c>
      <c r="F2331">
        <v>7.7799999999999994E-2</v>
      </c>
      <c r="G2331">
        <v>439.92</v>
      </c>
      <c r="H2331" t="s">
        <v>1153</v>
      </c>
      <c r="I2331" t="s">
        <v>1781</v>
      </c>
      <c r="J2331">
        <v>34.225776000000003</v>
      </c>
      <c r="K2331">
        <v>3491.0291520000001</v>
      </c>
      <c r="L2331" t="s">
        <v>1202</v>
      </c>
      <c r="M2331">
        <v>102</v>
      </c>
      <c r="N2331" t="s">
        <v>4707</v>
      </c>
      <c r="O2331" t="s">
        <v>4671</v>
      </c>
    </row>
    <row r="2332" spans="1:15" x14ac:dyDescent="0.2">
      <c r="A2332">
        <v>99</v>
      </c>
      <c r="B2332" t="s">
        <v>2117</v>
      </c>
      <c r="C2332" t="s">
        <v>1431</v>
      </c>
      <c r="D2332" t="s">
        <v>1561</v>
      </c>
      <c r="E2332" t="s">
        <v>1939</v>
      </c>
      <c r="F2332">
        <v>0.25679999999999997</v>
      </c>
      <c r="G2332">
        <v>9.8886000000000003</v>
      </c>
      <c r="H2332" t="s">
        <v>1052</v>
      </c>
      <c r="I2332" t="s">
        <v>1781</v>
      </c>
      <c r="J2332">
        <v>2.5393924800000001</v>
      </c>
      <c r="K2332">
        <v>259.018033</v>
      </c>
      <c r="L2332" t="s">
        <v>1202</v>
      </c>
      <c r="M2332">
        <v>102</v>
      </c>
      <c r="N2332" t="s">
        <v>4672</v>
      </c>
      <c r="O2332" t="s">
        <v>4671</v>
      </c>
    </row>
    <row r="2333" spans="1:15" x14ac:dyDescent="0.2">
      <c r="A2333">
        <v>99</v>
      </c>
      <c r="B2333" t="s">
        <v>2117</v>
      </c>
      <c r="C2333" t="s">
        <v>1431</v>
      </c>
      <c r="D2333" t="s">
        <v>1784</v>
      </c>
      <c r="E2333" t="s">
        <v>4701</v>
      </c>
      <c r="F2333">
        <v>289.58659999999998</v>
      </c>
      <c r="G2333">
        <v>0.54</v>
      </c>
      <c r="H2333" t="s">
        <v>1781</v>
      </c>
      <c r="I2333" t="s">
        <v>1781</v>
      </c>
      <c r="J2333">
        <v>156.37676400000001</v>
      </c>
      <c r="K2333">
        <v>15950.429928</v>
      </c>
      <c r="L2333" t="s">
        <v>1202</v>
      </c>
      <c r="M2333">
        <v>102</v>
      </c>
      <c r="N2333" t="s">
        <v>4702</v>
      </c>
      <c r="O2333" t="s">
        <v>4671</v>
      </c>
    </row>
    <row r="2334" spans="1:15" x14ac:dyDescent="0.2">
      <c r="A2334">
        <v>99</v>
      </c>
      <c r="B2334" t="s">
        <v>2117</v>
      </c>
      <c r="C2334" t="s">
        <v>1431</v>
      </c>
      <c r="D2334" t="s">
        <v>1376</v>
      </c>
      <c r="E2334" t="s">
        <v>1622</v>
      </c>
      <c r="F2334">
        <v>0.72260000000000002</v>
      </c>
      <c r="G2334">
        <v>134.02000000000001</v>
      </c>
      <c r="H2334" t="s">
        <v>1153</v>
      </c>
      <c r="I2334" t="s">
        <v>1781</v>
      </c>
      <c r="J2334">
        <v>96.842851999999993</v>
      </c>
      <c r="K2334">
        <v>9877.9709039999998</v>
      </c>
      <c r="L2334" t="s">
        <v>1202</v>
      </c>
      <c r="M2334">
        <v>102</v>
      </c>
      <c r="N2334" t="s">
        <v>4708</v>
      </c>
      <c r="O2334" t="s">
        <v>4671</v>
      </c>
    </row>
    <row r="2335" spans="1:15" x14ac:dyDescent="0.2">
      <c r="A2335">
        <v>99</v>
      </c>
      <c r="B2335" t="s">
        <v>2117</v>
      </c>
      <c r="C2335" t="s">
        <v>1431</v>
      </c>
      <c r="D2335" t="s">
        <v>1129</v>
      </c>
      <c r="E2335" t="s">
        <v>2681</v>
      </c>
      <c r="F2335">
        <v>1.2500000000000001E-2</v>
      </c>
      <c r="G2335">
        <v>19.722200000000001</v>
      </c>
      <c r="H2335" t="s">
        <v>152</v>
      </c>
      <c r="I2335" t="s">
        <v>1781</v>
      </c>
      <c r="J2335">
        <v>0.24652750000000001</v>
      </c>
      <c r="K2335">
        <v>25.145804999999999</v>
      </c>
      <c r="L2335" t="s">
        <v>1202</v>
      </c>
      <c r="M2335">
        <v>102</v>
      </c>
      <c r="N2335" t="s">
        <v>4711</v>
      </c>
      <c r="O2335" t="s">
        <v>4671</v>
      </c>
    </row>
    <row r="2336" spans="1:15" x14ac:dyDescent="0.2">
      <c r="A2336">
        <v>99</v>
      </c>
      <c r="B2336" t="s">
        <v>2117</v>
      </c>
      <c r="C2336" t="s">
        <v>1431</v>
      </c>
      <c r="D2336" t="s">
        <v>1043</v>
      </c>
      <c r="E2336" t="s">
        <v>1497</v>
      </c>
      <c r="F2336">
        <v>0.1399</v>
      </c>
      <c r="G2336">
        <v>12.1</v>
      </c>
      <c r="H2336" t="s">
        <v>1052</v>
      </c>
      <c r="I2336" t="s">
        <v>1781</v>
      </c>
      <c r="J2336">
        <v>1.69279</v>
      </c>
      <c r="K2336">
        <v>172.66458</v>
      </c>
      <c r="L2336" t="s">
        <v>1202</v>
      </c>
      <c r="M2336">
        <v>102</v>
      </c>
      <c r="N2336" t="s">
        <v>4675</v>
      </c>
      <c r="O2336" t="s">
        <v>4671</v>
      </c>
    </row>
    <row r="2337" spans="1:15" x14ac:dyDescent="0.2">
      <c r="A2337">
        <v>99</v>
      </c>
      <c r="B2337" t="s">
        <v>2117</v>
      </c>
      <c r="C2337" t="s">
        <v>1431</v>
      </c>
      <c r="D2337" t="s">
        <v>1174</v>
      </c>
      <c r="E2337" t="s">
        <v>4673</v>
      </c>
      <c r="F2337">
        <v>0.1326</v>
      </c>
      <c r="G2337">
        <v>9.32</v>
      </c>
      <c r="H2337" t="s">
        <v>1052</v>
      </c>
      <c r="I2337" t="s">
        <v>1781</v>
      </c>
      <c r="J2337">
        <v>1.235832</v>
      </c>
      <c r="K2337">
        <v>126.05486399999999</v>
      </c>
      <c r="L2337" t="s">
        <v>1202</v>
      </c>
      <c r="M2337">
        <v>102</v>
      </c>
      <c r="N2337" t="s">
        <v>4674</v>
      </c>
      <c r="O2337" t="s">
        <v>4671</v>
      </c>
    </row>
    <row r="2338" spans="1:15" x14ac:dyDescent="0.2">
      <c r="A2338">
        <v>99</v>
      </c>
      <c r="B2338" t="s">
        <v>2117</v>
      </c>
      <c r="C2338" t="s">
        <v>1431</v>
      </c>
      <c r="D2338" t="s">
        <v>1379</v>
      </c>
      <c r="E2338" t="s">
        <v>1626</v>
      </c>
      <c r="F2338">
        <v>0.2213</v>
      </c>
      <c r="G2338">
        <v>116.09</v>
      </c>
      <c r="H2338" t="s">
        <v>1153</v>
      </c>
      <c r="I2338" t="s">
        <v>1781</v>
      </c>
      <c r="J2338">
        <v>25.690716999999999</v>
      </c>
      <c r="K2338">
        <v>2620.4531339999999</v>
      </c>
      <c r="L2338" t="s">
        <v>1202</v>
      </c>
      <c r="M2338">
        <v>102</v>
      </c>
      <c r="N2338" t="s">
        <v>4709</v>
      </c>
      <c r="O2338" t="s">
        <v>4671</v>
      </c>
    </row>
    <row r="2339" spans="1:15" x14ac:dyDescent="0.2">
      <c r="A2339">
        <v>99</v>
      </c>
      <c r="B2339" t="s">
        <v>2117</v>
      </c>
      <c r="C2339" t="s">
        <v>1431</v>
      </c>
      <c r="D2339" t="s">
        <v>1925</v>
      </c>
      <c r="E2339" t="s">
        <v>4703</v>
      </c>
      <c r="F2339">
        <v>1</v>
      </c>
      <c r="G2339">
        <v>352.05</v>
      </c>
      <c r="H2339" t="s">
        <v>1781</v>
      </c>
      <c r="I2339" t="s">
        <v>1781</v>
      </c>
      <c r="J2339">
        <v>352.05</v>
      </c>
      <c r="K2339">
        <v>35909.1</v>
      </c>
      <c r="L2339" t="s">
        <v>1202</v>
      </c>
      <c r="M2339">
        <v>102</v>
      </c>
      <c r="N2339" t="s">
        <v>4704</v>
      </c>
      <c r="O2339" t="s">
        <v>4671</v>
      </c>
    </row>
    <row r="2340" spans="1:15" x14ac:dyDescent="0.2">
      <c r="A2340">
        <v>99</v>
      </c>
      <c r="B2340" t="s">
        <v>2117</v>
      </c>
      <c r="C2340" t="s">
        <v>1431</v>
      </c>
      <c r="D2340" t="s">
        <v>120</v>
      </c>
      <c r="E2340" t="s">
        <v>597</v>
      </c>
      <c r="F2340">
        <v>0</v>
      </c>
      <c r="G2340">
        <v>1.52</v>
      </c>
      <c r="H2340" t="s">
        <v>742</v>
      </c>
      <c r="I2340" t="s">
        <v>1781</v>
      </c>
      <c r="J2340">
        <v>0</v>
      </c>
      <c r="K2340">
        <v>0</v>
      </c>
      <c r="L2340" t="s">
        <v>1202</v>
      </c>
      <c r="M2340">
        <v>102</v>
      </c>
      <c r="N2340" t="s">
        <v>4679</v>
      </c>
      <c r="O2340" t="s">
        <v>4671</v>
      </c>
    </row>
    <row r="2341" spans="1:15" x14ac:dyDescent="0.2">
      <c r="A2341">
        <v>99</v>
      </c>
      <c r="B2341" t="s">
        <v>2117</v>
      </c>
      <c r="C2341" t="s">
        <v>1431</v>
      </c>
      <c r="D2341" t="s">
        <v>1258</v>
      </c>
      <c r="E2341" t="s">
        <v>1526</v>
      </c>
      <c r="F2341">
        <v>0.54359999999999997</v>
      </c>
      <c r="G2341">
        <v>148</v>
      </c>
      <c r="H2341" t="s">
        <v>1153</v>
      </c>
      <c r="I2341" t="s">
        <v>1781</v>
      </c>
      <c r="J2341">
        <v>80.452799999999996</v>
      </c>
      <c r="K2341">
        <v>8206.1856000000007</v>
      </c>
      <c r="L2341" t="s">
        <v>1202</v>
      </c>
      <c r="M2341">
        <v>102</v>
      </c>
      <c r="N2341" t="s">
        <v>4710</v>
      </c>
      <c r="O2341" t="s">
        <v>4671</v>
      </c>
    </row>
    <row r="2342" spans="1:15" x14ac:dyDescent="0.2">
      <c r="A2342">
        <v>99</v>
      </c>
      <c r="B2342" t="s">
        <v>2117</v>
      </c>
      <c r="C2342" t="s">
        <v>1431</v>
      </c>
      <c r="D2342" t="s">
        <v>1654</v>
      </c>
      <c r="E2342" t="s">
        <v>1551</v>
      </c>
      <c r="F2342">
        <v>270.18709999999999</v>
      </c>
      <c r="G2342">
        <v>0.7974</v>
      </c>
      <c r="H2342" t="s">
        <v>1052</v>
      </c>
      <c r="I2342" t="s">
        <v>1781</v>
      </c>
      <c r="J2342">
        <v>215.44719354</v>
      </c>
      <c r="K2342">
        <v>21975.613741000001</v>
      </c>
      <c r="L2342" t="s">
        <v>1202</v>
      </c>
      <c r="M2342">
        <v>102</v>
      </c>
      <c r="N2342" t="s">
        <v>4677</v>
      </c>
      <c r="O2342" t="s">
        <v>4671</v>
      </c>
    </row>
    <row r="2343" spans="1:15" x14ac:dyDescent="0.2">
      <c r="A2343">
        <v>99</v>
      </c>
      <c r="B2343" t="s">
        <v>2117</v>
      </c>
      <c r="C2343" t="s">
        <v>1431</v>
      </c>
      <c r="D2343" t="s">
        <v>61</v>
      </c>
      <c r="E2343" t="s">
        <v>2490</v>
      </c>
      <c r="F2343">
        <v>0</v>
      </c>
      <c r="G2343">
        <v>36.880000000000003</v>
      </c>
      <c r="H2343" t="s">
        <v>764</v>
      </c>
      <c r="I2343" t="s">
        <v>1781</v>
      </c>
      <c r="J2343">
        <v>0</v>
      </c>
      <c r="K2343">
        <v>0</v>
      </c>
      <c r="L2343" t="s">
        <v>1202</v>
      </c>
      <c r="M2343">
        <v>102</v>
      </c>
      <c r="N2343" t="s">
        <v>4684</v>
      </c>
      <c r="O2343" t="s">
        <v>4671</v>
      </c>
    </row>
    <row r="2344" spans="1:15" x14ac:dyDescent="0.2">
      <c r="A2344">
        <v>99</v>
      </c>
      <c r="B2344" t="s">
        <v>2117</v>
      </c>
      <c r="C2344" t="s">
        <v>1431</v>
      </c>
      <c r="D2344" t="s">
        <v>801</v>
      </c>
      <c r="E2344" t="s">
        <v>402</v>
      </c>
      <c r="F2344">
        <v>0</v>
      </c>
      <c r="G2344">
        <v>10.3</v>
      </c>
      <c r="H2344" t="s">
        <v>151</v>
      </c>
      <c r="I2344" t="s">
        <v>1781</v>
      </c>
      <c r="J2344">
        <v>0</v>
      </c>
      <c r="K2344">
        <v>0</v>
      </c>
      <c r="L2344" t="s">
        <v>1202</v>
      </c>
      <c r="M2344">
        <v>102</v>
      </c>
      <c r="N2344" t="s">
        <v>4686</v>
      </c>
      <c r="O2344" t="s">
        <v>4671</v>
      </c>
    </row>
    <row r="2345" spans="1:15" x14ac:dyDescent="0.2">
      <c r="A2345">
        <v>99</v>
      </c>
      <c r="B2345" t="s">
        <v>2117</v>
      </c>
      <c r="C2345" t="s">
        <v>1431</v>
      </c>
      <c r="D2345" t="s">
        <v>944</v>
      </c>
      <c r="E2345" t="s">
        <v>1601</v>
      </c>
      <c r="F2345">
        <v>0</v>
      </c>
      <c r="G2345">
        <v>19.170000000000002</v>
      </c>
      <c r="H2345" t="s">
        <v>151</v>
      </c>
      <c r="I2345" t="s">
        <v>1781</v>
      </c>
      <c r="J2345">
        <v>0</v>
      </c>
      <c r="K2345">
        <v>0</v>
      </c>
      <c r="L2345" t="s">
        <v>1202</v>
      </c>
      <c r="M2345">
        <v>102</v>
      </c>
      <c r="N2345" t="s">
        <v>4695</v>
      </c>
      <c r="O2345" t="s">
        <v>4671</v>
      </c>
    </row>
    <row r="2346" spans="1:15" x14ac:dyDescent="0.2">
      <c r="A2346">
        <v>99</v>
      </c>
      <c r="B2346" t="s">
        <v>2117</v>
      </c>
      <c r="C2346" t="s">
        <v>1431</v>
      </c>
      <c r="D2346" t="s">
        <v>98</v>
      </c>
      <c r="E2346" t="s">
        <v>667</v>
      </c>
      <c r="F2346">
        <v>10.9902</v>
      </c>
      <c r="G2346">
        <v>5.9442000000000004</v>
      </c>
      <c r="H2346" t="s">
        <v>1052</v>
      </c>
      <c r="I2346" t="s">
        <v>1781</v>
      </c>
      <c r="J2346">
        <v>65.327946839999996</v>
      </c>
      <c r="K2346">
        <v>6663.450578</v>
      </c>
      <c r="L2346" t="s">
        <v>1202</v>
      </c>
      <c r="M2346">
        <v>102</v>
      </c>
      <c r="N2346" t="s">
        <v>4670</v>
      </c>
      <c r="O2346" t="s">
        <v>4671</v>
      </c>
    </row>
    <row r="2347" spans="1:15" x14ac:dyDescent="0.2">
      <c r="A2347">
        <v>99</v>
      </c>
      <c r="B2347" t="s">
        <v>2117</v>
      </c>
      <c r="C2347" t="s">
        <v>1431</v>
      </c>
      <c r="D2347" t="s">
        <v>1278</v>
      </c>
      <c r="E2347" t="s">
        <v>4688</v>
      </c>
      <c r="F2347">
        <v>1</v>
      </c>
      <c r="G2347">
        <v>1517.91</v>
      </c>
      <c r="H2347" t="s">
        <v>1781</v>
      </c>
      <c r="I2347" t="s">
        <v>1781</v>
      </c>
      <c r="J2347">
        <v>1517.91</v>
      </c>
      <c r="K2347">
        <v>154826.82</v>
      </c>
      <c r="L2347" t="s">
        <v>1202</v>
      </c>
      <c r="M2347">
        <v>102</v>
      </c>
      <c r="N2347" t="s">
        <v>4689</v>
      </c>
      <c r="O2347" t="s">
        <v>4671</v>
      </c>
    </row>
    <row r="2348" spans="1:15" x14ac:dyDescent="0.2">
      <c r="A2348">
        <v>99</v>
      </c>
      <c r="B2348" t="s">
        <v>2117</v>
      </c>
      <c r="C2348" t="s">
        <v>1431</v>
      </c>
      <c r="D2348" t="s">
        <v>66</v>
      </c>
      <c r="E2348" t="s">
        <v>617</v>
      </c>
      <c r="F2348">
        <v>0</v>
      </c>
      <c r="G2348">
        <v>5.45</v>
      </c>
      <c r="H2348" t="s">
        <v>764</v>
      </c>
      <c r="I2348" t="s">
        <v>1781</v>
      </c>
      <c r="J2348">
        <v>0</v>
      </c>
      <c r="K2348">
        <v>0</v>
      </c>
      <c r="L2348" t="s">
        <v>1202</v>
      </c>
      <c r="M2348">
        <v>102</v>
      </c>
      <c r="N2348" t="s">
        <v>4678</v>
      </c>
      <c r="O2348" t="s">
        <v>4671</v>
      </c>
    </row>
    <row r="2349" spans="1:15" x14ac:dyDescent="0.2">
      <c r="A2349">
        <v>99</v>
      </c>
      <c r="B2349" t="s">
        <v>2117</v>
      </c>
      <c r="C2349" t="s">
        <v>1431</v>
      </c>
      <c r="D2349" t="s">
        <v>1009</v>
      </c>
      <c r="E2349" t="s">
        <v>672</v>
      </c>
      <c r="F2349">
        <v>0</v>
      </c>
      <c r="G2349">
        <v>16.489999999999998</v>
      </c>
      <c r="H2349" t="s">
        <v>151</v>
      </c>
      <c r="I2349" t="s">
        <v>1781</v>
      </c>
      <c r="J2349">
        <v>0</v>
      </c>
      <c r="K2349">
        <v>0</v>
      </c>
      <c r="L2349" t="s">
        <v>1202</v>
      </c>
      <c r="M2349">
        <v>102</v>
      </c>
      <c r="N2349" t="s">
        <v>4696</v>
      </c>
      <c r="O2349" t="s">
        <v>4671</v>
      </c>
    </row>
    <row r="2350" spans="1:15" x14ac:dyDescent="0.2">
      <c r="A2350">
        <v>99</v>
      </c>
      <c r="B2350" t="s">
        <v>2117</v>
      </c>
      <c r="C2350" t="s">
        <v>1431</v>
      </c>
      <c r="D2350" t="s">
        <v>498</v>
      </c>
      <c r="E2350" t="s">
        <v>773</v>
      </c>
      <c r="F2350">
        <v>1.2</v>
      </c>
      <c r="G2350">
        <v>0</v>
      </c>
      <c r="H2350" t="s">
        <v>84</v>
      </c>
      <c r="I2350" t="s">
        <v>1781</v>
      </c>
      <c r="J2350">
        <v>0</v>
      </c>
      <c r="K2350">
        <v>0</v>
      </c>
      <c r="L2350" t="s">
        <v>1202</v>
      </c>
      <c r="M2350">
        <v>102</v>
      </c>
      <c r="N2350" t="s">
        <v>4690</v>
      </c>
      <c r="O2350" t="s">
        <v>4671</v>
      </c>
    </row>
    <row r="2351" spans="1:15" x14ac:dyDescent="0.2">
      <c r="A2351">
        <v>99</v>
      </c>
      <c r="B2351" t="s">
        <v>2117</v>
      </c>
      <c r="C2351" t="s">
        <v>1431</v>
      </c>
      <c r="D2351" t="s">
        <v>1134</v>
      </c>
      <c r="E2351" t="s">
        <v>4712</v>
      </c>
      <c r="F2351">
        <v>4.9961000000000002</v>
      </c>
      <c r="G2351">
        <v>6.91</v>
      </c>
      <c r="H2351" t="s">
        <v>152</v>
      </c>
      <c r="I2351" t="s">
        <v>1781</v>
      </c>
      <c r="J2351">
        <v>34.523051000000002</v>
      </c>
      <c r="K2351">
        <v>3521.3512019999998</v>
      </c>
      <c r="L2351" t="s">
        <v>1202</v>
      </c>
      <c r="M2351">
        <v>102</v>
      </c>
      <c r="N2351" t="s">
        <v>4713</v>
      </c>
      <c r="O2351" t="s">
        <v>4671</v>
      </c>
    </row>
    <row r="2352" spans="1:15" x14ac:dyDescent="0.2">
      <c r="A2352">
        <v>99</v>
      </c>
      <c r="B2352" t="s">
        <v>2117</v>
      </c>
      <c r="C2352" t="s">
        <v>1431</v>
      </c>
      <c r="D2352" t="s">
        <v>1970</v>
      </c>
      <c r="E2352" t="s">
        <v>1166</v>
      </c>
      <c r="F2352">
        <v>0</v>
      </c>
      <c r="G2352">
        <v>30.29</v>
      </c>
      <c r="H2352" t="s">
        <v>764</v>
      </c>
      <c r="I2352" t="s">
        <v>1781</v>
      </c>
      <c r="J2352">
        <v>0</v>
      </c>
      <c r="K2352">
        <v>0</v>
      </c>
      <c r="L2352" t="s">
        <v>1202</v>
      </c>
      <c r="M2352">
        <v>102</v>
      </c>
      <c r="N2352" t="s">
        <v>4682</v>
      </c>
      <c r="O2352" t="s">
        <v>4671</v>
      </c>
    </row>
    <row r="2353" spans="1:15" x14ac:dyDescent="0.2">
      <c r="A2353">
        <v>99</v>
      </c>
      <c r="B2353" t="s">
        <v>2117</v>
      </c>
      <c r="C2353" t="s">
        <v>1431</v>
      </c>
      <c r="D2353" t="s">
        <v>189</v>
      </c>
      <c r="E2353" t="s">
        <v>2685</v>
      </c>
      <c r="F2353">
        <v>0.44679999999999997</v>
      </c>
      <c r="G2353">
        <v>11.05</v>
      </c>
      <c r="H2353" t="s">
        <v>153</v>
      </c>
      <c r="I2353" t="s">
        <v>1781</v>
      </c>
      <c r="J2353">
        <v>4.9371400000000003</v>
      </c>
      <c r="K2353">
        <v>503.58828</v>
      </c>
      <c r="L2353" t="s">
        <v>1202</v>
      </c>
      <c r="M2353">
        <v>102</v>
      </c>
      <c r="N2353" t="s">
        <v>4699</v>
      </c>
      <c r="O2353" t="s">
        <v>4671</v>
      </c>
    </row>
    <row r="2354" spans="1:15" x14ac:dyDescent="0.2">
      <c r="A2354">
        <v>99</v>
      </c>
      <c r="B2354" t="s">
        <v>2117</v>
      </c>
      <c r="C2354" t="s">
        <v>1431</v>
      </c>
      <c r="D2354" t="s">
        <v>792</v>
      </c>
      <c r="E2354" t="s">
        <v>335</v>
      </c>
      <c r="F2354">
        <v>0</v>
      </c>
      <c r="G2354">
        <v>11.1343</v>
      </c>
      <c r="H2354" t="s">
        <v>151</v>
      </c>
      <c r="I2354" t="s">
        <v>1781</v>
      </c>
      <c r="J2354">
        <v>0</v>
      </c>
      <c r="K2354">
        <v>0</v>
      </c>
      <c r="L2354" t="s">
        <v>1202</v>
      </c>
      <c r="M2354">
        <v>102</v>
      </c>
      <c r="N2354" t="s">
        <v>4697</v>
      </c>
      <c r="O2354" t="s">
        <v>4671</v>
      </c>
    </row>
    <row r="2355" spans="1:15" x14ac:dyDescent="0.2">
      <c r="A2355">
        <v>99</v>
      </c>
      <c r="B2355" t="s">
        <v>2117</v>
      </c>
      <c r="C2355" t="s">
        <v>1431</v>
      </c>
      <c r="D2355" t="s">
        <v>1968</v>
      </c>
      <c r="E2355" t="s">
        <v>2500</v>
      </c>
      <c r="F2355">
        <v>0</v>
      </c>
      <c r="G2355">
        <v>1.39</v>
      </c>
      <c r="H2355" t="s">
        <v>764</v>
      </c>
      <c r="I2355" t="s">
        <v>1781</v>
      </c>
      <c r="J2355">
        <v>0</v>
      </c>
      <c r="K2355">
        <v>0</v>
      </c>
      <c r="L2355" t="s">
        <v>1202</v>
      </c>
      <c r="M2355">
        <v>102</v>
      </c>
      <c r="N2355" t="s">
        <v>4680</v>
      </c>
      <c r="O2355" t="s">
        <v>4671</v>
      </c>
    </row>
    <row r="2356" spans="1:15" x14ac:dyDescent="0.2">
      <c r="A2356">
        <v>99</v>
      </c>
      <c r="B2356" t="s">
        <v>2117</v>
      </c>
      <c r="C2356" t="s">
        <v>5336</v>
      </c>
      <c r="D2356" t="s">
        <v>5337</v>
      </c>
      <c r="E2356" t="s">
        <v>5338</v>
      </c>
      <c r="F2356">
        <v>1</v>
      </c>
      <c r="G2356">
        <v>201.68</v>
      </c>
      <c r="H2356" t="s">
        <v>1781</v>
      </c>
      <c r="I2356" t="s">
        <v>153</v>
      </c>
      <c r="J2356">
        <v>201.68</v>
      </c>
      <c r="K2356">
        <v>11536.096</v>
      </c>
      <c r="L2356" t="s">
        <v>5339</v>
      </c>
      <c r="M2356">
        <v>57.2</v>
      </c>
      <c r="N2356" t="s">
        <v>5340</v>
      </c>
      <c r="O2356" t="s">
        <v>5341</v>
      </c>
    </row>
    <row r="2357" spans="1:15" x14ac:dyDescent="0.2">
      <c r="A2357">
        <v>99</v>
      </c>
      <c r="B2357" t="s">
        <v>2117</v>
      </c>
      <c r="C2357" t="s">
        <v>5336</v>
      </c>
      <c r="D2357" t="s">
        <v>498</v>
      </c>
      <c r="E2357" t="s">
        <v>773</v>
      </c>
      <c r="F2357">
        <v>1.2</v>
      </c>
      <c r="G2357">
        <v>0</v>
      </c>
      <c r="H2357" t="s">
        <v>84</v>
      </c>
      <c r="I2357" t="s">
        <v>153</v>
      </c>
      <c r="J2357">
        <v>0</v>
      </c>
      <c r="K2357">
        <v>0</v>
      </c>
      <c r="L2357" t="s">
        <v>5339</v>
      </c>
      <c r="M2357">
        <v>57.2</v>
      </c>
      <c r="N2357" t="s">
        <v>5342</v>
      </c>
      <c r="O2357" t="s">
        <v>5341</v>
      </c>
    </row>
    <row r="2358" spans="1:15" x14ac:dyDescent="0.2">
      <c r="A2358">
        <v>99</v>
      </c>
      <c r="B2358" t="s">
        <v>2117</v>
      </c>
      <c r="C2358" t="s">
        <v>5336</v>
      </c>
      <c r="D2358" t="s">
        <v>1009</v>
      </c>
      <c r="E2358" t="s">
        <v>672</v>
      </c>
      <c r="F2358">
        <v>0</v>
      </c>
      <c r="G2358">
        <v>16.489999999999998</v>
      </c>
      <c r="H2358" t="s">
        <v>151</v>
      </c>
      <c r="I2358" t="s">
        <v>153</v>
      </c>
      <c r="J2358">
        <v>0</v>
      </c>
      <c r="K2358">
        <v>0</v>
      </c>
      <c r="L2358" t="s">
        <v>5339</v>
      </c>
      <c r="M2358">
        <v>57.2</v>
      </c>
      <c r="N2358" t="s">
        <v>5343</v>
      </c>
      <c r="O2358" t="s">
        <v>5341</v>
      </c>
    </row>
    <row r="2359" spans="1:15" x14ac:dyDescent="0.2">
      <c r="A2359">
        <v>99</v>
      </c>
      <c r="B2359" t="s">
        <v>2117</v>
      </c>
      <c r="C2359" t="s">
        <v>5336</v>
      </c>
      <c r="D2359" t="s">
        <v>801</v>
      </c>
      <c r="E2359" t="s">
        <v>402</v>
      </c>
      <c r="F2359">
        <v>0</v>
      </c>
      <c r="G2359">
        <v>10.3</v>
      </c>
      <c r="H2359" t="s">
        <v>151</v>
      </c>
      <c r="I2359" t="s">
        <v>153</v>
      </c>
      <c r="J2359">
        <v>0</v>
      </c>
      <c r="K2359">
        <v>0</v>
      </c>
      <c r="L2359" t="s">
        <v>5339</v>
      </c>
      <c r="M2359">
        <v>57.2</v>
      </c>
      <c r="N2359" t="s">
        <v>5344</v>
      </c>
      <c r="O2359" t="s">
        <v>5341</v>
      </c>
    </row>
    <row r="2360" spans="1:15" x14ac:dyDescent="0.2">
      <c r="A2360">
        <v>99</v>
      </c>
      <c r="B2360" t="s">
        <v>2117</v>
      </c>
      <c r="C2360" t="s">
        <v>5336</v>
      </c>
      <c r="D2360" t="s">
        <v>61</v>
      </c>
      <c r="E2360" t="s">
        <v>2490</v>
      </c>
      <c r="F2360">
        <v>0</v>
      </c>
      <c r="G2360">
        <v>36.880000000000003</v>
      </c>
      <c r="H2360" t="s">
        <v>764</v>
      </c>
      <c r="I2360" t="s">
        <v>153</v>
      </c>
      <c r="J2360">
        <v>0</v>
      </c>
      <c r="K2360">
        <v>0</v>
      </c>
      <c r="L2360" t="s">
        <v>5339</v>
      </c>
      <c r="M2360">
        <v>57.2</v>
      </c>
      <c r="N2360" t="s">
        <v>5345</v>
      </c>
      <c r="O2360" t="s">
        <v>5341</v>
      </c>
    </row>
    <row r="2361" spans="1:15" x14ac:dyDescent="0.2">
      <c r="A2361">
        <v>99</v>
      </c>
      <c r="B2361" t="s">
        <v>2117</v>
      </c>
      <c r="C2361" t="s">
        <v>5336</v>
      </c>
      <c r="D2361" t="s">
        <v>239</v>
      </c>
      <c r="E2361" t="s">
        <v>2378</v>
      </c>
      <c r="F2361">
        <v>0</v>
      </c>
      <c r="G2361">
        <v>65.73</v>
      </c>
      <c r="H2361" t="s">
        <v>742</v>
      </c>
      <c r="I2361" t="s">
        <v>153</v>
      </c>
      <c r="J2361">
        <v>0</v>
      </c>
      <c r="K2361">
        <v>0</v>
      </c>
      <c r="L2361" t="s">
        <v>5339</v>
      </c>
      <c r="M2361">
        <v>57.2</v>
      </c>
      <c r="N2361" t="s">
        <v>5346</v>
      </c>
      <c r="O2361" t="s">
        <v>5341</v>
      </c>
    </row>
    <row r="2362" spans="1:15" x14ac:dyDescent="0.2">
      <c r="A2362">
        <v>99</v>
      </c>
      <c r="B2362" t="s">
        <v>2117</v>
      </c>
      <c r="C2362" t="s">
        <v>5336</v>
      </c>
      <c r="D2362" t="s">
        <v>62</v>
      </c>
      <c r="E2362" t="s">
        <v>4668</v>
      </c>
      <c r="F2362">
        <v>0</v>
      </c>
      <c r="G2362">
        <v>29.73</v>
      </c>
      <c r="H2362" t="s">
        <v>742</v>
      </c>
      <c r="I2362" t="s">
        <v>153</v>
      </c>
      <c r="J2362">
        <v>0</v>
      </c>
      <c r="K2362">
        <v>0</v>
      </c>
      <c r="L2362" t="s">
        <v>5339</v>
      </c>
      <c r="M2362">
        <v>57.2</v>
      </c>
      <c r="N2362" t="s">
        <v>5347</v>
      </c>
      <c r="O2362" t="s">
        <v>5341</v>
      </c>
    </row>
    <row r="2363" spans="1:15" x14ac:dyDescent="0.2">
      <c r="A2363">
        <v>99</v>
      </c>
      <c r="B2363" t="s">
        <v>2117</v>
      </c>
      <c r="C2363" t="s">
        <v>5336</v>
      </c>
      <c r="D2363" t="s">
        <v>238</v>
      </c>
      <c r="E2363" t="s">
        <v>2376</v>
      </c>
      <c r="F2363">
        <v>0</v>
      </c>
      <c r="G2363">
        <v>138.31</v>
      </c>
      <c r="H2363" t="s">
        <v>764</v>
      </c>
      <c r="I2363" t="s">
        <v>153</v>
      </c>
      <c r="J2363">
        <v>0</v>
      </c>
      <c r="K2363">
        <v>0</v>
      </c>
      <c r="L2363" t="s">
        <v>5339</v>
      </c>
      <c r="M2363">
        <v>57.2</v>
      </c>
      <c r="N2363" t="s">
        <v>5348</v>
      </c>
      <c r="O2363" t="s">
        <v>5341</v>
      </c>
    </row>
    <row r="2364" spans="1:15" x14ac:dyDescent="0.2">
      <c r="A2364">
        <v>99</v>
      </c>
      <c r="B2364" t="s">
        <v>2117</v>
      </c>
      <c r="C2364" t="s">
        <v>1494</v>
      </c>
      <c r="D2364" t="s">
        <v>1274</v>
      </c>
      <c r="E2364" t="s">
        <v>4715</v>
      </c>
      <c r="F2364">
        <v>1</v>
      </c>
      <c r="G2364">
        <v>36.5</v>
      </c>
      <c r="H2364" t="s">
        <v>153</v>
      </c>
      <c r="I2364" t="s">
        <v>153</v>
      </c>
      <c r="J2364">
        <v>36.5</v>
      </c>
      <c r="K2364">
        <v>32486.095000000001</v>
      </c>
      <c r="L2364" t="s">
        <v>1220</v>
      </c>
      <c r="M2364">
        <v>890.03</v>
      </c>
      <c r="N2364" t="s">
        <v>4716</v>
      </c>
      <c r="O2364" t="s">
        <v>4717</v>
      </c>
    </row>
    <row r="2365" spans="1:15" x14ac:dyDescent="0.2">
      <c r="A2365">
        <v>99</v>
      </c>
      <c r="B2365" t="s">
        <v>2117</v>
      </c>
      <c r="C2365" t="s">
        <v>1494</v>
      </c>
      <c r="D2365" t="s">
        <v>245</v>
      </c>
      <c r="E2365" t="s">
        <v>4719</v>
      </c>
      <c r="F2365">
        <v>0</v>
      </c>
      <c r="G2365">
        <v>225.14</v>
      </c>
      <c r="H2365" t="s">
        <v>764</v>
      </c>
      <c r="I2365" t="s">
        <v>153</v>
      </c>
      <c r="J2365">
        <v>0</v>
      </c>
      <c r="K2365">
        <v>0</v>
      </c>
      <c r="L2365" t="s">
        <v>1220</v>
      </c>
      <c r="M2365">
        <v>890.03</v>
      </c>
      <c r="N2365" t="s">
        <v>4720</v>
      </c>
      <c r="O2365" t="s">
        <v>4717</v>
      </c>
    </row>
    <row r="2366" spans="1:15" x14ac:dyDescent="0.2">
      <c r="A2366">
        <v>99</v>
      </c>
      <c r="B2366" t="s">
        <v>2117</v>
      </c>
      <c r="C2366" t="s">
        <v>1494</v>
      </c>
      <c r="D2366" t="s">
        <v>286</v>
      </c>
      <c r="E2366" t="s">
        <v>4721</v>
      </c>
      <c r="F2366">
        <v>0</v>
      </c>
      <c r="G2366">
        <v>98.87</v>
      </c>
      <c r="H2366" t="s">
        <v>742</v>
      </c>
      <c r="I2366" t="s">
        <v>153</v>
      </c>
      <c r="J2366">
        <v>0</v>
      </c>
      <c r="K2366">
        <v>0</v>
      </c>
      <c r="L2366" t="s">
        <v>1220</v>
      </c>
      <c r="M2366">
        <v>890.03</v>
      </c>
      <c r="N2366" t="s">
        <v>4722</v>
      </c>
      <c r="O2366" t="s">
        <v>4717</v>
      </c>
    </row>
    <row r="2367" spans="1:15" x14ac:dyDescent="0.2">
      <c r="A2367">
        <v>99</v>
      </c>
      <c r="B2367" t="s">
        <v>2117</v>
      </c>
      <c r="C2367" t="s">
        <v>1494</v>
      </c>
      <c r="D2367" t="s">
        <v>1654</v>
      </c>
      <c r="E2367" t="s">
        <v>1551</v>
      </c>
      <c r="F2367">
        <v>2.2698999999999998</v>
      </c>
      <c r="G2367">
        <v>0.7974</v>
      </c>
      <c r="H2367" t="s">
        <v>1052</v>
      </c>
      <c r="I2367" t="s">
        <v>153</v>
      </c>
      <c r="J2367">
        <v>1.8100182600000001</v>
      </c>
      <c r="K2367">
        <v>1610.970552</v>
      </c>
      <c r="L2367" t="s">
        <v>1220</v>
      </c>
      <c r="M2367">
        <v>890.03</v>
      </c>
      <c r="N2367" t="s">
        <v>4723</v>
      </c>
      <c r="O2367" t="s">
        <v>4717</v>
      </c>
    </row>
    <row r="2368" spans="1:15" x14ac:dyDescent="0.2">
      <c r="A2368">
        <v>99</v>
      </c>
      <c r="B2368" t="s">
        <v>2117</v>
      </c>
      <c r="C2368" t="s">
        <v>1494</v>
      </c>
      <c r="D2368" t="s">
        <v>1258</v>
      </c>
      <c r="E2368" t="s">
        <v>1526</v>
      </c>
      <c r="F2368">
        <v>5.0000000000000001E-3</v>
      </c>
      <c r="G2368">
        <v>148</v>
      </c>
      <c r="H2368" t="s">
        <v>1153</v>
      </c>
      <c r="I2368" t="s">
        <v>153</v>
      </c>
      <c r="J2368">
        <v>0.74</v>
      </c>
      <c r="K2368">
        <v>658.62220000000002</v>
      </c>
      <c r="L2368" t="s">
        <v>1220</v>
      </c>
      <c r="M2368">
        <v>890.03</v>
      </c>
      <c r="N2368" t="s">
        <v>4724</v>
      </c>
      <c r="O2368" t="s">
        <v>4717</v>
      </c>
    </row>
    <row r="2369" spans="1:15" x14ac:dyDescent="0.2">
      <c r="A2369">
        <v>99</v>
      </c>
      <c r="B2369" t="s">
        <v>2117</v>
      </c>
      <c r="C2369" t="s">
        <v>1494</v>
      </c>
      <c r="D2369" t="s">
        <v>59</v>
      </c>
      <c r="E2369" t="s">
        <v>4725</v>
      </c>
      <c r="F2369">
        <v>1.03</v>
      </c>
      <c r="G2369">
        <v>266</v>
      </c>
      <c r="H2369" t="s">
        <v>1781</v>
      </c>
      <c r="I2369" t="s">
        <v>153</v>
      </c>
      <c r="J2369">
        <v>273.98</v>
      </c>
      <c r="K2369">
        <v>243850.41940000001</v>
      </c>
      <c r="L2369" t="s">
        <v>1220</v>
      </c>
      <c r="M2369">
        <v>890.03</v>
      </c>
      <c r="N2369" t="s">
        <v>4726</v>
      </c>
      <c r="O2369" t="s">
        <v>4717</v>
      </c>
    </row>
    <row r="2370" spans="1:15" x14ac:dyDescent="0.2">
      <c r="A2370">
        <v>99</v>
      </c>
      <c r="B2370" t="s">
        <v>2117</v>
      </c>
      <c r="C2370" t="s">
        <v>1494</v>
      </c>
      <c r="D2370" t="s">
        <v>801</v>
      </c>
      <c r="E2370" t="s">
        <v>402</v>
      </c>
      <c r="F2370">
        <v>0</v>
      </c>
      <c r="G2370">
        <v>10.3</v>
      </c>
      <c r="H2370" t="s">
        <v>151</v>
      </c>
      <c r="I2370" t="s">
        <v>153</v>
      </c>
      <c r="J2370">
        <v>0</v>
      </c>
      <c r="K2370">
        <v>0</v>
      </c>
      <c r="L2370" t="s">
        <v>1220</v>
      </c>
      <c r="M2370">
        <v>890.03</v>
      </c>
      <c r="N2370" t="s">
        <v>4728</v>
      </c>
      <c r="O2370" t="s">
        <v>4717</v>
      </c>
    </row>
    <row r="2371" spans="1:15" x14ac:dyDescent="0.2">
      <c r="A2371">
        <v>99</v>
      </c>
      <c r="B2371" t="s">
        <v>2117</v>
      </c>
      <c r="C2371" t="s">
        <v>1494</v>
      </c>
      <c r="D2371" t="s">
        <v>498</v>
      </c>
      <c r="E2371" t="s">
        <v>773</v>
      </c>
      <c r="F2371">
        <v>1.2</v>
      </c>
      <c r="G2371">
        <v>0</v>
      </c>
      <c r="H2371" t="s">
        <v>84</v>
      </c>
      <c r="I2371" t="s">
        <v>153</v>
      </c>
      <c r="J2371">
        <v>0</v>
      </c>
      <c r="K2371">
        <v>0</v>
      </c>
      <c r="L2371" t="s">
        <v>1220</v>
      </c>
      <c r="M2371">
        <v>890.03</v>
      </c>
      <c r="N2371" t="s">
        <v>4718</v>
      </c>
      <c r="O2371" t="s">
        <v>4717</v>
      </c>
    </row>
    <row r="2372" spans="1:15" x14ac:dyDescent="0.2">
      <c r="A2372">
        <v>99</v>
      </c>
      <c r="B2372" t="s">
        <v>2117</v>
      </c>
      <c r="C2372" t="s">
        <v>1494</v>
      </c>
      <c r="D2372" t="s">
        <v>937</v>
      </c>
      <c r="E2372" t="s">
        <v>509</v>
      </c>
      <c r="F2372">
        <v>0</v>
      </c>
      <c r="G2372">
        <v>15.5</v>
      </c>
      <c r="H2372" t="s">
        <v>151</v>
      </c>
      <c r="I2372" t="s">
        <v>153</v>
      </c>
      <c r="J2372">
        <v>0</v>
      </c>
      <c r="K2372">
        <v>0</v>
      </c>
      <c r="L2372" t="s">
        <v>1220</v>
      </c>
      <c r="M2372">
        <v>890.03</v>
      </c>
      <c r="N2372" t="s">
        <v>4727</v>
      </c>
      <c r="O2372" t="s">
        <v>4717</v>
      </c>
    </row>
    <row r="2373" spans="1:15" x14ac:dyDescent="0.2">
      <c r="A2373">
        <v>99</v>
      </c>
      <c r="B2373" t="s">
        <v>2117</v>
      </c>
      <c r="C2373" t="s">
        <v>1562</v>
      </c>
      <c r="D2373" t="s">
        <v>498</v>
      </c>
      <c r="E2373" t="s">
        <v>773</v>
      </c>
      <c r="F2373">
        <v>1.2</v>
      </c>
      <c r="G2373">
        <v>0</v>
      </c>
      <c r="H2373" t="s">
        <v>84</v>
      </c>
      <c r="I2373" t="s">
        <v>1781</v>
      </c>
      <c r="J2373">
        <v>0</v>
      </c>
      <c r="K2373">
        <v>0</v>
      </c>
      <c r="L2373" t="s">
        <v>5349</v>
      </c>
      <c r="M2373">
        <v>4</v>
      </c>
      <c r="N2373" t="s">
        <v>4734</v>
      </c>
      <c r="O2373" t="s">
        <v>4730</v>
      </c>
    </row>
    <row r="2374" spans="1:15" x14ac:dyDescent="0.2">
      <c r="A2374">
        <v>99</v>
      </c>
      <c r="B2374" t="s">
        <v>2117</v>
      </c>
      <c r="C2374" t="s">
        <v>1562</v>
      </c>
      <c r="D2374" t="s">
        <v>1067</v>
      </c>
      <c r="E2374" t="s">
        <v>675</v>
      </c>
      <c r="F2374">
        <v>2.3999999999999998E-3</v>
      </c>
      <c r="G2374">
        <v>12.1</v>
      </c>
      <c r="H2374" t="s">
        <v>1052</v>
      </c>
      <c r="I2374" t="s">
        <v>1781</v>
      </c>
      <c r="J2374">
        <v>2.904E-2</v>
      </c>
      <c r="K2374">
        <v>0.11616</v>
      </c>
      <c r="L2374" t="s">
        <v>5349</v>
      </c>
      <c r="M2374">
        <v>4</v>
      </c>
      <c r="N2374" t="s">
        <v>4741</v>
      </c>
      <c r="O2374" t="s">
        <v>4730</v>
      </c>
    </row>
    <row r="2375" spans="1:15" x14ac:dyDescent="0.2">
      <c r="A2375">
        <v>99</v>
      </c>
      <c r="B2375" t="s">
        <v>2117</v>
      </c>
      <c r="C2375" t="s">
        <v>1562</v>
      </c>
      <c r="D2375" t="s">
        <v>1009</v>
      </c>
      <c r="E2375" t="s">
        <v>672</v>
      </c>
      <c r="F2375">
        <v>0</v>
      </c>
      <c r="G2375">
        <v>16.489999999999998</v>
      </c>
      <c r="H2375" t="s">
        <v>151</v>
      </c>
      <c r="I2375" t="s">
        <v>1781</v>
      </c>
      <c r="J2375">
        <v>0</v>
      </c>
      <c r="K2375">
        <v>0</v>
      </c>
      <c r="L2375" t="s">
        <v>5349</v>
      </c>
      <c r="M2375">
        <v>4</v>
      </c>
      <c r="N2375" t="s">
        <v>4729</v>
      </c>
      <c r="O2375" t="s">
        <v>4730</v>
      </c>
    </row>
    <row r="2376" spans="1:15" x14ac:dyDescent="0.2">
      <c r="A2376">
        <v>99</v>
      </c>
      <c r="B2376" t="s">
        <v>2117</v>
      </c>
      <c r="C2376" t="s">
        <v>1562</v>
      </c>
      <c r="D2376" t="s">
        <v>1434</v>
      </c>
      <c r="E2376" t="s">
        <v>4737</v>
      </c>
      <c r="F2376">
        <v>10</v>
      </c>
      <c r="G2376">
        <v>123.52</v>
      </c>
      <c r="H2376" t="s">
        <v>1152</v>
      </c>
      <c r="I2376" t="s">
        <v>1781</v>
      </c>
      <c r="J2376">
        <v>1235.2</v>
      </c>
      <c r="K2376">
        <v>4940.8</v>
      </c>
      <c r="L2376" t="s">
        <v>5349</v>
      </c>
      <c r="M2376">
        <v>4</v>
      </c>
      <c r="N2376" t="s">
        <v>4738</v>
      </c>
      <c r="O2376" t="s">
        <v>4730</v>
      </c>
    </row>
    <row r="2377" spans="1:15" x14ac:dyDescent="0.2">
      <c r="A2377">
        <v>99</v>
      </c>
      <c r="B2377" t="s">
        <v>2117</v>
      </c>
      <c r="C2377" t="s">
        <v>1562</v>
      </c>
      <c r="D2377" t="s">
        <v>801</v>
      </c>
      <c r="E2377" t="s">
        <v>402</v>
      </c>
      <c r="F2377">
        <v>0</v>
      </c>
      <c r="G2377">
        <v>10.3</v>
      </c>
      <c r="H2377" t="s">
        <v>151</v>
      </c>
      <c r="I2377" t="s">
        <v>1781</v>
      </c>
      <c r="J2377">
        <v>0</v>
      </c>
      <c r="K2377">
        <v>0</v>
      </c>
      <c r="L2377" t="s">
        <v>5349</v>
      </c>
      <c r="M2377">
        <v>4</v>
      </c>
      <c r="N2377" t="s">
        <v>4731</v>
      </c>
      <c r="O2377" t="s">
        <v>4730</v>
      </c>
    </row>
    <row r="2378" spans="1:15" x14ac:dyDescent="0.2">
      <c r="A2378">
        <v>99</v>
      </c>
      <c r="B2378" t="s">
        <v>2117</v>
      </c>
      <c r="C2378" t="s">
        <v>1562</v>
      </c>
      <c r="D2378" t="s">
        <v>1282</v>
      </c>
      <c r="E2378" t="s">
        <v>4732</v>
      </c>
      <c r="F2378">
        <v>1</v>
      </c>
      <c r="G2378">
        <v>1517.91</v>
      </c>
      <c r="H2378" t="s">
        <v>1781</v>
      </c>
      <c r="I2378" t="s">
        <v>1781</v>
      </c>
      <c r="J2378">
        <v>1517.91</v>
      </c>
      <c r="K2378">
        <v>6071.64</v>
      </c>
      <c r="L2378" t="s">
        <v>5349</v>
      </c>
      <c r="M2378">
        <v>4</v>
      </c>
      <c r="N2378" t="s">
        <v>4733</v>
      </c>
      <c r="O2378" t="s">
        <v>4730</v>
      </c>
    </row>
    <row r="2379" spans="1:15" x14ac:dyDescent="0.2">
      <c r="A2379">
        <v>99</v>
      </c>
      <c r="B2379" t="s">
        <v>2117</v>
      </c>
      <c r="C2379" t="s">
        <v>1562</v>
      </c>
      <c r="D2379" t="s">
        <v>286</v>
      </c>
      <c r="E2379" t="s">
        <v>4721</v>
      </c>
      <c r="F2379">
        <v>0</v>
      </c>
      <c r="G2379">
        <v>98.87</v>
      </c>
      <c r="H2379" t="s">
        <v>742</v>
      </c>
      <c r="I2379" t="s">
        <v>1781</v>
      </c>
      <c r="J2379">
        <v>0</v>
      </c>
      <c r="K2379">
        <v>0</v>
      </c>
      <c r="L2379" t="s">
        <v>5349</v>
      </c>
      <c r="M2379">
        <v>4</v>
      </c>
      <c r="N2379" t="s">
        <v>4736</v>
      </c>
      <c r="O2379" t="s">
        <v>4730</v>
      </c>
    </row>
    <row r="2380" spans="1:15" x14ac:dyDescent="0.2">
      <c r="A2380">
        <v>99</v>
      </c>
      <c r="B2380" t="s">
        <v>2117</v>
      </c>
      <c r="C2380" t="s">
        <v>1562</v>
      </c>
      <c r="D2380" t="s">
        <v>245</v>
      </c>
      <c r="E2380" t="s">
        <v>4719</v>
      </c>
      <c r="F2380">
        <v>0</v>
      </c>
      <c r="G2380">
        <v>225.14</v>
      </c>
      <c r="H2380" t="s">
        <v>764</v>
      </c>
      <c r="I2380" t="s">
        <v>1781</v>
      </c>
      <c r="J2380">
        <v>0</v>
      </c>
      <c r="K2380">
        <v>0</v>
      </c>
      <c r="L2380" t="s">
        <v>5349</v>
      </c>
      <c r="M2380">
        <v>4</v>
      </c>
      <c r="N2380" t="s">
        <v>4735</v>
      </c>
      <c r="O2380" t="s">
        <v>4730</v>
      </c>
    </row>
    <row r="2381" spans="1:15" x14ac:dyDescent="0.2">
      <c r="A2381">
        <v>99</v>
      </c>
      <c r="B2381" t="s">
        <v>2117</v>
      </c>
      <c r="C2381" t="s">
        <v>1562</v>
      </c>
      <c r="D2381" t="s">
        <v>1384</v>
      </c>
      <c r="E2381" t="s">
        <v>896</v>
      </c>
      <c r="F2381">
        <v>13.39</v>
      </c>
      <c r="G2381">
        <v>80.42</v>
      </c>
      <c r="H2381" t="s">
        <v>1153</v>
      </c>
      <c r="I2381" t="s">
        <v>1781</v>
      </c>
      <c r="J2381">
        <v>1076.8237999999999</v>
      </c>
      <c r="K2381">
        <v>4307.2951999999996</v>
      </c>
      <c r="L2381" t="s">
        <v>5349</v>
      </c>
      <c r="M2381">
        <v>4</v>
      </c>
      <c r="N2381" t="s">
        <v>4742</v>
      </c>
      <c r="O2381" t="s">
        <v>4730</v>
      </c>
    </row>
    <row r="2382" spans="1:15" x14ac:dyDescent="0.2">
      <c r="A2382">
        <v>99</v>
      </c>
      <c r="B2382" t="s">
        <v>2117</v>
      </c>
      <c r="C2382" t="s">
        <v>1562</v>
      </c>
      <c r="D2382" t="s">
        <v>86</v>
      </c>
      <c r="E2382" t="s">
        <v>4743</v>
      </c>
      <c r="F2382">
        <v>0.71430000000000005</v>
      </c>
      <c r="G2382">
        <v>10.58</v>
      </c>
      <c r="H2382" t="s">
        <v>153</v>
      </c>
      <c r="I2382" t="s">
        <v>1781</v>
      </c>
      <c r="J2382">
        <v>7.5572939999999997</v>
      </c>
      <c r="K2382">
        <v>30.229175999999999</v>
      </c>
      <c r="L2382" t="s">
        <v>5349</v>
      </c>
      <c r="M2382">
        <v>4</v>
      </c>
      <c r="N2382" t="s">
        <v>4744</v>
      </c>
      <c r="O2382" t="s">
        <v>4730</v>
      </c>
    </row>
    <row r="2383" spans="1:15" x14ac:dyDescent="0.2">
      <c r="A2383">
        <v>99</v>
      </c>
      <c r="B2383" t="s">
        <v>2117</v>
      </c>
      <c r="C2383" t="s">
        <v>1562</v>
      </c>
      <c r="D2383" t="s">
        <v>1437</v>
      </c>
      <c r="E2383" t="s">
        <v>4739</v>
      </c>
      <c r="F2383">
        <v>1</v>
      </c>
      <c r="G2383">
        <v>254.12</v>
      </c>
      <c r="H2383" t="s">
        <v>1153</v>
      </c>
      <c r="I2383" t="s">
        <v>1781</v>
      </c>
      <c r="J2383">
        <v>254.12</v>
      </c>
      <c r="K2383">
        <v>1016.48</v>
      </c>
      <c r="L2383" t="s">
        <v>5349</v>
      </c>
      <c r="M2383">
        <v>4</v>
      </c>
      <c r="N2383" t="s">
        <v>4740</v>
      </c>
      <c r="O2383" t="s">
        <v>4730</v>
      </c>
    </row>
    <row r="2384" spans="1:15" x14ac:dyDescent="0.2">
      <c r="A2384">
        <v>99</v>
      </c>
      <c r="B2384" t="s">
        <v>2117</v>
      </c>
      <c r="C2384" t="s">
        <v>1562</v>
      </c>
      <c r="D2384" t="s">
        <v>1597</v>
      </c>
      <c r="E2384" t="s">
        <v>4745</v>
      </c>
      <c r="F2384">
        <v>18.814399999999999</v>
      </c>
      <c r="G2384">
        <v>8.09</v>
      </c>
      <c r="H2384" t="s">
        <v>1152</v>
      </c>
      <c r="I2384" t="s">
        <v>1781</v>
      </c>
      <c r="J2384">
        <v>152.208496</v>
      </c>
      <c r="K2384">
        <v>608.83398399999999</v>
      </c>
      <c r="L2384" t="s">
        <v>5349</v>
      </c>
      <c r="M2384">
        <v>4</v>
      </c>
      <c r="N2384" t="s">
        <v>4746</v>
      </c>
      <c r="O2384" t="s">
        <v>4730</v>
      </c>
    </row>
    <row r="2385" spans="1:15" x14ac:dyDescent="0.2">
      <c r="A2385">
        <v>99</v>
      </c>
      <c r="B2385" t="s">
        <v>2117</v>
      </c>
      <c r="C2385" t="s">
        <v>5350</v>
      </c>
      <c r="D2385" t="s">
        <v>5351</v>
      </c>
      <c r="E2385" t="s">
        <v>5352</v>
      </c>
      <c r="F2385">
        <v>1.05</v>
      </c>
      <c r="G2385">
        <v>104.13</v>
      </c>
      <c r="H2385" t="s">
        <v>153</v>
      </c>
      <c r="I2385" t="s">
        <v>153</v>
      </c>
      <c r="J2385">
        <v>109.3365</v>
      </c>
      <c r="K2385">
        <v>107245.98612</v>
      </c>
      <c r="L2385" t="s">
        <v>5353</v>
      </c>
      <c r="M2385">
        <v>980.88</v>
      </c>
      <c r="N2385" t="s">
        <v>5354</v>
      </c>
      <c r="O2385" t="s">
        <v>5355</v>
      </c>
    </row>
    <row r="2386" spans="1:15" x14ac:dyDescent="0.2">
      <c r="A2386">
        <v>99</v>
      </c>
      <c r="B2386" t="s">
        <v>2117</v>
      </c>
      <c r="C2386" t="s">
        <v>5350</v>
      </c>
      <c r="D2386" t="s">
        <v>5356</v>
      </c>
      <c r="E2386" t="s">
        <v>5357</v>
      </c>
      <c r="F2386">
        <v>4.1700000000000001E-2</v>
      </c>
      <c r="G2386">
        <v>22.54</v>
      </c>
      <c r="H2386" t="s">
        <v>1781</v>
      </c>
      <c r="I2386" t="s">
        <v>153</v>
      </c>
      <c r="J2386">
        <v>0.93991800000000003</v>
      </c>
      <c r="K2386">
        <v>921.94676800000002</v>
      </c>
      <c r="L2386" t="s">
        <v>5353</v>
      </c>
      <c r="M2386">
        <v>980.88</v>
      </c>
      <c r="N2386" t="s">
        <v>5358</v>
      </c>
      <c r="O2386" t="s">
        <v>5355</v>
      </c>
    </row>
    <row r="2387" spans="1:15" x14ac:dyDescent="0.2">
      <c r="A2387">
        <v>99</v>
      </c>
      <c r="B2387" t="s">
        <v>2117</v>
      </c>
      <c r="C2387" t="s">
        <v>5350</v>
      </c>
      <c r="D2387" t="s">
        <v>801</v>
      </c>
      <c r="E2387" t="s">
        <v>402</v>
      </c>
      <c r="F2387">
        <v>0</v>
      </c>
      <c r="G2387">
        <v>10.3</v>
      </c>
      <c r="H2387" t="s">
        <v>151</v>
      </c>
      <c r="I2387" t="s">
        <v>153</v>
      </c>
      <c r="J2387">
        <v>0</v>
      </c>
      <c r="K2387">
        <v>0</v>
      </c>
      <c r="L2387" t="s">
        <v>5353</v>
      </c>
      <c r="M2387">
        <v>980.88</v>
      </c>
      <c r="N2387" t="s">
        <v>5359</v>
      </c>
      <c r="O2387" t="s">
        <v>5355</v>
      </c>
    </row>
    <row r="2388" spans="1:15" x14ac:dyDescent="0.2">
      <c r="A2388">
        <v>99</v>
      </c>
      <c r="B2388" t="s">
        <v>2117</v>
      </c>
      <c r="C2388" t="s">
        <v>5350</v>
      </c>
      <c r="D2388" t="s">
        <v>5360</v>
      </c>
      <c r="E2388" t="s">
        <v>5361</v>
      </c>
      <c r="F2388">
        <v>1</v>
      </c>
      <c r="G2388">
        <v>15</v>
      </c>
      <c r="H2388" t="s">
        <v>153</v>
      </c>
      <c r="I2388" t="s">
        <v>153</v>
      </c>
      <c r="J2388">
        <v>15</v>
      </c>
      <c r="K2388">
        <v>14713.2</v>
      </c>
      <c r="L2388" t="s">
        <v>5353</v>
      </c>
      <c r="M2388">
        <v>980.88</v>
      </c>
      <c r="N2388" t="s">
        <v>5362</v>
      </c>
      <c r="O2388" t="s">
        <v>5355</v>
      </c>
    </row>
    <row r="2389" spans="1:15" x14ac:dyDescent="0.2">
      <c r="A2389">
        <v>99</v>
      </c>
      <c r="B2389" t="s">
        <v>2117</v>
      </c>
      <c r="C2389" t="s">
        <v>5350</v>
      </c>
      <c r="D2389" t="s">
        <v>498</v>
      </c>
      <c r="E2389" t="s">
        <v>773</v>
      </c>
      <c r="F2389">
        <v>1.2</v>
      </c>
      <c r="G2389">
        <v>0</v>
      </c>
      <c r="H2389" t="s">
        <v>84</v>
      </c>
      <c r="I2389" t="s">
        <v>153</v>
      </c>
      <c r="J2389">
        <v>0</v>
      </c>
      <c r="K2389">
        <v>0</v>
      </c>
      <c r="L2389" t="s">
        <v>5353</v>
      </c>
      <c r="M2389">
        <v>980.88</v>
      </c>
      <c r="N2389" t="s">
        <v>5363</v>
      </c>
      <c r="O2389" t="s">
        <v>5355</v>
      </c>
    </row>
    <row r="2390" spans="1:15" x14ac:dyDescent="0.2">
      <c r="A2390">
        <v>99</v>
      </c>
      <c r="B2390" t="s">
        <v>2117</v>
      </c>
      <c r="C2390" t="s">
        <v>5350</v>
      </c>
      <c r="D2390" t="s">
        <v>937</v>
      </c>
      <c r="E2390" t="s">
        <v>509</v>
      </c>
      <c r="F2390">
        <v>0</v>
      </c>
      <c r="G2390">
        <v>15.5</v>
      </c>
      <c r="H2390" t="s">
        <v>151</v>
      </c>
      <c r="I2390" t="s">
        <v>153</v>
      </c>
      <c r="J2390">
        <v>0</v>
      </c>
      <c r="K2390">
        <v>0</v>
      </c>
      <c r="L2390" t="s">
        <v>5353</v>
      </c>
      <c r="M2390">
        <v>980.88</v>
      </c>
      <c r="N2390" t="s">
        <v>5364</v>
      </c>
      <c r="O2390" t="s">
        <v>5355</v>
      </c>
    </row>
    <row r="2391" spans="1:15" x14ac:dyDescent="0.2">
      <c r="A2391">
        <v>99</v>
      </c>
      <c r="B2391" t="s">
        <v>2117</v>
      </c>
      <c r="C2391" t="s">
        <v>5365</v>
      </c>
      <c r="D2391" t="s">
        <v>498</v>
      </c>
      <c r="E2391" t="s">
        <v>773</v>
      </c>
      <c r="F2391">
        <v>1.2</v>
      </c>
      <c r="G2391">
        <v>0</v>
      </c>
      <c r="H2391" t="s">
        <v>84</v>
      </c>
      <c r="I2391" t="s">
        <v>1781</v>
      </c>
      <c r="J2391">
        <v>0</v>
      </c>
      <c r="K2391">
        <v>0</v>
      </c>
      <c r="L2391" t="s">
        <v>5366</v>
      </c>
      <c r="M2391">
        <v>52</v>
      </c>
      <c r="N2391" t="s">
        <v>5367</v>
      </c>
      <c r="O2391" t="s">
        <v>5368</v>
      </c>
    </row>
    <row r="2392" spans="1:15" x14ac:dyDescent="0.2">
      <c r="A2392">
        <v>99</v>
      </c>
      <c r="B2392" t="s">
        <v>2117</v>
      </c>
      <c r="C2392" t="s">
        <v>5365</v>
      </c>
      <c r="D2392" t="s">
        <v>1009</v>
      </c>
      <c r="E2392" t="s">
        <v>672</v>
      </c>
      <c r="F2392">
        <v>0</v>
      </c>
      <c r="G2392">
        <v>16.489999999999998</v>
      </c>
      <c r="H2392" t="s">
        <v>151</v>
      </c>
      <c r="I2392" t="s">
        <v>1781</v>
      </c>
      <c r="J2392">
        <v>0</v>
      </c>
      <c r="K2392">
        <v>0</v>
      </c>
      <c r="L2392" t="s">
        <v>5366</v>
      </c>
      <c r="M2392">
        <v>52</v>
      </c>
      <c r="N2392" t="s">
        <v>5369</v>
      </c>
      <c r="O2392" t="s">
        <v>5368</v>
      </c>
    </row>
    <row r="2393" spans="1:15" x14ac:dyDescent="0.2">
      <c r="A2393">
        <v>99</v>
      </c>
      <c r="B2393" t="s">
        <v>2117</v>
      </c>
      <c r="C2393" t="s">
        <v>5365</v>
      </c>
      <c r="D2393" t="s">
        <v>801</v>
      </c>
      <c r="E2393" t="s">
        <v>402</v>
      </c>
      <c r="F2393">
        <v>0</v>
      </c>
      <c r="G2393">
        <v>10.3</v>
      </c>
      <c r="H2393" t="s">
        <v>151</v>
      </c>
      <c r="I2393" t="s">
        <v>1781</v>
      </c>
      <c r="J2393">
        <v>0</v>
      </c>
      <c r="K2393">
        <v>0</v>
      </c>
      <c r="L2393" t="s">
        <v>5366</v>
      </c>
      <c r="M2393">
        <v>52</v>
      </c>
      <c r="N2393" t="s">
        <v>5370</v>
      </c>
      <c r="O2393" t="s">
        <v>5368</v>
      </c>
    </row>
    <row r="2394" spans="1:15" x14ac:dyDescent="0.2">
      <c r="A2394">
        <v>99</v>
      </c>
      <c r="B2394" t="s">
        <v>2117</v>
      </c>
      <c r="C2394" t="s">
        <v>5365</v>
      </c>
      <c r="D2394" t="s">
        <v>61</v>
      </c>
      <c r="E2394" t="s">
        <v>2490</v>
      </c>
      <c r="F2394">
        <v>0</v>
      </c>
      <c r="G2394">
        <v>36.880000000000003</v>
      </c>
      <c r="H2394" t="s">
        <v>764</v>
      </c>
      <c r="I2394" t="s">
        <v>1781</v>
      </c>
      <c r="J2394">
        <v>0</v>
      </c>
      <c r="K2394">
        <v>0</v>
      </c>
      <c r="L2394" t="s">
        <v>5366</v>
      </c>
      <c r="M2394">
        <v>52</v>
      </c>
      <c r="N2394" t="s">
        <v>5371</v>
      </c>
      <c r="O2394" t="s">
        <v>5368</v>
      </c>
    </row>
    <row r="2395" spans="1:15" x14ac:dyDescent="0.2">
      <c r="A2395">
        <v>99</v>
      </c>
      <c r="B2395" t="s">
        <v>2117</v>
      </c>
      <c r="C2395" t="s">
        <v>5365</v>
      </c>
      <c r="D2395" t="s">
        <v>1258</v>
      </c>
      <c r="E2395" t="s">
        <v>1526</v>
      </c>
      <c r="F2395">
        <v>8.4699999999999998E-2</v>
      </c>
      <c r="G2395">
        <v>148</v>
      </c>
      <c r="H2395" t="s">
        <v>1153</v>
      </c>
      <c r="I2395" t="s">
        <v>1781</v>
      </c>
      <c r="J2395">
        <v>12.535600000000001</v>
      </c>
      <c r="K2395">
        <v>651.85119999999995</v>
      </c>
      <c r="L2395" t="s">
        <v>5366</v>
      </c>
      <c r="M2395">
        <v>52</v>
      </c>
      <c r="N2395" t="s">
        <v>5372</v>
      </c>
      <c r="O2395" t="s">
        <v>5368</v>
      </c>
    </row>
    <row r="2396" spans="1:15" x14ac:dyDescent="0.2">
      <c r="A2396">
        <v>99</v>
      </c>
      <c r="B2396" t="s">
        <v>2117</v>
      </c>
      <c r="C2396" t="s">
        <v>5365</v>
      </c>
      <c r="D2396" t="s">
        <v>62</v>
      </c>
      <c r="E2396" t="s">
        <v>4668</v>
      </c>
      <c r="F2396">
        <v>0</v>
      </c>
      <c r="G2396">
        <v>29.73</v>
      </c>
      <c r="H2396" t="s">
        <v>742</v>
      </c>
      <c r="I2396" t="s">
        <v>1781</v>
      </c>
      <c r="J2396">
        <v>0</v>
      </c>
      <c r="K2396">
        <v>0</v>
      </c>
      <c r="L2396" t="s">
        <v>5366</v>
      </c>
      <c r="M2396">
        <v>52</v>
      </c>
      <c r="N2396" t="s">
        <v>5373</v>
      </c>
      <c r="O2396" t="s">
        <v>5368</v>
      </c>
    </row>
    <row r="2397" spans="1:15" x14ac:dyDescent="0.2">
      <c r="A2397">
        <v>99</v>
      </c>
      <c r="B2397" t="s">
        <v>2117</v>
      </c>
      <c r="C2397" t="s">
        <v>5365</v>
      </c>
      <c r="D2397" t="s">
        <v>5374</v>
      </c>
      <c r="E2397" t="s">
        <v>5375</v>
      </c>
      <c r="F2397">
        <v>1</v>
      </c>
      <c r="G2397">
        <v>566</v>
      </c>
      <c r="H2397" t="s">
        <v>1781</v>
      </c>
      <c r="I2397" t="s">
        <v>1781</v>
      </c>
      <c r="J2397">
        <v>566</v>
      </c>
      <c r="K2397">
        <v>29432</v>
      </c>
      <c r="L2397" t="s">
        <v>5366</v>
      </c>
      <c r="M2397">
        <v>52</v>
      </c>
      <c r="N2397" t="s">
        <v>5376</v>
      </c>
      <c r="O2397" t="s">
        <v>5368</v>
      </c>
    </row>
    <row r="2398" spans="1:15" x14ac:dyDescent="0.2">
      <c r="A2398">
        <v>99</v>
      </c>
      <c r="B2398" t="s">
        <v>2117</v>
      </c>
      <c r="C2398" t="s">
        <v>5365</v>
      </c>
      <c r="D2398" t="s">
        <v>5377</v>
      </c>
      <c r="E2398" t="s">
        <v>5378</v>
      </c>
      <c r="F2398">
        <v>1</v>
      </c>
      <c r="G2398">
        <v>150</v>
      </c>
      <c r="H2398" t="s">
        <v>1781</v>
      </c>
      <c r="I2398" t="s">
        <v>1781</v>
      </c>
      <c r="J2398">
        <v>150</v>
      </c>
      <c r="K2398">
        <v>7800</v>
      </c>
      <c r="L2398" t="s">
        <v>5366</v>
      </c>
      <c r="M2398">
        <v>52</v>
      </c>
      <c r="N2398" t="s">
        <v>5379</v>
      </c>
      <c r="O2398" t="s">
        <v>5368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B92-672E-40A0-83AD-7E3D5D30E71C}">
  <sheetPr codeName="Planilha1">
    <outlinePr summaryBelow="0"/>
    <pageSetUpPr fitToPage="1"/>
  </sheetPr>
  <dimension ref="A1:K2984"/>
  <sheetViews>
    <sheetView showGridLines="0" tabSelected="1" workbookViewId="0">
      <selection activeCell="C8" sqref="C8"/>
    </sheetView>
  </sheetViews>
  <sheetFormatPr defaultRowHeight="12.75" outlineLevelRow="1" x14ac:dyDescent="0.2"/>
  <cols>
    <col min="1" max="1" width="14.28515625" customWidth="1"/>
    <col min="2" max="2" width="16.28515625" customWidth="1"/>
    <col min="3" max="3" width="85" bestFit="1" customWidth="1" collapsed="1"/>
    <col min="4" max="4" width="9.42578125" customWidth="1"/>
    <col min="5" max="5" width="11.85546875" bestFit="1" customWidth="1"/>
    <col min="6" max="6" width="16.140625" bestFit="1" customWidth="1"/>
    <col min="7" max="7" width="23.42578125" bestFit="1" customWidth="1"/>
    <col min="8" max="8" width="11.85546875" bestFit="1" customWidth="1"/>
    <col min="9" max="9" width="9.5703125" customWidth="1" collapsed="1"/>
    <col min="10" max="10" width="9.5703125" customWidth="1"/>
    <col min="11" max="11" width="21.42578125" hidden="1" customWidth="1"/>
  </cols>
  <sheetData>
    <row r="1" spans="1:11" ht="26.25" x14ac:dyDescent="0.2">
      <c r="A1" s="40" t="s">
        <v>376</v>
      </c>
      <c r="B1" s="41"/>
      <c r="C1" s="41"/>
      <c r="D1" s="41"/>
      <c r="E1" s="41"/>
      <c r="F1" s="42"/>
      <c r="G1" s="42"/>
      <c r="H1" s="41"/>
    </row>
    <row r="2" spans="1:11" ht="19.5" x14ac:dyDescent="0.2">
      <c r="A2" s="43" t="s">
        <v>2095</v>
      </c>
      <c r="B2" s="43"/>
      <c r="C2" s="43"/>
      <c r="D2" s="35" t="s">
        <v>1987</v>
      </c>
      <c r="E2" s="35"/>
      <c r="F2" s="36">
        <f>SUM(G5,G87,G170,G268,G291,G321,G353,G503,G864,G1006,G1034,G1036,G1063,G1219,G1429,G1555,G2137,G2255,G2446,G2457,G2468,G2543,G2562,G2607,G2983)</f>
        <v>192862137.7374905</v>
      </c>
      <c r="G2" s="36"/>
      <c r="H2" s="37"/>
    </row>
    <row r="3" spans="1:11" ht="19.5" x14ac:dyDescent="0.2">
      <c r="A3" s="43" t="s">
        <v>5380</v>
      </c>
      <c r="B3" s="43"/>
      <c r="C3" s="43"/>
      <c r="D3" s="35"/>
      <c r="E3" s="35"/>
      <c r="F3" s="38"/>
      <c r="G3" s="38"/>
      <c r="H3" s="39"/>
    </row>
    <row r="4" spans="1:11" ht="30" x14ac:dyDescent="0.2">
      <c r="A4" s="1" t="s">
        <v>328</v>
      </c>
      <c r="B4" s="2" t="s">
        <v>1980</v>
      </c>
      <c r="C4" s="2" t="s">
        <v>1981</v>
      </c>
      <c r="D4" s="2" t="s">
        <v>1982</v>
      </c>
      <c r="E4" s="2" t="s">
        <v>1983</v>
      </c>
      <c r="F4" s="3" t="s">
        <v>1984</v>
      </c>
      <c r="G4" s="3" t="s">
        <v>1985</v>
      </c>
      <c r="H4" s="4" t="s">
        <v>1986</v>
      </c>
    </row>
    <row r="5" spans="1:11" ht="18.75" x14ac:dyDescent="0.2">
      <c r="A5" s="5">
        <v>1</v>
      </c>
      <c r="B5" s="5" t="s">
        <v>328</v>
      </c>
      <c r="C5" s="5" t="s">
        <v>1014</v>
      </c>
      <c r="D5" s="6"/>
      <c r="E5" s="7"/>
      <c r="F5" s="8"/>
      <c r="G5" s="9">
        <f>SUM(G6,G77,G81,G84)</f>
        <v>11955182.708583398</v>
      </c>
      <c r="H5" s="10">
        <f>G5/$F$2</f>
        <v>6.1988230810009461E-2</v>
      </c>
    </row>
    <row r="6" spans="1:11" ht="15" x14ac:dyDescent="0.2">
      <c r="A6" s="17" t="s">
        <v>1989</v>
      </c>
      <c r="B6" s="17" t="s">
        <v>328</v>
      </c>
      <c r="C6" s="17" t="s">
        <v>1014</v>
      </c>
      <c r="D6" s="18"/>
      <c r="E6" s="19"/>
      <c r="F6" s="20"/>
      <c r="G6" s="21">
        <f>SUM(G7,G13,G56)</f>
        <v>11071277.007883398</v>
      </c>
      <c r="H6" s="22">
        <f t="shared" ref="H6:H79" si="0">G6/$F$2</f>
        <v>5.7405134764983219E-2</v>
      </c>
    </row>
    <row r="7" spans="1:11" x14ac:dyDescent="0.2">
      <c r="A7" s="23" t="s">
        <v>1934</v>
      </c>
      <c r="B7" s="23" t="s">
        <v>328</v>
      </c>
      <c r="C7" s="23" t="s">
        <v>392</v>
      </c>
      <c r="D7" s="24"/>
      <c r="E7" s="25"/>
      <c r="F7" s="26"/>
      <c r="G7" s="27">
        <f>SUM(G8,G11)</f>
        <v>1352937.92</v>
      </c>
      <c r="H7" s="28">
        <f t="shared" si="0"/>
        <v>7.0150519737654142E-3</v>
      </c>
    </row>
    <row r="8" spans="1:11" outlineLevel="1" x14ac:dyDescent="0.2">
      <c r="A8" s="11" t="s">
        <v>627</v>
      </c>
      <c r="B8" s="11" t="s">
        <v>799</v>
      </c>
      <c r="C8" s="11" t="s">
        <v>366</v>
      </c>
      <c r="D8" s="12" t="s">
        <v>1170</v>
      </c>
      <c r="E8" s="13">
        <v>22</v>
      </c>
      <c r="F8" s="14">
        <v>55786.5</v>
      </c>
      <c r="G8" s="15">
        <f>SUM(G9:G10)</f>
        <v>1227303</v>
      </c>
      <c r="H8" s="16">
        <f t="shared" si="0"/>
        <v>6.3636285193028035E-3</v>
      </c>
    </row>
    <row r="9" spans="1:11" outlineLevel="1" x14ac:dyDescent="0.2">
      <c r="A9" s="29"/>
      <c r="B9" s="30" t="s">
        <v>502</v>
      </c>
      <c r="C9" s="30" t="s">
        <v>895</v>
      </c>
      <c r="D9" s="34" t="s">
        <v>1781</v>
      </c>
      <c r="E9" s="31">
        <v>1155</v>
      </c>
      <c r="F9" s="31">
        <v>525</v>
      </c>
      <c r="G9" s="32">
        <f>F9*E9</f>
        <v>606375</v>
      </c>
      <c r="H9" s="33">
        <f t="shared" si="0"/>
        <v>3.1440852368096856E-3</v>
      </c>
      <c r="K9" t="str">
        <f xml:space="preserve"> B8 &amp; B9</f>
        <v>Z000013001Z040401002</v>
      </c>
    </row>
    <row r="10" spans="1:11" outlineLevel="1" x14ac:dyDescent="0.2">
      <c r="A10" s="29"/>
      <c r="B10" s="30" t="s">
        <v>505</v>
      </c>
      <c r="C10" s="30" t="s">
        <v>955</v>
      </c>
      <c r="D10" s="34" t="s">
        <v>1781</v>
      </c>
      <c r="E10" s="31">
        <v>1155</v>
      </c>
      <c r="F10" s="31">
        <v>537.6</v>
      </c>
      <c r="G10" s="32">
        <f>F10*E10</f>
        <v>620928</v>
      </c>
      <c r="H10" s="33">
        <f t="shared" si="0"/>
        <v>3.2195432824931179E-3</v>
      </c>
      <c r="K10" t="str">
        <f xml:space="preserve"> B8 &amp; B10</f>
        <v>Z000013001Z040401003</v>
      </c>
    </row>
    <row r="11" spans="1:11" outlineLevel="1" x14ac:dyDescent="0.2">
      <c r="A11" s="11" t="s">
        <v>4801</v>
      </c>
      <c r="B11" s="11" t="s">
        <v>4798</v>
      </c>
      <c r="C11" s="11" t="s">
        <v>4800</v>
      </c>
      <c r="D11" s="12" t="s">
        <v>1170</v>
      </c>
      <c r="E11" s="13">
        <v>1</v>
      </c>
      <c r="F11" s="14">
        <v>125634.92</v>
      </c>
      <c r="G11" s="15">
        <f>SUM(G12:G12)</f>
        <v>125634.92</v>
      </c>
      <c r="H11" s="16">
        <f t="shared" ref="H11:H12" si="1">G11/$F$2</f>
        <v>6.5142345446261125E-4</v>
      </c>
    </row>
    <row r="12" spans="1:11" outlineLevel="1" x14ac:dyDescent="0.2">
      <c r="A12" s="29"/>
      <c r="B12" s="30" t="s">
        <v>4799</v>
      </c>
      <c r="C12" s="30" t="s">
        <v>4800</v>
      </c>
      <c r="D12" s="34" t="s">
        <v>1781</v>
      </c>
      <c r="E12" s="31">
        <v>1</v>
      </c>
      <c r="F12" s="31">
        <v>125634.92</v>
      </c>
      <c r="G12" s="32">
        <f>F12*E12</f>
        <v>125634.92</v>
      </c>
      <c r="H12" s="33">
        <f t="shared" si="1"/>
        <v>6.5142345446261125E-4</v>
      </c>
      <c r="K12" t="str">
        <f xml:space="preserve"> B11 &amp; B12</f>
        <v>Z000013003Z070106001</v>
      </c>
    </row>
    <row r="13" spans="1:11" x14ac:dyDescent="0.2">
      <c r="A13" s="23" t="s">
        <v>1936</v>
      </c>
      <c r="B13" s="23" t="s">
        <v>328</v>
      </c>
      <c r="C13" s="23" t="s">
        <v>1294</v>
      </c>
      <c r="D13" s="24"/>
      <c r="E13" s="25"/>
      <c r="F13" s="26"/>
      <c r="G13" s="27">
        <f>SUM(G14,G17,G20,G23,G26,G29,G31,G33,G35,G38,G40,G43,G45,G48,G51,G54)</f>
        <v>7648967.3158633988</v>
      </c>
      <c r="H13" s="28">
        <f t="shared" si="0"/>
        <v>3.9660284831409473E-2</v>
      </c>
    </row>
    <row r="14" spans="1:11" outlineLevel="1" x14ac:dyDescent="0.2">
      <c r="A14" s="11" t="s">
        <v>526</v>
      </c>
      <c r="B14" s="11" t="s">
        <v>1100</v>
      </c>
      <c r="C14" s="11" t="s">
        <v>1293</v>
      </c>
      <c r="D14" s="12" t="s">
        <v>1170</v>
      </c>
      <c r="E14" s="13">
        <v>22</v>
      </c>
      <c r="F14" s="14">
        <v>11467.360304999998</v>
      </c>
      <c r="G14" s="15">
        <f>SUM(G15:G16)</f>
        <v>252281.92670999997</v>
      </c>
      <c r="H14" s="16">
        <f t="shared" si="0"/>
        <v>1.3080946300273164E-3</v>
      </c>
    </row>
    <row r="15" spans="1:11" outlineLevel="1" x14ac:dyDescent="0.2">
      <c r="A15" s="29"/>
      <c r="B15" s="30" t="s">
        <v>192</v>
      </c>
      <c r="C15" s="30" t="s">
        <v>1903</v>
      </c>
      <c r="D15" s="34" t="s">
        <v>1170</v>
      </c>
      <c r="E15" s="31">
        <v>42.998999999999995</v>
      </c>
      <c r="F15" s="31">
        <v>2666.89</v>
      </c>
      <c r="G15" s="32">
        <f t="shared" ref="G15:G16" si="2">F15*E15</f>
        <v>114673.60310999998</v>
      </c>
      <c r="H15" s="33">
        <f t="shared" si="0"/>
        <v>5.9458846850533778E-4</v>
      </c>
      <c r="K15" t="str">
        <f xml:space="preserve"> B14 &amp; B15</f>
        <v>Z000011006Z040101005</v>
      </c>
    </row>
    <row r="16" spans="1:11" outlineLevel="1" x14ac:dyDescent="0.2">
      <c r="A16" s="29"/>
      <c r="B16" s="30" t="s">
        <v>498</v>
      </c>
      <c r="C16" s="30" t="s">
        <v>773</v>
      </c>
      <c r="D16" s="34" t="s">
        <v>84</v>
      </c>
      <c r="E16" s="31">
        <v>26.4</v>
      </c>
      <c r="F16" s="31">
        <v>5212.4364999999998</v>
      </c>
      <c r="G16" s="32">
        <f t="shared" si="2"/>
        <v>137608.32359999997</v>
      </c>
      <c r="H16" s="33">
        <f t="shared" si="0"/>
        <v>7.1350616152197855E-4</v>
      </c>
      <c r="K16" t="str">
        <f xml:space="preserve"> B14 &amp; B16</f>
        <v>Z000011006Z040401001</v>
      </c>
    </row>
    <row r="17" spans="1:11" outlineLevel="1" x14ac:dyDescent="0.2">
      <c r="A17" s="11" t="s">
        <v>4772</v>
      </c>
      <c r="B17" s="11" t="s">
        <v>1086</v>
      </c>
      <c r="C17" s="11" t="s">
        <v>772</v>
      </c>
      <c r="D17" s="12" t="s">
        <v>1170</v>
      </c>
      <c r="E17" s="13">
        <v>22</v>
      </c>
      <c r="F17" s="14">
        <v>15992.376860999999</v>
      </c>
      <c r="G17" s="15">
        <f>SUM(G18:G19)</f>
        <v>351832.29094199999</v>
      </c>
      <c r="H17" s="16">
        <f t="shared" si="0"/>
        <v>1.8242683352441512E-3</v>
      </c>
    </row>
    <row r="18" spans="1:11" outlineLevel="1" x14ac:dyDescent="0.2">
      <c r="A18" s="29"/>
      <c r="B18" s="30" t="s">
        <v>184</v>
      </c>
      <c r="C18" s="30" t="s">
        <v>567</v>
      </c>
      <c r="D18" s="34" t="s">
        <v>1170</v>
      </c>
      <c r="E18" s="31">
        <v>56.9998</v>
      </c>
      <c r="F18" s="31">
        <v>2805.69</v>
      </c>
      <c r="G18" s="32">
        <f t="shared" ref="G18:G19" si="3">F18*E18</f>
        <v>159923.768862</v>
      </c>
      <c r="H18" s="33">
        <f t="shared" si="0"/>
        <v>8.2921288096306515E-4</v>
      </c>
      <c r="K18" t="str">
        <f xml:space="preserve"> B17 &amp; B18</f>
        <v>Z000011002Z040101001</v>
      </c>
    </row>
    <row r="19" spans="1:11" outlineLevel="1" x14ac:dyDescent="0.2">
      <c r="A19" s="29"/>
      <c r="B19" s="30" t="s">
        <v>498</v>
      </c>
      <c r="C19" s="30" t="s">
        <v>773</v>
      </c>
      <c r="D19" s="34" t="s">
        <v>84</v>
      </c>
      <c r="E19" s="31">
        <v>26.4</v>
      </c>
      <c r="F19" s="31">
        <v>7269.2622000000001</v>
      </c>
      <c r="G19" s="32">
        <f t="shared" si="3"/>
        <v>191908.52208</v>
      </c>
      <c r="H19" s="33">
        <f t="shared" si="0"/>
        <v>9.9505545428108595E-4</v>
      </c>
      <c r="K19" t="str">
        <f xml:space="preserve"> B17 &amp; B19</f>
        <v>Z000011002Z040401001</v>
      </c>
    </row>
    <row r="20" spans="1:11" outlineLevel="1" x14ac:dyDescent="0.2">
      <c r="A20" s="11" t="s">
        <v>530</v>
      </c>
      <c r="B20" s="11" t="s">
        <v>1089</v>
      </c>
      <c r="C20" s="11" t="s">
        <v>1020</v>
      </c>
      <c r="D20" s="12" t="s">
        <v>1170</v>
      </c>
      <c r="E20" s="13">
        <v>22</v>
      </c>
      <c r="F20" s="14">
        <v>17081.450784000001</v>
      </c>
      <c r="G20" s="15">
        <f>SUM(G21:G22)</f>
        <v>375791.91724799998</v>
      </c>
      <c r="H20" s="16">
        <f t="shared" si="0"/>
        <v>1.9485002170799319E-3</v>
      </c>
    </row>
    <row r="21" spans="1:11" outlineLevel="1" x14ac:dyDescent="0.2">
      <c r="A21" s="29"/>
      <c r="B21" s="30" t="s">
        <v>188</v>
      </c>
      <c r="C21" s="30" t="s">
        <v>1195</v>
      </c>
      <c r="D21" s="34" t="s">
        <v>1170</v>
      </c>
      <c r="E21" s="31">
        <v>80.000799999999998</v>
      </c>
      <c r="F21" s="31">
        <v>2135.16</v>
      </c>
      <c r="G21" s="32">
        <f t="shared" ref="G21:G22" si="4">F21*E21</f>
        <v>170814.50812799999</v>
      </c>
      <c r="H21" s="33">
        <f t="shared" si="0"/>
        <v>8.8568191834780918E-4</v>
      </c>
      <c r="K21" t="str">
        <f xml:space="preserve"> B20 &amp; B21</f>
        <v>Z000011003Z040101002</v>
      </c>
    </row>
    <row r="22" spans="1:11" outlineLevel="1" x14ac:dyDescent="0.2">
      <c r="A22" s="29"/>
      <c r="B22" s="30" t="s">
        <v>498</v>
      </c>
      <c r="C22" s="30" t="s">
        <v>773</v>
      </c>
      <c r="D22" s="34" t="s">
        <v>84</v>
      </c>
      <c r="E22" s="31">
        <v>26.4</v>
      </c>
      <c r="F22" s="31">
        <v>7764.2957999999999</v>
      </c>
      <c r="G22" s="32">
        <f t="shared" si="4"/>
        <v>204977.40912</v>
      </c>
      <c r="H22" s="33">
        <f t="shared" si="0"/>
        <v>1.0628182987321229E-3</v>
      </c>
      <c r="K22" t="str">
        <f xml:space="preserve"> B20 &amp; B22</f>
        <v>Z000011003Z040401001</v>
      </c>
    </row>
    <row r="23" spans="1:11" outlineLevel="1" x14ac:dyDescent="0.2">
      <c r="A23" s="11" t="s">
        <v>533</v>
      </c>
      <c r="B23" s="11" t="s">
        <v>1103</v>
      </c>
      <c r="C23" s="11" t="s">
        <v>334</v>
      </c>
      <c r="D23" s="12" t="s">
        <v>1170</v>
      </c>
      <c r="E23" s="13">
        <v>22</v>
      </c>
      <c r="F23" s="14">
        <v>8148.5580000000009</v>
      </c>
      <c r="G23" s="15">
        <f>SUM(G24:G25)</f>
        <v>179268.27600000001</v>
      </c>
      <c r="H23" s="16">
        <f t="shared" si="0"/>
        <v>9.295151350235813E-4</v>
      </c>
    </row>
    <row r="24" spans="1:11" outlineLevel="1" x14ac:dyDescent="0.2">
      <c r="A24" s="29"/>
      <c r="B24" s="30" t="s">
        <v>196</v>
      </c>
      <c r="C24" s="30" t="s">
        <v>590</v>
      </c>
      <c r="D24" s="34" t="s">
        <v>1170</v>
      </c>
      <c r="E24" s="31">
        <v>22</v>
      </c>
      <c r="F24" s="31">
        <v>3703.89</v>
      </c>
      <c r="G24" s="32">
        <f t="shared" ref="G24:G25" si="5">F24*E24</f>
        <v>81485.58</v>
      </c>
      <c r="H24" s="33">
        <f t="shared" si="0"/>
        <v>4.2250687955617329E-4</v>
      </c>
      <c r="K24" t="str">
        <f xml:space="preserve"> B23 &amp; B24</f>
        <v>Z000011008Z040101007</v>
      </c>
    </row>
    <row r="25" spans="1:11" outlineLevel="1" x14ac:dyDescent="0.2">
      <c r="A25" s="29"/>
      <c r="B25" s="30" t="s">
        <v>498</v>
      </c>
      <c r="C25" s="30" t="s">
        <v>773</v>
      </c>
      <c r="D25" s="34" t="s">
        <v>84</v>
      </c>
      <c r="E25" s="31">
        <v>26.4</v>
      </c>
      <c r="F25" s="31">
        <v>3703.89</v>
      </c>
      <c r="G25" s="32">
        <f t="shared" si="5"/>
        <v>97782.695999999996</v>
      </c>
      <c r="H25" s="33">
        <f t="shared" si="0"/>
        <v>5.0700825546740795E-4</v>
      </c>
      <c r="K25" t="str">
        <f xml:space="preserve"> B23 &amp; B25</f>
        <v>Z000011008Z040401001</v>
      </c>
    </row>
    <row r="26" spans="1:11" outlineLevel="1" x14ac:dyDescent="0.2">
      <c r="A26" s="11" t="s">
        <v>534</v>
      </c>
      <c r="B26" s="11" t="s">
        <v>1106</v>
      </c>
      <c r="C26" s="11" t="s">
        <v>1517</v>
      </c>
      <c r="D26" s="12" t="s">
        <v>1170</v>
      </c>
      <c r="E26" s="13">
        <v>22</v>
      </c>
      <c r="F26" s="14">
        <v>26880.083999999999</v>
      </c>
      <c r="G26" s="15">
        <f>SUM(G27:G28)</f>
        <v>591361.848</v>
      </c>
      <c r="H26" s="16">
        <f t="shared" si="0"/>
        <v>3.0662412795865483E-3</v>
      </c>
    </row>
    <row r="27" spans="1:11" outlineLevel="1" x14ac:dyDescent="0.2">
      <c r="A27" s="29"/>
      <c r="B27" s="30" t="s">
        <v>199</v>
      </c>
      <c r="C27" s="30" t="s">
        <v>965</v>
      </c>
      <c r="D27" s="34" t="s">
        <v>1170</v>
      </c>
      <c r="E27" s="31">
        <v>64.000200000000007</v>
      </c>
      <c r="F27" s="31">
        <v>4200</v>
      </c>
      <c r="G27" s="32">
        <f t="shared" ref="G27:G28" si="6">F27*E27</f>
        <v>268800.84000000003</v>
      </c>
      <c r="H27" s="33">
        <f t="shared" si="0"/>
        <v>1.3937460361757039E-3</v>
      </c>
      <c r="K27" t="str">
        <f xml:space="preserve"> B26 &amp; B27</f>
        <v>Z000011009Z040101008</v>
      </c>
    </row>
    <row r="28" spans="1:11" outlineLevel="1" x14ac:dyDescent="0.2">
      <c r="A28" s="29"/>
      <c r="B28" s="30" t="s">
        <v>498</v>
      </c>
      <c r="C28" s="30" t="s">
        <v>773</v>
      </c>
      <c r="D28" s="34" t="s">
        <v>84</v>
      </c>
      <c r="E28" s="31">
        <v>26.4</v>
      </c>
      <c r="F28" s="31">
        <v>12218.22</v>
      </c>
      <c r="G28" s="32">
        <f t="shared" si="6"/>
        <v>322561.00799999997</v>
      </c>
      <c r="H28" s="33">
        <f t="shared" si="0"/>
        <v>1.6724952434108444E-3</v>
      </c>
      <c r="K28" t="str">
        <f xml:space="preserve"> B26 &amp; B28</f>
        <v>Z000011009Z040401001</v>
      </c>
    </row>
    <row r="29" spans="1:11" outlineLevel="1" x14ac:dyDescent="0.2">
      <c r="A29" s="11" t="s">
        <v>535</v>
      </c>
      <c r="B29" s="11" t="s">
        <v>4769</v>
      </c>
      <c r="C29" s="11" t="s">
        <v>4774</v>
      </c>
      <c r="D29" s="12" t="s">
        <v>1170</v>
      </c>
      <c r="E29" s="13">
        <v>22</v>
      </c>
      <c r="F29" s="14">
        <v>19500</v>
      </c>
      <c r="G29" s="15">
        <f>SUM(G30:G30)</f>
        <v>429000</v>
      </c>
      <c r="H29" s="16">
        <f t="shared" si="0"/>
        <v>2.2243868342054916E-3</v>
      </c>
    </row>
    <row r="30" spans="1:11" outlineLevel="1" x14ac:dyDescent="0.2">
      <c r="A30" s="29"/>
      <c r="B30" s="30" t="s">
        <v>4770</v>
      </c>
      <c r="C30" s="30" t="s">
        <v>4771</v>
      </c>
      <c r="D30" s="34" t="s">
        <v>84</v>
      </c>
      <c r="E30" s="31">
        <v>22</v>
      </c>
      <c r="F30" s="31">
        <v>19500</v>
      </c>
      <c r="G30" s="32">
        <f t="shared" ref="G30" si="7">F30*E30</f>
        <v>429000</v>
      </c>
      <c r="H30" s="33">
        <f t="shared" si="0"/>
        <v>2.2243868342054916E-3</v>
      </c>
      <c r="K30" t="str">
        <f xml:space="preserve"> B29 &amp; B30</f>
        <v>Z000011023Z040102008</v>
      </c>
    </row>
    <row r="31" spans="1:11" outlineLevel="1" x14ac:dyDescent="0.2">
      <c r="A31" s="11" t="s">
        <v>537</v>
      </c>
      <c r="B31" s="11" t="s">
        <v>1167</v>
      </c>
      <c r="C31" s="11" t="s">
        <v>2140</v>
      </c>
      <c r="D31" s="12" t="s">
        <v>1170</v>
      </c>
      <c r="E31" s="13">
        <v>22</v>
      </c>
      <c r="F31" s="14">
        <v>18854.652700000002</v>
      </c>
      <c r="G31" s="15">
        <f>SUM(G32:G32)</f>
        <v>414802.35940000002</v>
      </c>
      <c r="H31" s="16">
        <f t="shared" si="0"/>
        <v>2.1507713450972833E-3</v>
      </c>
    </row>
    <row r="32" spans="1:11" outlineLevel="1" x14ac:dyDescent="0.2">
      <c r="A32" s="29"/>
      <c r="B32" s="30" t="s">
        <v>81</v>
      </c>
      <c r="C32" s="30" t="s">
        <v>1711</v>
      </c>
      <c r="D32" s="34" t="s">
        <v>1170</v>
      </c>
      <c r="E32" s="31">
        <v>16.999400000000001</v>
      </c>
      <c r="F32" s="31">
        <v>24401</v>
      </c>
      <c r="G32" s="32">
        <f>F32*E32</f>
        <v>414802.35940000002</v>
      </c>
      <c r="H32" s="33">
        <f t="shared" si="0"/>
        <v>2.1507713450972833E-3</v>
      </c>
      <c r="K32" t="str">
        <f xml:space="preserve"> B31 &amp; B32</f>
        <v>Z000011018Z040102003</v>
      </c>
    </row>
    <row r="33" spans="1:11" outlineLevel="1" x14ac:dyDescent="0.2">
      <c r="A33" s="11" t="s">
        <v>538</v>
      </c>
      <c r="B33" s="11" t="s">
        <v>1160</v>
      </c>
      <c r="C33" s="11" t="s">
        <v>178</v>
      </c>
      <c r="D33" s="12" t="s">
        <v>1170</v>
      </c>
      <c r="E33" s="13">
        <v>22</v>
      </c>
      <c r="F33" s="14">
        <v>55151.41496970001</v>
      </c>
      <c r="G33" s="15">
        <f>SUM(G34:G34)</f>
        <v>1213331.1293334002</v>
      </c>
      <c r="H33" s="16">
        <f t="shared" si="0"/>
        <v>6.2911836587899676E-3</v>
      </c>
    </row>
    <row r="34" spans="1:11" outlineLevel="1" x14ac:dyDescent="0.2">
      <c r="A34" s="29"/>
      <c r="B34" s="30" t="s">
        <v>78</v>
      </c>
      <c r="C34" s="30" t="s">
        <v>728</v>
      </c>
      <c r="D34" s="34" t="s">
        <v>1170</v>
      </c>
      <c r="E34" s="31">
        <v>111.99980000000001</v>
      </c>
      <c r="F34" s="31">
        <v>10833.333000000001</v>
      </c>
      <c r="G34" s="32">
        <f>F34*E34</f>
        <v>1213331.1293334002</v>
      </c>
      <c r="H34" s="33">
        <f t="shared" si="0"/>
        <v>6.2911836587899676E-3</v>
      </c>
      <c r="K34" t="str">
        <f xml:space="preserve"> B33 &amp; B34</f>
        <v>Z000011016Z040102001</v>
      </c>
    </row>
    <row r="35" spans="1:11" outlineLevel="1" x14ac:dyDescent="0.2">
      <c r="A35" s="11" t="s">
        <v>541</v>
      </c>
      <c r="B35" s="11" t="s">
        <v>1149</v>
      </c>
      <c r="C35" s="11" t="s">
        <v>1662</v>
      </c>
      <c r="D35" s="12" t="s">
        <v>1170</v>
      </c>
      <c r="E35" s="13">
        <v>22</v>
      </c>
      <c r="F35" s="14">
        <v>50329.444680000001</v>
      </c>
      <c r="G35" s="15">
        <f>SUM(G36:G37)</f>
        <v>1107247.78296</v>
      </c>
      <c r="H35" s="16">
        <f t="shared" si="0"/>
        <v>5.7411361086700322E-3</v>
      </c>
    </row>
    <row r="36" spans="1:11" outlineLevel="1" x14ac:dyDescent="0.2">
      <c r="A36" s="29"/>
      <c r="B36" s="30" t="s">
        <v>260</v>
      </c>
      <c r="C36" s="30" t="s">
        <v>1394</v>
      </c>
      <c r="D36" s="34" t="s">
        <v>1170</v>
      </c>
      <c r="E36" s="31">
        <v>62.000399999999999</v>
      </c>
      <c r="F36" s="31">
        <v>8117.6</v>
      </c>
      <c r="G36" s="32">
        <f t="shared" ref="G36:G37" si="8">F36*E36</f>
        <v>503294.44704</v>
      </c>
      <c r="H36" s="33">
        <f t="shared" si="0"/>
        <v>2.6096073233671541E-3</v>
      </c>
      <c r="K36" t="str">
        <f xml:space="preserve"> B35 &amp; B36</f>
        <v>Z000011011Z040101010</v>
      </c>
    </row>
    <row r="37" spans="1:11" outlineLevel="1" x14ac:dyDescent="0.2">
      <c r="A37" s="29"/>
      <c r="B37" s="30" t="s">
        <v>498</v>
      </c>
      <c r="C37" s="30" t="s">
        <v>773</v>
      </c>
      <c r="D37" s="34" t="s">
        <v>84</v>
      </c>
      <c r="E37" s="31">
        <v>26.4</v>
      </c>
      <c r="F37" s="31">
        <v>22877.0203</v>
      </c>
      <c r="G37" s="32">
        <f t="shared" si="8"/>
        <v>603953.33591999998</v>
      </c>
      <c r="H37" s="33">
        <f t="shared" si="0"/>
        <v>3.131528785302878E-3</v>
      </c>
      <c r="K37" t="str">
        <f xml:space="preserve"> B35 &amp; B37</f>
        <v>Z000011011Z040401001</v>
      </c>
    </row>
    <row r="38" spans="1:11" outlineLevel="1" x14ac:dyDescent="0.2">
      <c r="A38" s="11" t="s">
        <v>574</v>
      </c>
      <c r="B38" s="11" t="s">
        <v>4764</v>
      </c>
      <c r="C38" s="11" t="s">
        <v>4768</v>
      </c>
      <c r="D38" s="12" t="s">
        <v>1170</v>
      </c>
      <c r="E38" s="13">
        <v>22</v>
      </c>
      <c r="F38" s="14">
        <v>30283.5</v>
      </c>
      <c r="G38" s="15">
        <f>SUM(G39:G39)</f>
        <v>666237</v>
      </c>
      <c r="H38" s="16">
        <f t="shared" si="0"/>
        <v>3.4544727535211288E-3</v>
      </c>
    </row>
    <row r="39" spans="1:11" outlineLevel="1" x14ac:dyDescent="0.2">
      <c r="A39" s="29"/>
      <c r="B39" s="30" t="s">
        <v>4765</v>
      </c>
      <c r="C39" s="30" t="s">
        <v>4766</v>
      </c>
      <c r="D39" s="34" t="s">
        <v>1170</v>
      </c>
      <c r="E39" s="31">
        <v>40.999200000000002</v>
      </c>
      <c r="F39" s="31">
        <v>16250</v>
      </c>
      <c r="G39" s="32">
        <f t="shared" ref="G39" si="9">F39*E39</f>
        <v>666237</v>
      </c>
      <c r="H39" s="33">
        <f t="shared" si="0"/>
        <v>3.4544727535211288E-3</v>
      </c>
      <c r="K39" t="str">
        <f xml:space="preserve"> B38 &amp; B39</f>
        <v>Z000011017Z040102002</v>
      </c>
    </row>
    <row r="40" spans="1:11" outlineLevel="1" x14ac:dyDescent="0.2">
      <c r="A40" s="11" t="s">
        <v>578</v>
      </c>
      <c r="B40" s="11" t="s">
        <v>1157</v>
      </c>
      <c r="C40" s="11" t="s">
        <v>2136</v>
      </c>
      <c r="D40" s="12" t="s">
        <v>1170</v>
      </c>
      <c r="E40" s="13">
        <v>22</v>
      </c>
      <c r="F40" s="14">
        <v>17640.083999999999</v>
      </c>
      <c r="G40" s="15">
        <f>SUM(G41:G42)</f>
        <v>388081.848</v>
      </c>
      <c r="H40" s="16">
        <f t="shared" si="0"/>
        <v>2.0122241335322538E-3</v>
      </c>
    </row>
    <row r="41" spans="1:11" outlineLevel="1" x14ac:dyDescent="0.2">
      <c r="A41" s="29"/>
      <c r="B41" s="30" t="s">
        <v>263</v>
      </c>
      <c r="C41" s="30" t="s">
        <v>2134</v>
      </c>
      <c r="D41" s="34" t="s">
        <v>1170</v>
      </c>
      <c r="E41" s="31">
        <v>42.0002</v>
      </c>
      <c r="F41" s="31">
        <v>4200</v>
      </c>
      <c r="G41" s="32">
        <f t="shared" ref="G41:G42" si="10">F41*E41</f>
        <v>176400.84</v>
      </c>
      <c r="H41" s="33">
        <f t="shared" si="0"/>
        <v>9.146473334237517E-4</v>
      </c>
      <c r="K41" t="str">
        <f xml:space="preserve"> B40 &amp; B41</f>
        <v>Z000011015Z040101014</v>
      </c>
    </row>
    <row r="42" spans="1:11" outlineLevel="1" x14ac:dyDescent="0.2">
      <c r="A42" s="29"/>
      <c r="B42" s="30" t="s">
        <v>498</v>
      </c>
      <c r="C42" s="30" t="s">
        <v>773</v>
      </c>
      <c r="D42" s="34" t="s">
        <v>84</v>
      </c>
      <c r="E42" s="31">
        <v>26.4</v>
      </c>
      <c r="F42" s="31">
        <v>8018.22</v>
      </c>
      <c r="G42" s="32">
        <f t="shared" si="10"/>
        <v>211681.008</v>
      </c>
      <c r="H42" s="33">
        <f t="shared" si="0"/>
        <v>1.0975768001085021E-3</v>
      </c>
      <c r="K42" t="str">
        <f xml:space="preserve"> B40 &amp; B42</f>
        <v>Z000011015Z040401001</v>
      </c>
    </row>
    <row r="43" spans="1:11" outlineLevel="1" x14ac:dyDescent="0.2">
      <c r="A43" s="11" t="s">
        <v>580</v>
      </c>
      <c r="B43" s="11" t="s">
        <v>1229</v>
      </c>
      <c r="C43" s="11" t="s">
        <v>1642</v>
      </c>
      <c r="D43" s="12" t="s">
        <v>1170</v>
      </c>
      <c r="E43" s="13">
        <v>22</v>
      </c>
      <c r="F43" s="14">
        <v>4194.0777850000004</v>
      </c>
      <c r="G43" s="15">
        <f>SUM(G44:G44)</f>
        <v>92269.71127</v>
      </c>
      <c r="H43" s="16">
        <f t="shared" si="0"/>
        <v>4.7842314905578107E-4</v>
      </c>
    </row>
    <row r="44" spans="1:11" outlineLevel="1" x14ac:dyDescent="0.2">
      <c r="A44" s="29"/>
      <c r="B44" s="30" t="s">
        <v>87</v>
      </c>
      <c r="C44" s="30" t="s">
        <v>257</v>
      </c>
      <c r="D44" s="34" t="s">
        <v>1170</v>
      </c>
      <c r="E44" s="31">
        <v>53.998999999999995</v>
      </c>
      <c r="F44" s="31">
        <v>1708.73</v>
      </c>
      <c r="G44" s="32">
        <f>F44*E44</f>
        <v>92269.71127</v>
      </c>
      <c r="H44" s="33">
        <f t="shared" si="0"/>
        <v>4.7842314905578107E-4</v>
      </c>
      <c r="K44" t="str">
        <f xml:space="preserve"> B43 &amp; B44</f>
        <v>Z000011021Z040102006</v>
      </c>
    </row>
    <row r="45" spans="1:11" outlineLevel="1" x14ac:dyDescent="0.2">
      <c r="A45" s="11" t="s">
        <v>581</v>
      </c>
      <c r="B45" s="11" t="s">
        <v>1097</v>
      </c>
      <c r="C45" s="11" t="s">
        <v>2124</v>
      </c>
      <c r="D45" s="12" t="s">
        <v>1170</v>
      </c>
      <c r="E45" s="13">
        <v>22</v>
      </c>
      <c r="F45" s="14">
        <v>18480.330000000002</v>
      </c>
      <c r="G45" s="15">
        <f>SUM(G46:G47)</f>
        <v>406567.26</v>
      </c>
      <c r="H45" s="16">
        <f t="shared" si="0"/>
        <v>2.1080719355780911E-3</v>
      </c>
    </row>
    <row r="46" spans="1:11" outlineLevel="1" x14ac:dyDescent="0.2">
      <c r="A46" s="29"/>
      <c r="B46" s="30" t="s">
        <v>191</v>
      </c>
      <c r="C46" s="30" t="s">
        <v>2122</v>
      </c>
      <c r="D46" s="34" t="s">
        <v>1170</v>
      </c>
      <c r="E46" s="31">
        <v>56.001000000000005</v>
      </c>
      <c r="F46" s="31">
        <v>3300</v>
      </c>
      <c r="G46" s="32">
        <f t="shared" ref="G46:G47" si="11">F46*E46</f>
        <v>184803.30000000002</v>
      </c>
      <c r="H46" s="33">
        <f t="shared" si="0"/>
        <v>9.5821451617185969E-4</v>
      </c>
      <c r="K46" t="str">
        <f xml:space="preserve"> B45 &amp; B46</f>
        <v>Z000011005Z040101004</v>
      </c>
    </row>
    <row r="47" spans="1:11" outlineLevel="1" x14ac:dyDescent="0.2">
      <c r="A47" s="29"/>
      <c r="B47" s="30" t="s">
        <v>498</v>
      </c>
      <c r="C47" s="30" t="s">
        <v>773</v>
      </c>
      <c r="D47" s="34" t="s">
        <v>84</v>
      </c>
      <c r="E47" s="31">
        <v>26.4</v>
      </c>
      <c r="F47" s="31">
        <v>8400.15</v>
      </c>
      <c r="G47" s="32">
        <f t="shared" si="11"/>
        <v>221763.96</v>
      </c>
      <c r="H47" s="33">
        <f t="shared" si="0"/>
        <v>1.1498574194062313E-3</v>
      </c>
      <c r="K47" t="str">
        <f xml:space="preserve"> B45 &amp; B47</f>
        <v>Z000011005Z040401001</v>
      </c>
    </row>
    <row r="48" spans="1:11" outlineLevel="1" x14ac:dyDescent="0.2">
      <c r="A48" s="11" t="s">
        <v>583</v>
      </c>
      <c r="B48" s="11" t="s">
        <v>4752</v>
      </c>
      <c r="C48" s="11" t="s">
        <v>4754</v>
      </c>
      <c r="D48" s="12" t="s">
        <v>1170</v>
      </c>
      <c r="E48" s="13">
        <v>22</v>
      </c>
      <c r="F48" s="14">
        <v>11608.167999999998</v>
      </c>
      <c r="G48" s="15">
        <f>SUM(G49:G50)</f>
        <v>255379.69599999997</v>
      </c>
      <c r="H48" s="16">
        <f t="shared" si="0"/>
        <v>1.3241567214587432E-3</v>
      </c>
    </row>
    <row r="49" spans="1:11" outlineLevel="1" x14ac:dyDescent="0.2">
      <c r="A49" s="29"/>
      <c r="B49" s="30" t="s">
        <v>4755</v>
      </c>
      <c r="C49" s="30" t="s">
        <v>4756</v>
      </c>
      <c r="D49" s="34" t="s">
        <v>1170</v>
      </c>
      <c r="E49" s="31">
        <v>44</v>
      </c>
      <c r="F49" s="31">
        <v>2638.22</v>
      </c>
      <c r="G49" s="32">
        <f t="shared" ref="G49:G50" si="12">F49*E49</f>
        <v>116081.68</v>
      </c>
      <c r="H49" s="33">
        <f t="shared" si="0"/>
        <v>6.0188941884488324E-4</v>
      </c>
      <c r="K49" t="str">
        <f xml:space="preserve"> B48 &amp; B49</f>
        <v>Z000011004Z040101003</v>
      </c>
    </row>
    <row r="50" spans="1:11" outlineLevel="1" x14ac:dyDescent="0.2">
      <c r="A50" s="29"/>
      <c r="B50" s="30" t="s">
        <v>498</v>
      </c>
      <c r="C50" s="30" t="s">
        <v>773</v>
      </c>
      <c r="D50" s="34" t="s">
        <v>84</v>
      </c>
      <c r="E50" s="31">
        <v>26.4</v>
      </c>
      <c r="F50" s="31">
        <v>5276.44</v>
      </c>
      <c r="G50" s="32">
        <f t="shared" si="12"/>
        <v>139298.01599999997</v>
      </c>
      <c r="H50" s="33">
        <f t="shared" si="0"/>
        <v>7.2226730261385982E-4</v>
      </c>
      <c r="K50" t="str">
        <f xml:space="preserve"> B48 &amp; B50</f>
        <v>Z000011004Z040401001</v>
      </c>
    </row>
    <row r="51" spans="1:11" outlineLevel="1" x14ac:dyDescent="0.2">
      <c r="A51" s="11" t="s">
        <v>584</v>
      </c>
      <c r="B51" s="11" t="s">
        <v>4758</v>
      </c>
      <c r="C51" s="11" t="s">
        <v>4762</v>
      </c>
      <c r="D51" s="12" t="s">
        <v>1170</v>
      </c>
      <c r="E51" s="13">
        <v>22</v>
      </c>
      <c r="F51" s="14">
        <v>17099.939999999999</v>
      </c>
      <c r="G51" s="15">
        <f>SUM(G52:G53)</f>
        <v>376198.67999999993</v>
      </c>
      <c r="H51" s="16">
        <f t="shared" ref="H51:H53" si="13">G51/$F$2</f>
        <v>1.9506093026514795E-3</v>
      </c>
    </row>
    <row r="52" spans="1:11" outlineLevel="1" x14ac:dyDescent="0.2">
      <c r="A52" s="29"/>
      <c r="B52" s="30" t="s">
        <v>4759</v>
      </c>
      <c r="C52" s="30" t="s">
        <v>4760</v>
      </c>
      <c r="D52" s="34" t="s">
        <v>1170</v>
      </c>
      <c r="E52" s="31">
        <v>56.9998</v>
      </c>
      <c r="F52" s="31">
        <v>3000</v>
      </c>
      <c r="G52" s="32">
        <f t="shared" ref="G52:G53" si="14">F52*E52</f>
        <v>170999.4</v>
      </c>
      <c r="H52" s="33">
        <f t="shared" si="13"/>
        <v>8.8664059211430893E-4</v>
      </c>
      <c r="K52" t="str">
        <f xml:space="preserve"> B51 &amp; B52</f>
        <v>Z000011007Z040101006</v>
      </c>
    </row>
    <row r="53" spans="1:11" outlineLevel="1" x14ac:dyDescent="0.2">
      <c r="A53" s="29"/>
      <c r="B53" s="30" t="s">
        <v>498</v>
      </c>
      <c r="C53" s="30" t="s">
        <v>773</v>
      </c>
      <c r="D53" s="34" t="s">
        <v>84</v>
      </c>
      <c r="E53" s="31">
        <v>26.4</v>
      </c>
      <c r="F53" s="31">
        <v>7772.7</v>
      </c>
      <c r="G53" s="32">
        <f t="shared" si="14"/>
        <v>205199.27999999997</v>
      </c>
      <c r="H53" s="33">
        <f t="shared" si="13"/>
        <v>1.0639687105371705E-3</v>
      </c>
      <c r="K53" t="str">
        <f xml:space="preserve"> B51 &amp; B53</f>
        <v>Z000011007Z040401001</v>
      </c>
    </row>
    <row r="54" spans="1:11" outlineLevel="1" x14ac:dyDescent="0.2">
      <c r="A54" s="11" t="s">
        <v>584</v>
      </c>
      <c r="B54" s="11" t="s">
        <v>4775</v>
      </c>
      <c r="C54" s="11" t="s">
        <v>4777</v>
      </c>
      <c r="D54" s="12" t="s">
        <v>1170</v>
      </c>
      <c r="E54" s="13">
        <v>1</v>
      </c>
      <c r="F54" s="14">
        <v>549315.59</v>
      </c>
      <c r="G54" s="15">
        <f>SUM(G55)</f>
        <v>549315.59</v>
      </c>
      <c r="H54" s="16">
        <f t="shared" ref="H54:H55" si="15">G54/$F$2</f>
        <v>2.8482292918876966E-3</v>
      </c>
    </row>
    <row r="55" spans="1:11" outlineLevel="1" x14ac:dyDescent="0.2">
      <c r="A55" s="29"/>
      <c r="B55" s="30" t="s">
        <v>4776</v>
      </c>
      <c r="C55" s="30" t="s">
        <v>4777</v>
      </c>
      <c r="D55" s="34" t="s">
        <v>1170</v>
      </c>
      <c r="E55" s="31">
        <v>1</v>
      </c>
      <c r="F55" s="31">
        <v>549315.59</v>
      </c>
      <c r="G55" s="32">
        <f t="shared" ref="G55" si="16">F55*E55</f>
        <v>549315.59</v>
      </c>
      <c r="H55" s="33">
        <f t="shared" si="15"/>
        <v>2.8482292918876966E-3</v>
      </c>
      <c r="K55" t="str">
        <f xml:space="preserve"> B54 &amp; B55</f>
        <v>Z000011024Z070106002</v>
      </c>
    </row>
    <row r="56" spans="1:11" x14ac:dyDescent="0.2">
      <c r="A56" s="23" t="s">
        <v>1941</v>
      </c>
      <c r="B56" s="23" t="s">
        <v>328</v>
      </c>
      <c r="C56" s="23" t="s">
        <v>1698</v>
      </c>
      <c r="D56" s="24"/>
      <c r="E56" s="25"/>
      <c r="F56" s="26"/>
      <c r="G56" s="27">
        <f>SUM(G57,G60,G63,G66,G69,G72,G75)</f>
        <v>2069371.7720199998</v>
      </c>
      <c r="H56" s="28">
        <f t="shared" si="0"/>
        <v>1.0729797959808336E-2</v>
      </c>
    </row>
    <row r="57" spans="1:11" outlineLevel="1" x14ac:dyDescent="0.2">
      <c r="A57" s="11" t="s">
        <v>422</v>
      </c>
      <c r="B57" s="11" t="s">
        <v>1013</v>
      </c>
      <c r="C57" s="11" t="s">
        <v>364</v>
      </c>
      <c r="D57" s="12" t="s">
        <v>1170</v>
      </c>
      <c r="E57" s="13">
        <v>0</v>
      </c>
      <c r="F57" s="14">
        <v>0</v>
      </c>
      <c r="G57" s="15">
        <f>SUM(G58:G59)</f>
        <v>0</v>
      </c>
      <c r="H57" s="16">
        <f t="shared" si="0"/>
        <v>0</v>
      </c>
    </row>
    <row r="58" spans="1:11" outlineLevel="1" x14ac:dyDescent="0.2">
      <c r="A58" s="29"/>
      <c r="B58" s="30" t="s">
        <v>463</v>
      </c>
      <c r="C58" s="30" t="s">
        <v>1219</v>
      </c>
      <c r="D58" s="34" t="s">
        <v>1170</v>
      </c>
      <c r="E58" s="31">
        <v>0</v>
      </c>
      <c r="F58" s="31">
        <v>3855.86</v>
      </c>
      <c r="G58" s="32">
        <f t="shared" ref="G58:G59" si="17">F58*E58</f>
        <v>0</v>
      </c>
      <c r="H58" s="33">
        <f t="shared" si="0"/>
        <v>0</v>
      </c>
      <c r="K58" t="str">
        <f xml:space="preserve"> B57 &amp; B58</f>
        <v>Z000012010Z040205009</v>
      </c>
    </row>
    <row r="59" spans="1:11" outlineLevel="1" x14ac:dyDescent="0.2">
      <c r="A59" s="29"/>
      <c r="B59" s="30" t="s">
        <v>498</v>
      </c>
      <c r="C59" s="30" t="s">
        <v>773</v>
      </c>
      <c r="D59" s="34" t="s">
        <v>84</v>
      </c>
      <c r="E59" s="31">
        <v>0</v>
      </c>
      <c r="F59" s="31">
        <v>0</v>
      </c>
      <c r="G59" s="32">
        <f t="shared" si="17"/>
        <v>0</v>
      </c>
      <c r="H59" s="33">
        <f t="shared" si="0"/>
        <v>0</v>
      </c>
      <c r="K59" t="str">
        <f xml:space="preserve"> B57 &amp; B59</f>
        <v>Z000012010Z040401001</v>
      </c>
    </row>
    <row r="60" spans="1:11" outlineLevel="1" x14ac:dyDescent="0.2">
      <c r="A60" s="11" t="s">
        <v>424</v>
      </c>
      <c r="B60" s="11" t="s">
        <v>1027</v>
      </c>
      <c r="C60" s="11" t="s">
        <v>549</v>
      </c>
      <c r="D60" s="12" t="s">
        <v>1170</v>
      </c>
      <c r="E60" s="13">
        <v>22</v>
      </c>
      <c r="F60" s="14">
        <v>13200</v>
      </c>
      <c r="G60" s="15">
        <f>SUM(G61:G62)</f>
        <v>290400</v>
      </c>
      <c r="H60" s="16">
        <f t="shared" si="0"/>
        <v>1.5057387800775637E-3</v>
      </c>
    </row>
    <row r="61" spans="1:11" outlineLevel="1" x14ac:dyDescent="0.2">
      <c r="A61" s="29"/>
      <c r="B61" s="30" t="s">
        <v>350</v>
      </c>
      <c r="C61" s="30" t="s">
        <v>1742</v>
      </c>
      <c r="D61" s="34" t="s">
        <v>1170</v>
      </c>
      <c r="E61" s="31">
        <v>44</v>
      </c>
      <c r="F61" s="31">
        <v>3000</v>
      </c>
      <c r="G61" s="32">
        <f t="shared" ref="G61:G62" si="18">F61*E61</f>
        <v>132000</v>
      </c>
      <c r="H61" s="33">
        <f t="shared" si="0"/>
        <v>6.8442671821707438E-4</v>
      </c>
      <c r="K61" t="str">
        <f xml:space="preserve"> B60 &amp; B61</f>
        <v>Z000012017Z040206001</v>
      </c>
    </row>
    <row r="62" spans="1:11" outlineLevel="1" x14ac:dyDescent="0.2">
      <c r="A62" s="29"/>
      <c r="B62" s="30" t="s">
        <v>498</v>
      </c>
      <c r="C62" s="30" t="s">
        <v>773</v>
      </c>
      <c r="D62" s="34" t="s">
        <v>84</v>
      </c>
      <c r="E62" s="31">
        <v>26.4</v>
      </c>
      <c r="F62" s="31">
        <v>6000</v>
      </c>
      <c r="G62" s="32">
        <f t="shared" si="18"/>
        <v>158400</v>
      </c>
      <c r="H62" s="33">
        <f t="shared" si="0"/>
        <v>8.2131206186048921E-4</v>
      </c>
      <c r="K62" t="str">
        <f xml:space="preserve"> B60 &amp; B62</f>
        <v>Z000012017Z040401001</v>
      </c>
    </row>
    <row r="63" spans="1:11" outlineLevel="1" x14ac:dyDescent="0.2">
      <c r="A63" s="11" t="s">
        <v>428</v>
      </c>
      <c r="B63" s="11" t="s">
        <v>4780</v>
      </c>
      <c r="C63" s="11" t="s">
        <v>4782</v>
      </c>
      <c r="D63" s="12" t="s">
        <v>1170</v>
      </c>
      <c r="E63" s="13">
        <v>22</v>
      </c>
      <c r="F63" s="14">
        <v>7150</v>
      </c>
      <c r="G63" s="15">
        <f>SUM(G64:G65)</f>
        <v>157300</v>
      </c>
      <c r="H63" s="16">
        <f t="shared" si="0"/>
        <v>8.1560850587534693E-4</v>
      </c>
    </row>
    <row r="64" spans="1:11" outlineLevel="1" x14ac:dyDescent="0.2">
      <c r="A64" s="29"/>
      <c r="B64" s="30" t="s">
        <v>4783</v>
      </c>
      <c r="C64" s="30" t="s">
        <v>4784</v>
      </c>
      <c r="D64" s="34" t="s">
        <v>1170</v>
      </c>
      <c r="E64" s="31">
        <v>22</v>
      </c>
      <c r="F64" s="31">
        <v>3250</v>
      </c>
      <c r="G64" s="32">
        <f t="shared" ref="G64:G65" si="19">F64*E64</f>
        <v>71500</v>
      </c>
      <c r="H64" s="33">
        <f t="shared" si="0"/>
        <v>3.7073113903424864E-4</v>
      </c>
      <c r="K64" t="str">
        <f xml:space="preserve"> B63 &amp; B64</f>
        <v>Z000012005Z040205004</v>
      </c>
    </row>
    <row r="65" spans="1:11" outlineLevel="1" x14ac:dyDescent="0.2">
      <c r="A65" s="29"/>
      <c r="B65" s="30" t="s">
        <v>498</v>
      </c>
      <c r="C65" s="30" t="s">
        <v>773</v>
      </c>
      <c r="D65" s="34" t="s">
        <v>84</v>
      </c>
      <c r="E65" s="31">
        <v>26.4</v>
      </c>
      <c r="F65" s="31">
        <v>3250</v>
      </c>
      <c r="G65" s="32">
        <f t="shared" si="19"/>
        <v>85800</v>
      </c>
      <c r="H65" s="33">
        <f t="shared" si="0"/>
        <v>4.4487736684109834E-4</v>
      </c>
      <c r="K65" t="str">
        <f xml:space="preserve"> B63 &amp; B65</f>
        <v>Z000012005Z040401001</v>
      </c>
    </row>
    <row r="66" spans="1:11" outlineLevel="1" x14ac:dyDescent="0.2">
      <c r="A66" s="11" t="s">
        <v>429</v>
      </c>
      <c r="B66" s="11" t="s">
        <v>1088</v>
      </c>
      <c r="C66" s="11" t="s">
        <v>1041</v>
      </c>
      <c r="D66" s="12" t="s">
        <v>1170</v>
      </c>
      <c r="E66" s="13">
        <v>22</v>
      </c>
      <c r="F66" s="14">
        <v>13200</v>
      </c>
      <c r="G66" s="15">
        <f>SUM(G67:G68)</f>
        <v>290400</v>
      </c>
      <c r="H66" s="16">
        <f t="shared" si="0"/>
        <v>1.5057387800775637E-3</v>
      </c>
    </row>
    <row r="67" spans="1:11" outlineLevel="1" x14ac:dyDescent="0.2">
      <c r="A67" s="29"/>
      <c r="B67" s="30" t="s">
        <v>355</v>
      </c>
      <c r="C67" s="30" t="s">
        <v>677</v>
      </c>
      <c r="D67" s="34" t="s">
        <v>1170</v>
      </c>
      <c r="E67" s="31">
        <v>44</v>
      </c>
      <c r="F67" s="31">
        <v>3000</v>
      </c>
      <c r="G67" s="32">
        <f t="shared" ref="G67:G68" si="20">F67*E67</f>
        <v>132000</v>
      </c>
      <c r="H67" s="33">
        <f t="shared" si="0"/>
        <v>6.8442671821707438E-4</v>
      </c>
      <c r="K67" t="str">
        <f xml:space="preserve"> B66 &amp; B67</f>
        <v>Z000012020Z040206004</v>
      </c>
    </row>
    <row r="68" spans="1:11" outlineLevel="1" x14ac:dyDescent="0.2">
      <c r="A68" s="29"/>
      <c r="B68" s="30" t="s">
        <v>498</v>
      </c>
      <c r="C68" s="30" t="s">
        <v>773</v>
      </c>
      <c r="D68" s="34" t="s">
        <v>84</v>
      </c>
      <c r="E68" s="31">
        <v>26.4</v>
      </c>
      <c r="F68" s="31">
        <v>6000</v>
      </c>
      <c r="G68" s="32">
        <f t="shared" si="20"/>
        <v>158400</v>
      </c>
      <c r="H68" s="33">
        <f t="shared" si="0"/>
        <v>8.2131206186048921E-4</v>
      </c>
      <c r="K68" t="str">
        <f xml:space="preserve"> B66 &amp; B68</f>
        <v>Z000012020Z040401001</v>
      </c>
    </row>
    <row r="69" spans="1:11" outlineLevel="1" x14ac:dyDescent="0.2">
      <c r="A69" s="11" t="s">
        <v>433</v>
      </c>
      <c r="B69" s="11" t="s">
        <v>1094</v>
      </c>
      <c r="C69" s="11" t="s">
        <v>92</v>
      </c>
      <c r="D69" s="12" t="s">
        <v>1170</v>
      </c>
      <c r="E69" s="13">
        <v>22</v>
      </c>
      <c r="F69" s="14">
        <v>48271.99190999999</v>
      </c>
      <c r="G69" s="15">
        <f>SUM(G70:G71)</f>
        <v>1061983.8220199998</v>
      </c>
      <c r="H69" s="16">
        <f t="shared" si="0"/>
        <v>5.5064401674604097E-3</v>
      </c>
    </row>
    <row r="70" spans="1:11" outlineLevel="1" x14ac:dyDescent="0.2">
      <c r="A70" s="29"/>
      <c r="B70" s="30" t="s">
        <v>657</v>
      </c>
      <c r="C70" s="30" t="s">
        <v>736</v>
      </c>
      <c r="D70" s="34" t="s">
        <v>1170</v>
      </c>
      <c r="E70" s="31">
        <v>207.999</v>
      </c>
      <c r="F70" s="31">
        <v>2320.7800000000002</v>
      </c>
      <c r="G70" s="32">
        <f t="shared" ref="G70:G71" si="21">F70*E70</f>
        <v>482719.91922000004</v>
      </c>
      <c r="H70" s="33">
        <f t="shared" si="0"/>
        <v>2.5029273494678477E-3</v>
      </c>
      <c r="K70" t="str">
        <f xml:space="preserve"> B69 &amp; B70</f>
        <v>Z000012021Z040203001</v>
      </c>
    </row>
    <row r="71" spans="1:11" outlineLevel="1" x14ac:dyDescent="0.2">
      <c r="A71" s="29"/>
      <c r="B71" s="30" t="s">
        <v>498</v>
      </c>
      <c r="C71" s="30" t="s">
        <v>773</v>
      </c>
      <c r="D71" s="34" t="s">
        <v>84</v>
      </c>
      <c r="E71" s="31">
        <v>26.4</v>
      </c>
      <c r="F71" s="31">
        <v>21941.8145</v>
      </c>
      <c r="G71" s="32">
        <f t="shared" si="21"/>
        <v>579263.90279999992</v>
      </c>
      <c r="H71" s="33">
        <f t="shared" si="0"/>
        <v>3.0035128179925629E-3</v>
      </c>
      <c r="K71" t="str">
        <f xml:space="preserve"> B69 &amp; B71</f>
        <v>Z000012021Z040401001</v>
      </c>
    </row>
    <row r="72" spans="1:11" outlineLevel="1" x14ac:dyDescent="0.2">
      <c r="A72" s="11" t="s">
        <v>4792</v>
      </c>
      <c r="B72" s="11" t="s">
        <v>4786</v>
      </c>
      <c r="C72" s="11" t="s">
        <v>4790</v>
      </c>
      <c r="D72" s="12" t="s">
        <v>1170</v>
      </c>
      <c r="E72" s="13">
        <v>22</v>
      </c>
      <c r="F72" s="14">
        <v>8084.6149999999989</v>
      </c>
      <c r="G72" s="15">
        <f>SUM(G73:G74)</f>
        <v>177861.52999999997</v>
      </c>
      <c r="H72" s="16">
        <f t="shared" ref="H72:H74" si="22">G72/$F$2</f>
        <v>9.2222108541642196E-4</v>
      </c>
    </row>
    <row r="73" spans="1:11" outlineLevel="1" x14ac:dyDescent="0.2">
      <c r="A73" s="29"/>
      <c r="B73" s="30" t="s">
        <v>4787</v>
      </c>
      <c r="C73" s="30" t="s">
        <v>4788</v>
      </c>
      <c r="D73" s="34" t="s">
        <v>1170</v>
      </c>
      <c r="E73" s="31">
        <v>20.998999999999999</v>
      </c>
      <c r="F73" s="31">
        <v>3850</v>
      </c>
      <c r="G73" s="32">
        <f t="shared" ref="G73:G74" si="23">F73*E73</f>
        <v>80846.149999999994</v>
      </c>
      <c r="H73" s="33">
        <f t="shared" si="22"/>
        <v>4.1919140246201003E-4</v>
      </c>
      <c r="K73" t="str">
        <f xml:space="preserve"> B72 &amp; B73</f>
        <v>Z000012006Z040205005</v>
      </c>
    </row>
    <row r="74" spans="1:11" outlineLevel="1" x14ac:dyDescent="0.2">
      <c r="A74" s="29"/>
      <c r="B74" s="30" t="s">
        <v>498</v>
      </c>
      <c r="C74" s="30" t="s">
        <v>773</v>
      </c>
      <c r="D74" s="34" t="s">
        <v>84</v>
      </c>
      <c r="E74" s="31">
        <v>26.4</v>
      </c>
      <c r="F74" s="31">
        <v>3674.8249999999998</v>
      </c>
      <c r="G74" s="32">
        <f t="shared" si="23"/>
        <v>97015.37999999999</v>
      </c>
      <c r="H74" s="33">
        <f t="shared" si="22"/>
        <v>5.0302968295441199E-4</v>
      </c>
      <c r="K74" t="str">
        <f xml:space="preserve"> B72 &amp; B74</f>
        <v>Z000012006Z040401001</v>
      </c>
    </row>
    <row r="75" spans="1:11" outlineLevel="1" x14ac:dyDescent="0.2">
      <c r="A75" s="11" t="s">
        <v>4796</v>
      </c>
      <c r="B75" s="11" t="s">
        <v>4793</v>
      </c>
      <c r="C75" s="11" t="s">
        <v>4795</v>
      </c>
      <c r="D75" s="12" t="s">
        <v>1170</v>
      </c>
      <c r="E75" s="13">
        <v>1</v>
      </c>
      <c r="F75" s="14">
        <v>91426.42</v>
      </c>
      <c r="G75" s="15">
        <f>SUM(G76)</f>
        <v>91426.42</v>
      </c>
      <c r="H75" s="16">
        <f t="shared" ref="H75:H76" si="24">G75/$F$2</f>
        <v>4.7405064090102946E-4</v>
      </c>
    </row>
    <row r="76" spans="1:11" outlineLevel="1" x14ac:dyDescent="0.2">
      <c r="A76" s="29"/>
      <c r="B76" s="30" t="s">
        <v>4794</v>
      </c>
      <c r="C76" s="30" t="s">
        <v>4795</v>
      </c>
      <c r="D76" s="34" t="s">
        <v>1170</v>
      </c>
      <c r="E76" s="31">
        <v>1</v>
      </c>
      <c r="F76" s="31">
        <v>91426.42</v>
      </c>
      <c r="G76" s="32">
        <f t="shared" ref="G76" si="25">F76*E76</f>
        <v>91426.42</v>
      </c>
      <c r="H76" s="33">
        <f t="shared" si="24"/>
        <v>4.7405064090102946E-4</v>
      </c>
      <c r="K76" t="str">
        <f xml:space="preserve"> B75 &amp; B76</f>
        <v>Z000012024Z070106003</v>
      </c>
    </row>
    <row r="77" spans="1:11" ht="15" x14ac:dyDescent="0.2">
      <c r="A77" s="17" t="s">
        <v>1988</v>
      </c>
      <c r="B77" s="17" t="s">
        <v>328</v>
      </c>
      <c r="C77" s="17" t="s">
        <v>38</v>
      </c>
      <c r="D77" s="18"/>
      <c r="E77" s="19"/>
      <c r="F77" s="20"/>
      <c r="G77" s="21">
        <f>SUM(G78)</f>
        <v>788653.20069999993</v>
      </c>
      <c r="H77" s="22">
        <f t="shared" si="0"/>
        <v>4.0892069845946417E-3</v>
      </c>
    </row>
    <row r="78" spans="1:11" outlineLevel="1" x14ac:dyDescent="0.2">
      <c r="A78" s="11" t="s">
        <v>1820</v>
      </c>
      <c r="B78" s="11" t="s">
        <v>670</v>
      </c>
      <c r="C78" s="11" t="s">
        <v>248</v>
      </c>
      <c r="D78" s="12" t="s">
        <v>1152</v>
      </c>
      <c r="E78" s="13">
        <v>21263.23</v>
      </c>
      <c r="F78" s="14">
        <v>37.089999999999996</v>
      </c>
      <c r="G78" s="15">
        <f>SUM(G79:G80)</f>
        <v>788653.20069999993</v>
      </c>
      <c r="H78" s="16">
        <f t="shared" si="0"/>
        <v>4.0892069845946417E-3</v>
      </c>
    </row>
    <row r="79" spans="1:11" outlineLevel="1" x14ac:dyDescent="0.2">
      <c r="A79" s="29"/>
      <c r="B79" s="30" t="s">
        <v>570</v>
      </c>
      <c r="C79" s="30" t="s">
        <v>240</v>
      </c>
      <c r="D79" s="34" t="s">
        <v>1819</v>
      </c>
      <c r="E79" s="31">
        <v>21263.23</v>
      </c>
      <c r="F79" s="31">
        <v>10.09</v>
      </c>
      <c r="G79" s="32">
        <f t="shared" ref="G79:G80" si="26">F79*E79</f>
        <v>214545.99069999999</v>
      </c>
      <c r="H79" s="33">
        <f t="shared" si="0"/>
        <v>1.1124318812229693E-3</v>
      </c>
      <c r="K79" t="str">
        <f xml:space="preserve"> B78 &amp; B79</f>
        <v>Z000014001Z070103001</v>
      </c>
    </row>
    <row r="80" spans="1:11" outlineLevel="1" x14ac:dyDescent="0.2">
      <c r="A80" s="29"/>
      <c r="B80" s="30" t="s">
        <v>573</v>
      </c>
      <c r="C80" s="30" t="s">
        <v>1717</v>
      </c>
      <c r="D80" s="34" t="s">
        <v>1819</v>
      </c>
      <c r="E80" s="31">
        <v>21263.23</v>
      </c>
      <c r="F80" s="31">
        <v>27</v>
      </c>
      <c r="G80" s="32">
        <f t="shared" si="26"/>
        <v>574107.21</v>
      </c>
      <c r="H80" s="33">
        <f t="shared" ref="H80:H139" si="27">G80/$F$2</f>
        <v>2.976775103371672E-3</v>
      </c>
      <c r="K80" t="str">
        <f xml:space="preserve"> B78 &amp; B80</f>
        <v>Z000014001Z070103002</v>
      </c>
    </row>
    <row r="81" spans="1:11" ht="15" x14ac:dyDescent="0.2">
      <c r="A81" s="17" t="s">
        <v>1990</v>
      </c>
      <c r="B81" s="17" t="s">
        <v>328</v>
      </c>
      <c r="C81" s="17" t="s">
        <v>604</v>
      </c>
      <c r="D81" s="18"/>
      <c r="E81" s="19"/>
      <c r="F81" s="20"/>
      <c r="G81" s="21">
        <f>SUM(G82)</f>
        <v>79852.5</v>
      </c>
      <c r="H81" s="22">
        <f t="shared" si="27"/>
        <v>4.1403927663961312E-4</v>
      </c>
    </row>
    <row r="82" spans="1:11" outlineLevel="1" x14ac:dyDescent="0.2">
      <c r="A82" s="11" t="s">
        <v>1673</v>
      </c>
      <c r="B82" s="11" t="s">
        <v>552</v>
      </c>
      <c r="C82" s="11" t="s">
        <v>589</v>
      </c>
      <c r="D82" s="12" t="s">
        <v>1781</v>
      </c>
      <c r="E82" s="13">
        <v>52.5</v>
      </c>
      <c r="F82" s="14">
        <v>1521</v>
      </c>
      <c r="G82" s="15">
        <f>SUM(G83:G83)</f>
        <v>79852.5</v>
      </c>
      <c r="H82" s="16">
        <f t="shared" si="27"/>
        <v>4.1403927663961312E-4</v>
      </c>
    </row>
    <row r="83" spans="1:11" outlineLevel="1" x14ac:dyDescent="0.2">
      <c r="A83" s="29"/>
      <c r="B83" s="30" t="s">
        <v>474</v>
      </c>
      <c r="C83" s="30" t="s">
        <v>589</v>
      </c>
      <c r="D83" s="34" t="s">
        <v>1819</v>
      </c>
      <c r="E83" s="31">
        <v>136.5</v>
      </c>
      <c r="F83" s="31">
        <v>585</v>
      </c>
      <c r="G83" s="32">
        <f>F83*E83</f>
        <v>79852.5</v>
      </c>
      <c r="H83" s="33">
        <f t="shared" si="27"/>
        <v>4.1403927663961312E-4</v>
      </c>
      <c r="K83" t="str">
        <f xml:space="preserve"> B82 &amp; B83</f>
        <v>Z000015001Z070104001</v>
      </c>
    </row>
    <row r="84" spans="1:11" ht="15" x14ac:dyDescent="0.2">
      <c r="A84" s="17" t="s">
        <v>1991</v>
      </c>
      <c r="B84" s="17" t="s">
        <v>328</v>
      </c>
      <c r="C84" s="17" t="s">
        <v>73</v>
      </c>
      <c r="D84" s="18"/>
      <c r="E84" s="19"/>
      <c r="F84" s="20"/>
      <c r="G84" s="21">
        <f>SUM(G85)</f>
        <v>15400</v>
      </c>
      <c r="H84" s="22">
        <f t="shared" si="27"/>
        <v>7.9849783791992017E-5</v>
      </c>
    </row>
    <row r="85" spans="1:11" outlineLevel="1" x14ac:dyDescent="0.2">
      <c r="A85" s="11" t="s">
        <v>1529</v>
      </c>
      <c r="B85" s="11" t="s">
        <v>457</v>
      </c>
      <c r="C85" s="11" t="s">
        <v>757</v>
      </c>
      <c r="D85" s="12" t="s">
        <v>1170</v>
      </c>
      <c r="E85" s="13">
        <v>22</v>
      </c>
      <c r="F85" s="14">
        <v>700</v>
      </c>
      <c r="G85" s="15">
        <f>SUM(G86:G86)</f>
        <v>15400</v>
      </c>
      <c r="H85" s="16">
        <f t="shared" si="27"/>
        <v>7.9849783791992017E-5</v>
      </c>
    </row>
    <row r="86" spans="1:11" outlineLevel="1" x14ac:dyDescent="0.2">
      <c r="A86" s="29"/>
      <c r="B86" s="30" t="s">
        <v>375</v>
      </c>
      <c r="C86" s="30" t="s">
        <v>757</v>
      </c>
      <c r="D86" s="34" t="s">
        <v>1170</v>
      </c>
      <c r="E86" s="31">
        <v>22</v>
      </c>
      <c r="F86" s="31">
        <v>700</v>
      </c>
      <c r="G86" s="32">
        <f>F86*E86</f>
        <v>15400</v>
      </c>
      <c r="H86" s="33">
        <f t="shared" si="27"/>
        <v>7.9849783791992017E-5</v>
      </c>
      <c r="K86" t="str">
        <f xml:space="preserve"> B85 &amp; B86</f>
        <v>Z000016001Z070105001</v>
      </c>
    </row>
    <row r="87" spans="1:11" ht="18.75" x14ac:dyDescent="0.2">
      <c r="A87" s="5">
        <v>2</v>
      </c>
      <c r="B87" s="5" t="s">
        <v>328</v>
      </c>
      <c r="C87" s="5" t="s">
        <v>2096</v>
      </c>
      <c r="D87" s="6"/>
      <c r="E87" s="7"/>
      <c r="F87" s="8"/>
      <c r="G87" s="9">
        <f>SUM(G88,G91,G94,G121,G147,G159)</f>
        <v>4506811.3729259996</v>
      </c>
      <c r="H87" s="10">
        <f t="shared" si="27"/>
        <v>2.3368046345417646E-2</v>
      </c>
    </row>
    <row r="88" spans="1:11" ht="15" x14ac:dyDescent="0.2">
      <c r="A88" s="17" t="s">
        <v>1992</v>
      </c>
      <c r="B88" s="17" t="s">
        <v>328</v>
      </c>
      <c r="C88" s="17" t="s">
        <v>1558</v>
      </c>
      <c r="D88" s="18"/>
      <c r="E88" s="19"/>
      <c r="F88" s="20"/>
      <c r="G88" s="21">
        <f>SUM(G89)</f>
        <v>35800</v>
      </c>
      <c r="H88" s="22">
        <f t="shared" si="27"/>
        <v>1.856248220619035E-4</v>
      </c>
    </row>
    <row r="89" spans="1:11" outlineLevel="1" x14ac:dyDescent="0.2">
      <c r="A89" s="11" t="s">
        <v>1870</v>
      </c>
      <c r="B89" s="11" t="s">
        <v>892</v>
      </c>
      <c r="C89" s="11" t="s">
        <v>768</v>
      </c>
      <c r="D89" s="12" t="s">
        <v>1819</v>
      </c>
      <c r="E89" s="13">
        <v>1</v>
      </c>
      <c r="F89" s="14">
        <v>35800</v>
      </c>
      <c r="G89" s="15">
        <f>SUM(G90:G90)</f>
        <v>35800</v>
      </c>
      <c r="H89" s="16">
        <f t="shared" si="27"/>
        <v>1.856248220619035E-4</v>
      </c>
    </row>
    <row r="90" spans="1:11" outlineLevel="1" x14ac:dyDescent="0.2">
      <c r="A90" s="29"/>
      <c r="B90" s="30" t="s">
        <v>1661</v>
      </c>
      <c r="C90" s="30" t="s">
        <v>1558</v>
      </c>
      <c r="D90" s="34" t="s">
        <v>1819</v>
      </c>
      <c r="E90" s="31">
        <v>1</v>
      </c>
      <c r="F90" s="31">
        <v>35800</v>
      </c>
      <c r="G90" s="32">
        <f>F90*E90</f>
        <v>35800</v>
      </c>
      <c r="H90" s="33">
        <f t="shared" si="27"/>
        <v>1.856248220619035E-4</v>
      </c>
      <c r="K90" t="str">
        <f xml:space="preserve"> B89 &amp; B90</f>
        <v>Z000021001Z070201001</v>
      </c>
    </row>
    <row r="91" spans="1:11" ht="15" x14ac:dyDescent="0.2">
      <c r="A91" s="17" t="s">
        <v>1993</v>
      </c>
      <c r="B91" s="17" t="s">
        <v>328</v>
      </c>
      <c r="C91" s="17" t="s">
        <v>561</v>
      </c>
      <c r="D91" s="18"/>
      <c r="E91" s="19"/>
      <c r="F91" s="20"/>
      <c r="G91" s="21">
        <f>SUM(G92)</f>
        <v>100753.86</v>
      </c>
      <c r="H91" s="22">
        <f t="shared" si="27"/>
        <v>5.2241389202653456E-4</v>
      </c>
    </row>
    <row r="92" spans="1:11" outlineLevel="1" x14ac:dyDescent="0.2">
      <c r="A92" s="11" t="s">
        <v>1764</v>
      </c>
      <c r="B92" s="11" t="s">
        <v>755</v>
      </c>
      <c r="C92" s="11" t="s">
        <v>561</v>
      </c>
      <c r="D92" s="12" t="s">
        <v>1819</v>
      </c>
      <c r="E92" s="13">
        <v>1</v>
      </c>
      <c r="F92" s="14">
        <v>100753.86</v>
      </c>
      <c r="G92" s="15">
        <f>SUM(G93:G93)</f>
        <v>100753.86</v>
      </c>
      <c r="H92" s="16">
        <f t="shared" si="27"/>
        <v>5.2241389202653456E-4</v>
      </c>
    </row>
    <row r="93" spans="1:11" outlineLevel="1" x14ac:dyDescent="0.2">
      <c r="A93" s="29"/>
      <c r="B93" s="30" t="s">
        <v>1522</v>
      </c>
      <c r="C93" s="30" t="s">
        <v>561</v>
      </c>
      <c r="D93" s="34" t="s">
        <v>1819</v>
      </c>
      <c r="E93" s="31">
        <v>1</v>
      </c>
      <c r="F93" s="31">
        <v>100753.86</v>
      </c>
      <c r="G93" s="32">
        <f>F93*E93</f>
        <v>100753.86</v>
      </c>
      <c r="H93" s="33">
        <f t="shared" si="27"/>
        <v>5.2241389202653456E-4</v>
      </c>
      <c r="K93" t="str">
        <f xml:space="preserve"> B92 &amp; B93</f>
        <v>Z000022001Z070202001</v>
      </c>
    </row>
    <row r="94" spans="1:11" ht="15" x14ac:dyDescent="0.2">
      <c r="A94" s="17" t="s">
        <v>1994</v>
      </c>
      <c r="B94" s="17" t="s">
        <v>328</v>
      </c>
      <c r="C94" s="17" t="s">
        <v>514</v>
      </c>
      <c r="D94" s="18"/>
      <c r="E94" s="19"/>
      <c r="F94" s="20"/>
      <c r="G94" s="21">
        <f>SUM(G95,G103,G107,G115,G118)</f>
        <v>606802.90999999992</v>
      </c>
      <c r="H94" s="22">
        <f t="shared" si="27"/>
        <v>3.1463039719384143E-3</v>
      </c>
    </row>
    <row r="95" spans="1:11" outlineLevel="1" x14ac:dyDescent="0.2">
      <c r="A95" s="11" t="s">
        <v>1610</v>
      </c>
      <c r="B95" s="11" t="s">
        <v>636</v>
      </c>
      <c r="C95" s="11" t="s">
        <v>1812</v>
      </c>
      <c r="D95" s="12" t="s">
        <v>1819</v>
      </c>
      <c r="E95" s="13">
        <v>1</v>
      </c>
      <c r="F95" s="14">
        <v>35371.089999999997</v>
      </c>
      <c r="G95" s="15">
        <f>SUM(G96:G102)</f>
        <v>35371.089999999997</v>
      </c>
      <c r="H95" s="16">
        <f t="shared" si="27"/>
        <v>1.8340090188227859E-4</v>
      </c>
    </row>
    <row r="96" spans="1:11" outlineLevel="1" x14ac:dyDescent="0.2">
      <c r="A96" s="29"/>
      <c r="B96" s="30" t="s">
        <v>1387</v>
      </c>
      <c r="C96" s="30" t="s">
        <v>1932</v>
      </c>
      <c r="D96" s="34" t="s">
        <v>1819</v>
      </c>
      <c r="E96" s="31">
        <v>1</v>
      </c>
      <c r="F96" s="31">
        <v>9671.09</v>
      </c>
      <c r="G96" s="32">
        <f t="shared" ref="G96:G102" si="28">F96*E96</f>
        <v>9671.09</v>
      </c>
      <c r="H96" s="33">
        <f t="shared" si="27"/>
        <v>5.014509386577247E-5</v>
      </c>
      <c r="K96" t="str">
        <f xml:space="preserve"> B95 &amp; B96</f>
        <v>Z000023002Z070203003</v>
      </c>
    </row>
    <row r="97" spans="1:11" outlineLevel="1" x14ac:dyDescent="0.2">
      <c r="A97" s="29"/>
      <c r="B97" s="30" t="s">
        <v>1393</v>
      </c>
      <c r="C97" s="30" t="s">
        <v>562</v>
      </c>
      <c r="D97" s="34" t="s">
        <v>1819</v>
      </c>
      <c r="E97" s="31">
        <v>1</v>
      </c>
      <c r="F97" s="31">
        <v>5000</v>
      </c>
      <c r="G97" s="32">
        <f t="shared" si="28"/>
        <v>5000</v>
      </c>
      <c r="H97" s="33">
        <f t="shared" si="27"/>
        <v>2.5925254477919484E-5</v>
      </c>
      <c r="K97" t="str">
        <f xml:space="preserve"> B95 &amp; B97</f>
        <v>Z000023002Z070203005</v>
      </c>
    </row>
    <row r="98" spans="1:11" outlineLevel="1" x14ac:dyDescent="0.2">
      <c r="A98" s="29"/>
      <c r="B98" s="30" t="s">
        <v>1397</v>
      </c>
      <c r="C98" s="30" t="s">
        <v>146</v>
      </c>
      <c r="D98" s="34" t="s">
        <v>1819</v>
      </c>
      <c r="E98" s="31">
        <v>1</v>
      </c>
      <c r="F98" s="31">
        <v>5000</v>
      </c>
      <c r="G98" s="32">
        <f t="shared" si="28"/>
        <v>5000</v>
      </c>
      <c r="H98" s="33">
        <f t="shared" si="27"/>
        <v>2.5925254477919484E-5</v>
      </c>
      <c r="K98" t="str">
        <f xml:space="preserve"> B95 &amp; B98</f>
        <v>Z000023002Z070203006</v>
      </c>
    </row>
    <row r="99" spans="1:11" outlineLevel="1" x14ac:dyDescent="0.2">
      <c r="A99" s="29"/>
      <c r="B99" s="30" t="s">
        <v>1403</v>
      </c>
      <c r="C99" s="30" t="s">
        <v>2170</v>
      </c>
      <c r="D99" s="34" t="s">
        <v>1819</v>
      </c>
      <c r="E99" s="31">
        <v>1</v>
      </c>
      <c r="F99" s="31">
        <v>5000</v>
      </c>
      <c r="G99" s="32">
        <f t="shared" si="28"/>
        <v>5000</v>
      </c>
      <c r="H99" s="33">
        <f t="shared" si="27"/>
        <v>2.5925254477919484E-5</v>
      </c>
      <c r="K99" t="str">
        <f xml:space="preserve"> B95 &amp; B99</f>
        <v>Z000023002Z070203007</v>
      </c>
    </row>
    <row r="100" spans="1:11" outlineLevel="1" x14ac:dyDescent="0.2">
      <c r="A100" s="29"/>
      <c r="B100" s="30" t="s">
        <v>1451</v>
      </c>
      <c r="C100" s="30" t="s">
        <v>363</v>
      </c>
      <c r="D100" s="34" t="s">
        <v>1819</v>
      </c>
      <c r="E100" s="31">
        <v>1</v>
      </c>
      <c r="F100" s="31">
        <v>7000</v>
      </c>
      <c r="G100" s="32">
        <f t="shared" si="28"/>
        <v>7000</v>
      </c>
      <c r="H100" s="33">
        <f t="shared" si="27"/>
        <v>3.6295356269087274E-5</v>
      </c>
      <c r="K100" t="str">
        <f xml:space="preserve"> B95 &amp; B100</f>
        <v>Z000023002Z070203010</v>
      </c>
    </row>
    <row r="101" spans="1:11" outlineLevel="1" x14ac:dyDescent="0.2">
      <c r="A101" s="29"/>
      <c r="B101" s="30" t="s">
        <v>1456</v>
      </c>
      <c r="C101" s="30" t="s">
        <v>1512</v>
      </c>
      <c r="D101" s="34" t="s">
        <v>1819</v>
      </c>
      <c r="E101" s="31">
        <v>1</v>
      </c>
      <c r="F101" s="31">
        <v>2200</v>
      </c>
      <c r="G101" s="32">
        <f t="shared" si="28"/>
        <v>2200</v>
      </c>
      <c r="H101" s="33">
        <f t="shared" si="27"/>
        <v>1.1407111970284572E-5</v>
      </c>
      <c r="K101" t="str">
        <f xml:space="preserve"> B95 &amp; B101</f>
        <v>Z000023002Z070203012</v>
      </c>
    </row>
    <row r="102" spans="1:11" outlineLevel="1" x14ac:dyDescent="0.2">
      <c r="A102" s="29"/>
      <c r="B102" s="30" t="s">
        <v>1460</v>
      </c>
      <c r="C102" s="30" t="s">
        <v>2174</v>
      </c>
      <c r="D102" s="34" t="s">
        <v>1819</v>
      </c>
      <c r="E102" s="31">
        <v>1</v>
      </c>
      <c r="F102" s="31">
        <v>1500</v>
      </c>
      <c r="G102" s="32">
        <f t="shared" si="28"/>
        <v>1500</v>
      </c>
      <c r="H102" s="33">
        <f t="shared" si="27"/>
        <v>7.7775763433758447E-6</v>
      </c>
      <c r="K102" t="str">
        <f xml:space="preserve"> B95 &amp; B102</f>
        <v>Z000023002Z070203013</v>
      </c>
    </row>
    <row r="103" spans="1:11" outlineLevel="1" x14ac:dyDescent="0.2">
      <c r="A103" s="11" t="s">
        <v>1612</v>
      </c>
      <c r="B103" s="11" t="s">
        <v>643</v>
      </c>
      <c r="C103" s="11" t="s">
        <v>663</v>
      </c>
      <c r="D103" s="12" t="s">
        <v>1819</v>
      </c>
      <c r="E103" s="13">
        <v>1</v>
      </c>
      <c r="F103" s="14">
        <v>24194.080000000002</v>
      </c>
      <c r="G103" s="15">
        <f>SUM(G104:G106)</f>
        <v>24194.080000000002</v>
      </c>
      <c r="H103" s="16">
        <f t="shared" si="27"/>
        <v>1.2544753617182845E-4</v>
      </c>
    </row>
    <row r="104" spans="1:11" outlineLevel="1" x14ac:dyDescent="0.2">
      <c r="A104" s="29"/>
      <c r="B104" s="30" t="s">
        <v>439</v>
      </c>
      <c r="C104" s="30" t="s">
        <v>1691</v>
      </c>
      <c r="D104" s="34" t="s">
        <v>1819</v>
      </c>
      <c r="E104" s="31">
        <v>24</v>
      </c>
      <c r="F104" s="31">
        <v>177.67</v>
      </c>
      <c r="G104" s="32">
        <f t="shared" ref="G104:G106" si="29">F104*E104</f>
        <v>4264.08</v>
      </c>
      <c r="H104" s="33">
        <f t="shared" si="27"/>
        <v>2.2109471822841381E-5</v>
      </c>
      <c r="K104" t="str">
        <f xml:space="preserve"> B103 &amp; B104</f>
        <v>Z000023006Z070301003</v>
      </c>
    </row>
    <row r="105" spans="1:11" outlineLevel="1" x14ac:dyDescent="0.2">
      <c r="A105" s="29"/>
      <c r="B105" s="30" t="s">
        <v>440</v>
      </c>
      <c r="C105" s="30" t="s">
        <v>553</v>
      </c>
      <c r="D105" s="34" t="s">
        <v>1819</v>
      </c>
      <c r="E105" s="31">
        <v>2</v>
      </c>
      <c r="F105" s="31">
        <v>3890</v>
      </c>
      <c r="G105" s="32">
        <f t="shared" si="29"/>
        <v>7780</v>
      </c>
      <c r="H105" s="33">
        <f t="shared" si="27"/>
        <v>4.0339695967642716E-5</v>
      </c>
      <c r="K105" t="str">
        <f xml:space="preserve"> B103 &amp; B105</f>
        <v>Z000023006Z070301004</v>
      </c>
    </row>
    <row r="106" spans="1:11" outlineLevel="1" x14ac:dyDescent="0.2">
      <c r="A106" s="29"/>
      <c r="B106" s="30" t="s">
        <v>483</v>
      </c>
      <c r="C106" s="30" t="s">
        <v>1032</v>
      </c>
      <c r="D106" s="34" t="s">
        <v>1819</v>
      </c>
      <c r="E106" s="31">
        <v>1</v>
      </c>
      <c r="F106" s="31">
        <v>12150</v>
      </c>
      <c r="G106" s="32">
        <f t="shared" si="29"/>
        <v>12150</v>
      </c>
      <c r="H106" s="33">
        <f t="shared" si="27"/>
        <v>6.2998368381344345E-5</v>
      </c>
      <c r="K106" t="str">
        <f xml:space="preserve"> B103 &amp; B106</f>
        <v>Z000023006Z070301015</v>
      </c>
    </row>
    <row r="107" spans="1:11" outlineLevel="1" x14ac:dyDescent="0.2">
      <c r="A107" s="11" t="s">
        <v>1616</v>
      </c>
      <c r="B107" s="11" t="s">
        <v>634</v>
      </c>
      <c r="C107" s="11" t="s">
        <v>438</v>
      </c>
      <c r="D107" s="12" t="s">
        <v>1819</v>
      </c>
      <c r="E107" s="13">
        <v>1</v>
      </c>
      <c r="F107" s="14">
        <v>371996.24</v>
      </c>
      <c r="G107" s="15">
        <f>SUM(G108:G114)</f>
        <v>371996.24</v>
      </c>
      <c r="H107" s="16">
        <f t="shared" si="27"/>
        <v>1.9288194373658421E-3</v>
      </c>
    </row>
    <row r="108" spans="1:11" outlineLevel="1" x14ac:dyDescent="0.2">
      <c r="A108" s="29"/>
      <c r="B108" s="30" t="s">
        <v>1470</v>
      </c>
      <c r="C108" s="30" t="s">
        <v>123</v>
      </c>
      <c r="D108" s="34" t="s">
        <v>1819</v>
      </c>
      <c r="E108" s="31">
        <v>1</v>
      </c>
      <c r="F108" s="31">
        <v>22270</v>
      </c>
      <c r="G108" s="32">
        <f t="shared" ref="G108:G114" si="30">F108*E108</f>
        <v>22270</v>
      </c>
      <c r="H108" s="33">
        <f t="shared" si="27"/>
        <v>1.1547108344465339E-4</v>
      </c>
      <c r="K108" t="str">
        <f xml:space="preserve"> B107 &amp; B108</f>
        <v>Z000023001Z070203015</v>
      </c>
    </row>
    <row r="109" spans="1:11" outlineLevel="1" x14ac:dyDescent="0.2">
      <c r="A109" s="29"/>
      <c r="B109" s="30" t="s">
        <v>1528</v>
      </c>
      <c r="C109" s="30" t="s">
        <v>2159</v>
      </c>
      <c r="D109" s="34" t="s">
        <v>1819</v>
      </c>
      <c r="E109" s="31">
        <v>1</v>
      </c>
      <c r="F109" s="31">
        <v>108178.24000000001</v>
      </c>
      <c r="G109" s="32">
        <f t="shared" si="30"/>
        <v>108178.24000000001</v>
      </c>
      <c r="H109" s="33">
        <f t="shared" si="27"/>
        <v>5.609096801946898E-4</v>
      </c>
      <c r="K109" t="str">
        <f xml:space="preserve"> B107 &amp; B109</f>
        <v>Z000023001Z070203022</v>
      </c>
    </row>
    <row r="110" spans="1:11" outlineLevel="1" x14ac:dyDescent="0.2">
      <c r="A110" s="29"/>
      <c r="B110" s="30" t="s">
        <v>1534</v>
      </c>
      <c r="C110" s="30" t="s">
        <v>1948</v>
      </c>
      <c r="D110" s="34" t="s">
        <v>1819</v>
      </c>
      <c r="E110" s="31">
        <v>1</v>
      </c>
      <c r="F110" s="31">
        <v>22000</v>
      </c>
      <c r="G110" s="32">
        <f t="shared" si="30"/>
        <v>22000</v>
      </c>
      <c r="H110" s="33">
        <f t="shared" si="27"/>
        <v>1.1407111970284573E-4</v>
      </c>
      <c r="K110" t="str">
        <f xml:space="preserve"> B107 &amp; B110</f>
        <v>Z000023001Z070203024</v>
      </c>
    </row>
    <row r="111" spans="1:11" outlineLevel="1" x14ac:dyDescent="0.2">
      <c r="A111" s="29"/>
      <c r="B111" s="30" t="s">
        <v>1536</v>
      </c>
      <c r="C111" s="30" t="s">
        <v>1355</v>
      </c>
      <c r="D111" s="34" t="s">
        <v>1819</v>
      </c>
      <c r="E111" s="31">
        <v>1</v>
      </c>
      <c r="F111" s="31">
        <v>27500</v>
      </c>
      <c r="G111" s="32">
        <f t="shared" si="30"/>
        <v>27500</v>
      </c>
      <c r="H111" s="33">
        <f t="shared" si="27"/>
        <v>1.4258889962855717E-4</v>
      </c>
      <c r="K111" t="str">
        <f xml:space="preserve"> B107 &amp; B111</f>
        <v>Z000023001Z070203025</v>
      </c>
    </row>
    <row r="112" spans="1:11" outlineLevel="1" x14ac:dyDescent="0.2">
      <c r="A112" s="29"/>
      <c r="B112" s="30" t="s">
        <v>1538</v>
      </c>
      <c r="C112" s="30" t="s">
        <v>2163</v>
      </c>
      <c r="D112" s="34" t="s">
        <v>1819</v>
      </c>
      <c r="E112" s="31">
        <v>1</v>
      </c>
      <c r="F112" s="31">
        <v>16200</v>
      </c>
      <c r="G112" s="32">
        <f t="shared" si="30"/>
        <v>16200</v>
      </c>
      <c r="H112" s="33">
        <f t="shared" si="27"/>
        <v>8.3997824508459123E-5</v>
      </c>
      <c r="K112" t="str">
        <f xml:space="preserve"> B107 &amp; B112</f>
        <v>Z000023001Z070203026</v>
      </c>
    </row>
    <row r="113" spans="1:11" outlineLevel="1" x14ac:dyDescent="0.2">
      <c r="A113" s="29"/>
      <c r="B113" s="30" t="s">
        <v>1541</v>
      </c>
      <c r="C113" s="30" t="s">
        <v>962</v>
      </c>
      <c r="D113" s="34" t="s">
        <v>1819</v>
      </c>
      <c r="E113" s="31">
        <v>1</v>
      </c>
      <c r="F113" s="31">
        <v>160000</v>
      </c>
      <c r="G113" s="32">
        <f t="shared" si="30"/>
        <v>160000</v>
      </c>
      <c r="H113" s="33">
        <f t="shared" si="27"/>
        <v>8.2960814329342348E-4</v>
      </c>
      <c r="K113" t="str">
        <f xml:space="preserve"> B107 &amp; B113</f>
        <v>Z000023001Z070203027</v>
      </c>
    </row>
    <row r="114" spans="1:11" outlineLevel="1" x14ac:dyDescent="0.2">
      <c r="A114" s="29"/>
      <c r="B114" s="30" t="s">
        <v>1542</v>
      </c>
      <c r="C114" s="30" t="s">
        <v>540</v>
      </c>
      <c r="D114" s="34" t="s">
        <v>1819</v>
      </c>
      <c r="E114" s="31">
        <v>1</v>
      </c>
      <c r="F114" s="31">
        <v>15848</v>
      </c>
      <c r="G114" s="32">
        <f t="shared" si="30"/>
        <v>15848</v>
      </c>
      <c r="H114" s="33">
        <f t="shared" si="27"/>
        <v>8.2172686593213597E-5</v>
      </c>
      <c r="K114" t="str">
        <f xml:space="preserve"> B107 &amp; B114</f>
        <v>Z000023001Z070203028</v>
      </c>
    </row>
    <row r="115" spans="1:11" outlineLevel="1" x14ac:dyDescent="0.2">
      <c r="A115" s="11" t="s">
        <v>1618</v>
      </c>
      <c r="B115" s="11" t="s">
        <v>638</v>
      </c>
      <c r="C115" s="11" t="s">
        <v>2176</v>
      </c>
      <c r="D115" s="12" t="s">
        <v>1153</v>
      </c>
      <c r="E115" s="13">
        <v>1</v>
      </c>
      <c r="F115" s="14">
        <v>156341.5</v>
      </c>
      <c r="G115" s="15">
        <f>SUM(G116:G117)</f>
        <v>156341.5</v>
      </c>
      <c r="H115" s="16">
        <f t="shared" si="27"/>
        <v>8.1063863459192981E-4</v>
      </c>
    </row>
    <row r="116" spans="1:11" outlineLevel="1" x14ac:dyDescent="0.2">
      <c r="A116" s="29"/>
      <c r="B116" s="30" t="s">
        <v>4803</v>
      </c>
      <c r="C116" s="30" t="s">
        <v>4804</v>
      </c>
      <c r="D116" s="34" t="s">
        <v>1781</v>
      </c>
      <c r="E116" s="31">
        <v>5989</v>
      </c>
      <c r="F116" s="31">
        <v>23.5</v>
      </c>
      <c r="G116" s="32">
        <f>F116*E116</f>
        <v>140741.5</v>
      </c>
      <c r="H116" s="33">
        <f t="shared" si="27"/>
        <v>7.2975184062082105E-4</v>
      </c>
      <c r="K116" t="str">
        <f xml:space="preserve"> B115 &amp; B116</f>
        <v>Z000023003Z070203030</v>
      </c>
    </row>
    <row r="117" spans="1:11" outlineLevel="1" x14ac:dyDescent="0.2">
      <c r="A117" s="29"/>
      <c r="B117" s="30" t="s">
        <v>4806</v>
      </c>
      <c r="C117" s="30" t="s">
        <v>4807</v>
      </c>
      <c r="D117" s="34" t="s">
        <v>1781</v>
      </c>
      <c r="E117" s="31">
        <v>65</v>
      </c>
      <c r="F117" s="31">
        <v>240</v>
      </c>
      <c r="G117" s="32">
        <f>F117*E117</f>
        <v>15600</v>
      </c>
      <c r="H117" s="33">
        <f t="shared" ref="H117:H119" si="31">G117/$F$2</f>
        <v>8.0886793971108787E-5</v>
      </c>
      <c r="K117" t="str">
        <f xml:space="preserve"> B115 &amp; B117</f>
        <v>Z000023003Z070203031</v>
      </c>
    </row>
    <row r="118" spans="1:11" outlineLevel="1" x14ac:dyDescent="0.2">
      <c r="A118" s="11" t="s">
        <v>4812</v>
      </c>
      <c r="B118" s="11" t="s">
        <v>4809</v>
      </c>
      <c r="C118" s="11" t="s">
        <v>4814</v>
      </c>
      <c r="D118" s="12" t="s">
        <v>1153</v>
      </c>
      <c r="E118" s="13">
        <v>1</v>
      </c>
      <c r="F118" s="14">
        <v>18900</v>
      </c>
      <c r="G118" s="15">
        <f>SUM(G119:G120)</f>
        <v>18900</v>
      </c>
      <c r="H118" s="16">
        <f t="shared" si="31"/>
        <v>9.7997461926535654E-5</v>
      </c>
    </row>
    <row r="119" spans="1:11" outlineLevel="1" x14ac:dyDescent="0.2">
      <c r="A119" s="29"/>
      <c r="B119" s="30" t="s">
        <v>4810</v>
      </c>
      <c r="C119" s="30" t="s">
        <v>4811</v>
      </c>
      <c r="D119" s="34" t="s">
        <v>1781</v>
      </c>
      <c r="E119" s="31">
        <v>45</v>
      </c>
      <c r="F119" s="31">
        <v>90</v>
      </c>
      <c r="G119" s="32">
        <f>F119*E119</f>
        <v>4050</v>
      </c>
      <c r="H119" s="33">
        <f t="shared" si="31"/>
        <v>2.0999456127114781E-5</v>
      </c>
      <c r="K119" t="str">
        <f xml:space="preserve"> B118 &amp; B119</f>
        <v>Z000023007Z070203032</v>
      </c>
    </row>
    <row r="120" spans="1:11" outlineLevel="1" x14ac:dyDescent="0.2">
      <c r="A120" s="29"/>
      <c r="B120" s="30" t="s">
        <v>4815</v>
      </c>
      <c r="C120" s="30" t="s">
        <v>4816</v>
      </c>
      <c r="D120" s="34" t="s">
        <v>1781</v>
      </c>
      <c r="E120" s="31">
        <v>45</v>
      </c>
      <c r="F120" s="31">
        <v>330</v>
      </c>
      <c r="G120" s="32">
        <f>F120*E120</f>
        <v>14850</v>
      </c>
      <c r="H120" s="33">
        <f t="shared" ref="H120" si="32">G120/$F$2</f>
        <v>7.6998005799420863E-5</v>
      </c>
      <c r="K120" t="str">
        <f xml:space="preserve"> B118 &amp; B120</f>
        <v>Z000023007Z070203033</v>
      </c>
    </row>
    <row r="121" spans="1:11" ht="15" x14ac:dyDescent="0.2">
      <c r="A121" s="17" t="s">
        <v>1995</v>
      </c>
      <c r="B121" s="17" t="s">
        <v>328</v>
      </c>
      <c r="C121" s="17" t="s">
        <v>407</v>
      </c>
      <c r="D121" s="18"/>
      <c r="E121" s="19"/>
      <c r="F121" s="20"/>
      <c r="G121" s="21">
        <f>SUM(G122)</f>
        <v>2952106.0529259997</v>
      </c>
      <c r="H121" s="22">
        <f t="shared" si="27"/>
        <v>1.5306820133582597E-2</v>
      </c>
    </row>
    <row r="122" spans="1:11" outlineLevel="1" x14ac:dyDescent="0.2">
      <c r="A122" s="11" t="s">
        <v>1464</v>
      </c>
      <c r="B122" s="11" t="s">
        <v>529</v>
      </c>
      <c r="C122" s="11" t="s">
        <v>407</v>
      </c>
      <c r="D122" s="12" t="s">
        <v>1152</v>
      </c>
      <c r="E122" s="13">
        <v>21263.23</v>
      </c>
      <c r="F122" s="14">
        <v>138.83619999999999</v>
      </c>
      <c r="G122" s="15">
        <f>SUM(G123:G146)</f>
        <v>2952106.0529259997</v>
      </c>
      <c r="H122" s="16">
        <f t="shared" si="27"/>
        <v>1.5306820133582597E-2</v>
      </c>
    </row>
    <row r="123" spans="1:11" outlineLevel="1" x14ac:dyDescent="0.2">
      <c r="A123" s="29"/>
      <c r="B123" s="30" t="s">
        <v>1273</v>
      </c>
      <c r="C123" s="30" t="s">
        <v>1347</v>
      </c>
      <c r="D123" s="34" t="s">
        <v>1819</v>
      </c>
      <c r="E123" s="31">
        <v>21263.23</v>
      </c>
      <c r="F123" s="31">
        <v>0</v>
      </c>
      <c r="G123" s="32">
        <f t="shared" ref="G123:G146" si="33">F123*E123</f>
        <v>0</v>
      </c>
      <c r="H123" s="33">
        <f t="shared" si="27"/>
        <v>0</v>
      </c>
      <c r="K123" t="str">
        <f xml:space="preserve"> B122 &amp; B123</f>
        <v>Z000024001Z070204004</v>
      </c>
    </row>
    <row r="124" spans="1:11" outlineLevel="1" x14ac:dyDescent="0.2">
      <c r="A124" s="29"/>
      <c r="B124" s="30" t="s">
        <v>1281</v>
      </c>
      <c r="C124" s="30" t="s">
        <v>1710</v>
      </c>
      <c r="D124" s="34" t="s">
        <v>1819</v>
      </c>
      <c r="E124" s="31">
        <v>21263.23</v>
      </c>
      <c r="F124" s="31">
        <v>1.9517</v>
      </c>
      <c r="G124" s="32">
        <f t="shared" si="33"/>
        <v>41499.445991000001</v>
      </c>
      <c r="H124" s="33">
        <f t="shared" si="27"/>
        <v>2.1517673960187012E-4</v>
      </c>
      <c r="K124" t="str">
        <f xml:space="preserve"> B122 &amp; B124</f>
        <v>Z000024001Z070204006</v>
      </c>
    </row>
    <row r="125" spans="1:11" outlineLevel="1" x14ac:dyDescent="0.2">
      <c r="A125" s="29"/>
      <c r="B125" s="30" t="s">
        <v>1286</v>
      </c>
      <c r="C125" s="30" t="s">
        <v>1730</v>
      </c>
      <c r="D125" s="34" t="s">
        <v>1819</v>
      </c>
      <c r="E125" s="31">
        <v>21263.23</v>
      </c>
      <c r="F125" s="31">
        <v>2.7982999999999998</v>
      </c>
      <c r="G125" s="32">
        <f t="shared" si="33"/>
        <v>59500.896508999991</v>
      </c>
      <c r="H125" s="33">
        <f t="shared" si="27"/>
        <v>3.0851517673203518E-4</v>
      </c>
      <c r="K125" t="str">
        <f xml:space="preserve"> B122 &amp; B125</f>
        <v>Z000024001Z070204007</v>
      </c>
    </row>
    <row r="126" spans="1:11" outlineLevel="1" x14ac:dyDescent="0.2">
      <c r="A126" s="29"/>
      <c r="B126" s="30" t="s">
        <v>1290</v>
      </c>
      <c r="C126" s="30" t="s">
        <v>26</v>
      </c>
      <c r="D126" s="34" t="s">
        <v>1819</v>
      </c>
      <c r="E126" s="31">
        <v>21263.23</v>
      </c>
      <c r="F126" s="31">
        <v>1.0817000000000001</v>
      </c>
      <c r="G126" s="32">
        <f t="shared" si="33"/>
        <v>23000.435891000001</v>
      </c>
      <c r="H126" s="33">
        <f t="shared" si="27"/>
        <v>1.1925843071544956E-4</v>
      </c>
      <c r="K126" t="str">
        <f xml:space="preserve"> B122 &amp; B126</f>
        <v>Z000024001Z070204008</v>
      </c>
    </row>
    <row r="127" spans="1:11" outlineLevel="1" x14ac:dyDescent="0.2">
      <c r="A127" s="29"/>
      <c r="B127" s="30" t="s">
        <v>1317</v>
      </c>
      <c r="C127" s="30" t="s">
        <v>1726</v>
      </c>
      <c r="D127" s="34" t="s">
        <v>1819</v>
      </c>
      <c r="E127" s="31">
        <v>21263.23</v>
      </c>
      <c r="F127" s="31">
        <v>6.8620999999999999</v>
      </c>
      <c r="G127" s="32">
        <f t="shared" si="33"/>
        <v>145910.41058299999</v>
      </c>
      <c r="H127" s="33">
        <f t="shared" si="27"/>
        <v>7.5655290506839823E-4</v>
      </c>
      <c r="K127" t="str">
        <f xml:space="preserve"> B122 &amp; B127</f>
        <v>Z000024001Z070204010</v>
      </c>
    </row>
    <row r="128" spans="1:11" outlineLevel="1" x14ac:dyDescent="0.2">
      <c r="A128" s="29"/>
      <c r="B128" s="30" t="s">
        <v>1320</v>
      </c>
      <c r="C128" s="30" t="s">
        <v>911</v>
      </c>
      <c r="D128" s="34" t="s">
        <v>1819</v>
      </c>
      <c r="E128" s="31">
        <v>21263.23</v>
      </c>
      <c r="F128" s="31">
        <v>6.9408000000000003</v>
      </c>
      <c r="G128" s="32">
        <f t="shared" si="33"/>
        <v>147583.826784</v>
      </c>
      <c r="H128" s="33">
        <f t="shared" si="27"/>
        <v>7.6522965324007789E-4</v>
      </c>
      <c r="K128" t="str">
        <f xml:space="preserve"> B122 &amp; B128</f>
        <v>Z000024001Z070204011</v>
      </c>
    </row>
    <row r="129" spans="1:11" outlineLevel="1" x14ac:dyDescent="0.2">
      <c r="A129" s="29"/>
      <c r="B129" s="30" t="s">
        <v>1322</v>
      </c>
      <c r="C129" s="30" t="s">
        <v>437</v>
      </c>
      <c r="D129" s="34" t="s">
        <v>1819</v>
      </c>
      <c r="E129" s="31">
        <v>21263.23</v>
      </c>
      <c r="F129" s="31">
        <v>4.3788999999999998</v>
      </c>
      <c r="G129" s="32">
        <f t="shared" si="33"/>
        <v>93109.557846999989</v>
      </c>
      <c r="H129" s="33">
        <f t="shared" si="27"/>
        <v>4.8277779630200794E-4</v>
      </c>
      <c r="K129" t="str">
        <f xml:space="preserve"> B122 &amp; B129</f>
        <v>Z000024001Z070204012</v>
      </c>
    </row>
    <row r="130" spans="1:11" outlineLevel="1" x14ac:dyDescent="0.2">
      <c r="A130" s="29"/>
      <c r="B130" s="30" t="s">
        <v>1324</v>
      </c>
      <c r="C130" s="30" t="s">
        <v>470</v>
      </c>
      <c r="D130" s="34" t="s">
        <v>1819</v>
      </c>
      <c r="E130" s="31">
        <v>21263.23</v>
      </c>
      <c r="F130" s="31">
        <v>6.2694000000000001</v>
      </c>
      <c r="G130" s="32">
        <f t="shared" si="33"/>
        <v>133307.694162</v>
      </c>
      <c r="H130" s="33">
        <f t="shared" si="27"/>
        <v>6.9120717900290234E-4</v>
      </c>
      <c r="K130" t="str">
        <f xml:space="preserve"> B122 &amp; B130</f>
        <v>Z000024001Z070204013</v>
      </c>
    </row>
    <row r="131" spans="1:11" outlineLevel="1" x14ac:dyDescent="0.2">
      <c r="A131" s="29"/>
      <c r="B131" s="30" t="s">
        <v>1328</v>
      </c>
      <c r="C131" s="30" t="s">
        <v>315</v>
      </c>
      <c r="D131" s="34" t="s">
        <v>1819</v>
      </c>
      <c r="E131" s="31">
        <v>21263.23</v>
      </c>
      <c r="F131" s="31">
        <v>10.3865</v>
      </c>
      <c r="G131" s="32">
        <f t="shared" si="33"/>
        <v>220850.53839499998</v>
      </c>
      <c r="H131" s="33">
        <f t="shared" si="27"/>
        <v>1.1451212818951804E-3</v>
      </c>
      <c r="K131" t="str">
        <f xml:space="preserve"> B122 &amp; B131</f>
        <v>Z000024001Z070204014</v>
      </c>
    </row>
    <row r="132" spans="1:11" outlineLevel="1" x14ac:dyDescent="0.2">
      <c r="A132" s="29"/>
      <c r="B132" s="30" t="s">
        <v>1331</v>
      </c>
      <c r="C132" s="30" t="s">
        <v>1825</v>
      </c>
      <c r="D132" s="34" t="s">
        <v>1819</v>
      </c>
      <c r="E132" s="31">
        <v>21263.23</v>
      </c>
      <c r="F132" s="31">
        <v>2.0223</v>
      </c>
      <c r="G132" s="32">
        <f t="shared" si="33"/>
        <v>43000.630029</v>
      </c>
      <c r="H132" s="33">
        <f t="shared" si="27"/>
        <v>2.2296045524253827E-4</v>
      </c>
      <c r="K132" t="str">
        <f xml:space="preserve"> B122 &amp; B132</f>
        <v>Z000024001Z070204015</v>
      </c>
    </row>
    <row r="133" spans="1:11" outlineLevel="1" x14ac:dyDescent="0.2">
      <c r="A133" s="29"/>
      <c r="B133" s="30" t="s">
        <v>1335</v>
      </c>
      <c r="C133" s="30" t="s">
        <v>705</v>
      </c>
      <c r="D133" s="34" t="s">
        <v>1819</v>
      </c>
      <c r="E133" s="31">
        <v>21263.23</v>
      </c>
      <c r="F133" s="31">
        <v>0.75239999999999996</v>
      </c>
      <c r="G133" s="32">
        <f t="shared" si="33"/>
        <v>15998.454252</v>
      </c>
      <c r="H133" s="33">
        <f t="shared" si="27"/>
        <v>8.29527995472906E-5</v>
      </c>
      <c r="K133" t="str">
        <f xml:space="preserve"> B122 &amp; B133</f>
        <v>Z000024001Z070204016</v>
      </c>
    </row>
    <row r="134" spans="1:11" outlineLevel="1" x14ac:dyDescent="0.2">
      <c r="A134" s="29"/>
      <c r="B134" s="30" t="s">
        <v>1338</v>
      </c>
      <c r="C134" s="30" t="s">
        <v>198</v>
      </c>
      <c r="D134" s="34" t="s">
        <v>1819</v>
      </c>
      <c r="E134" s="31">
        <v>21263.23</v>
      </c>
      <c r="F134" s="31">
        <v>27.3</v>
      </c>
      <c r="G134" s="32">
        <f t="shared" si="33"/>
        <v>580486.179</v>
      </c>
      <c r="H134" s="33">
        <f t="shared" si="27"/>
        <v>3.0098503822980241E-3</v>
      </c>
      <c r="K134" t="str">
        <f xml:space="preserve"> B122 &amp; B134</f>
        <v>Z000024001Z070204017</v>
      </c>
    </row>
    <row r="135" spans="1:11" outlineLevel="1" x14ac:dyDescent="0.2">
      <c r="A135" s="29"/>
      <c r="B135" s="30" t="s">
        <v>1341</v>
      </c>
      <c r="C135" s="30" t="s">
        <v>825</v>
      </c>
      <c r="D135" s="34" t="s">
        <v>1819</v>
      </c>
      <c r="E135" s="31">
        <v>21263.23</v>
      </c>
      <c r="F135" s="31">
        <v>0</v>
      </c>
      <c r="G135" s="32">
        <f t="shared" si="33"/>
        <v>0</v>
      </c>
      <c r="H135" s="33">
        <f t="shared" si="27"/>
        <v>0</v>
      </c>
      <c r="K135" t="str">
        <f xml:space="preserve"> B122 &amp; B135</f>
        <v>Z000024001Z070204018</v>
      </c>
    </row>
    <row r="136" spans="1:11" outlineLevel="1" x14ac:dyDescent="0.2">
      <c r="A136" s="29"/>
      <c r="B136" s="30" t="s">
        <v>1345</v>
      </c>
      <c r="C136" s="30" t="s">
        <v>1849</v>
      </c>
      <c r="D136" s="34" t="s">
        <v>1819</v>
      </c>
      <c r="E136" s="31">
        <v>21263.23</v>
      </c>
      <c r="F136" s="31">
        <v>0.56440000000000001</v>
      </c>
      <c r="G136" s="32">
        <f t="shared" si="33"/>
        <v>12000.967011999999</v>
      </c>
      <c r="H136" s="33">
        <f t="shared" si="27"/>
        <v>6.2225624753443391E-5</v>
      </c>
      <c r="K136" t="str">
        <f xml:space="preserve"> B122 &amp; B136</f>
        <v>Z000024001Z070204019</v>
      </c>
    </row>
    <row r="137" spans="1:11" outlineLevel="1" x14ac:dyDescent="0.2">
      <c r="A137" s="29"/>
      <c r="B137" s="30" t="s">
        <v>1386</v>
      </c>
      <c r="C137" s="30" t="s">
        <v>411</v>
      </c>
      <c r="D137" s="34" t="s">
        <v>1819</v>
      </c>
      <c r="E137" s="31">
        <v>21263.23</v>
      </c>
      <c r="F137" s="31">
        <v>5.0701999999999998</v>
      </c>
      <c r="G137" s="32">
        <f t="shared" si="33"/>
        <v>107808.828746</v>
      </c>
      <c r="H137" s="33">
        <f t="shared" si="27"/>
        <v>5.5899426404129821E-4</v>
      </c>
      <c r="K137" t="str">
        <f xml:space="preserve"> B122 &amp; B137</f>
        <v>Z000024001Z070204020</v>
      </c>
    </row>
    <row r="138" spans="1:11" outlineLevel="1" x14ac:dyDescent="0.2">
      <c r="A138" s="29"/>
      <c r="B138" s="30" t="s">
        <v>1392</v>
      </c>
      <c r="C138" s="30" t="s">
        <v>1151</v>
      </c>
      <c r="D138" s="34" t="s">
        <v>1819</v>
      </c>
      <c r="E138" s="31">
        <v>21263.23</v>
      </c>
      <c r="F138" s="31">
        <v>1.6931</v>
      </c>
      <c r="G138" s="32">
        <f t="shared" si="33"/>
        <v>36000.774712999999</v>
      </c>
      <c r="H138" s="33">
        <f t="shared" si="27"/>
        <v>1.8666584916735476E-4</v>
      </c>
      <c r="K138" t="str">
        <f xml:space="preserve"> B122 &amp; B138</f>
        <v>Z000024001Z070204022</v>
      </c>
    </row>
    <row r="139" spans="1:11" outlineLevel="1" x14ac:dyDescent="0.2">
      <c r="A139" s="29"/>
      <c r="B139" s="30" t="s">
        <v>1396</v>
      </c>
      <c r="C139" s="30" t="s">
        <v>960</v>
      </c>
      <c r="D139" s="34" t="s">
        <v>1819</v>
      </c>
      <c r="E139" s="31">
        <v>21263.23</v>
      </c>
      <c r="F139" s="31">
        <v>11.734299999999999</v>
      </c>
      <c r="G139" s="32">
        <f t="shared" si="33"/>
        <v>249509.11978899999</v>
      </c>
      <c r="H139" s="33">
        <f t="shared" si="27"/>
        <v>1.2937174850183042E-3</v>
      </c>
      <c r="K139" t="str">
        <f xml:space="preserve"> B122 &amp; B139</f>
        <v>Z000024001Z070204023</v>
      </c>
    </row>
    <row r="140" spans="1:11" outlineLevel="1" x14ac:dyDescent="0.2">
      <c r="A140" s="29"/>
      <c r="B140" s="30" t="s">
        <v>1402</v>
      </c>
      <c r="C140" s="30" t="s">
        <v>5</v>
      </c>
      <c r="D140" s="34" t="s">
        <v>1819</v>
      </c>
      <c r="E140" s="31">
        <v>21263.23</v>
      </c>
      <c r="F140" s="31">
        <v>0.2606</v>
      </c>
      <c r="G140" s="32">
        <f t="shared" si="33"/>
        <v>5541.1977379999998</v>
      </c>
      <c r="H140" s="33">
        <f t="shared" ref="H140:H203" si="34">G140/$F$2</f>
        <v>2.8731392294024362E-5</v>
      </c>
      <c r="K140" t="str">
        <f xml:space="preserve"> B122 &amp; B140</f>
        <v>Z000024001Z070204024</v>
      </c>
    </row>
    <row r="141" spans="1:11" outlineLevel="1" x14ac:dyDescent="0.2">
      <c r="A141" s="29"/>
      <c r="B141" s="30" t="s">
        <v>1410</v>
      </c>
      <c r="C141" s="30" t="s">
        <v>1002</v>
      </c>
      <c r="D141" s="34" t="s">
        <v>1819</v>
      </c>
      <c r="E141" s="31">
        <v>21263.23</v>
      </c>
      <c r="F141" s="31">
        <v>7.3228999999999997</v>
      </c>
      <c r="G141" s="32">
        <f t="shared" si="33"/>
        <v>155708.50696699999</v>
      </c>
      <c r="H141" s="33">
        <f t="shared" si="34"/>
        <v>8.0735653349927477E-4</v>
      </c>
      <c r="K141" t="str">
        <f xml:space="preserve"> B122 &amp; B141</f>
        <v>Z000024001Z070204026</v>
      </c>
    </row>
    <row r="142" spans="1:11" outlineLevel="1" x14ac:dyDescent="0.2">
      <c r="A142" s="29"/>
      <c r="B142" s="30" t="s">
        <v>1414</v>
      </c>
      <c r="C142" s="30" t="s">
        <v>2189</v>
      </c>
      <c r="D142" s="34" t="s">
        <v>1819</v>
      </c>
      <c r="E142" s="31">
        <v>21263.23</v>
      </c>
      <c r="F142" s="31">
        <v>0.84650000000000003</v>
      </c>
      <c r="G142" s="32">
        <f t="shared" si="33"/>
        <v>17999.324195000001</v>
      </c>
      <c r="H142" s="33">
        <f t="shared" si="34"/>
        <v>9.3327412037189656E-5</v>
      </c>
      <c r="K142" t="str">
        <f xml:space="preserve"> B122 &amp; B142</f>
        <v>Z000024001Z070204027</v>
      </c>
    </row>
    <row r="143" spans="1:11" outlineLevel="1" x14ac:dyDescent="0.2">
      <c r="A143" s="29"/>
      <c r="B143" s="30" t="s">
        <v>1418</v>
      </c>
      <c r="C143" s="30" t="s">
        <v>1527</v>
      </c>
      <c r="D143" s="34" t="s">
        <v>1819</v>
      </c>
      <c r="E143" s="31">
        <v>21263.23</v>
      </c>
      <c r="F143" s="31">
        <v>33.249400000000001</v>
      </c>
      <c r="G143" s="32">
        <f t="shared" si="33"/>
        <v>706989.63956200005</v>
      </c>
      <c r="H143" s="33">
        <f t="shared" si="34"/>
        <v>3.6657772637794846E-3</v>
      </c>
      <c r="K143" t="str">
        <f xml:space="preserve"> B122 &amp; B143</f>
        <v>Z000024001Z070204028</v>
      </c>
    </row>
    <row r="144" spans="1:11" outlineLevel="1" x14ac:dyDescent="0.2">
      <c r="A144" s="29"/>
      <c r="B144" s="30" t="s">
        <v>1459</v>
      </c>
      <c r="C144" s="30" t="s">
        <v>2192</v>
      </c>
      <c r="D144" s="34" t="s">
        <v>1819</v>
      </c>
      <c r="E144" s="31">
        <v>21263.23</v>
      </c>
      <c r="F144" s="31">
        <v>0</v>
      </c>
      <c r="G144" s="32">
        <f t="shared" si="33"/>
        <v>0</v>
      </c>
      <c r="H144" s="33">
        <f t="shared" si="34"/>
        <v>0</v>
      </c>
      <c r="K144" t="str">
        <f xml:space="preserve"> B122 &amp; B144</f>
        <v>Z000024001Z070204030</v>
      </c>
    </row>
    <row r="145" spans="1:11" outlineLevel="1" x14ac:dyDescent="0.2">
      <c r="A145" s="29"/>
      <c r="B145" s="30" t="s">
        <v>1477</v>
      </c>
      <c r="C145" s="30" t="s">
        <v>11</v>
      </c>
      <c r="D145" s="34" t="s">
        <v>1819</v>
      </c>
      <c r="E145" s="31">
        <v>21263.23</v>
      </c>
      <c r="F145" s="31">
        <v>4.5289000000000001</v>
      </c>
      <c r="G145" s="32">
        <f t="shared" si="33"/>
        <v>96299.042346999995</v>
      </c>
      <c r="H145" s="33">
        <f t="shared" si="34"/>
        <v>4.9931543576518388E-4</v>
      </c>
      <c r="K145" t="str">
        <f xml:space="preserve"> B122 &amp; B145</f>
        <v>Z000024001Z070204035</v>
      </c>
    </row>
    <row r="146" spans="1:11" outlineLevel="1" x14ac:dyDescent="0.2">
      <c r="A146" s="29"/>
      <c r="B146" s="30" t="s">
        <v>1480</v>
      </c>
      <c r="C146" s="30" t="s">
        <v>126</v>
      </c>
      <c r="D146" s="34" t="s">
        <v>1819</v>
      </c>
      <c r="E146" s="31">
        <v>21263.23</v>
      </c>
      <c r="F146" s="31">
        <v>2.8218000000000001</v>
      </c>
      <c r="G146" s="32">
        <f t="shared" si="33"/>
        <v>60000.582414000004</v>
      </c>
      <c r="H146" s="33">
        <f t="shared" si="34"/>
        <v>3.1110607358126615E-4</v>
      </c>
      <c r="K146" t="str">
        <f xml:space="preserve"> B122 &amp; B146</f>
        <v>Z000024001Z070204036</v>
      </c>
    </row>
    <row r="147" spans="1:11" ht="15" x14ac:dyDescent="0.2">
      <c r="A147" s="17" t="s">
        <v>1996</v>
      </c>
      <c r="B147" s="17" t="s">
        <v>328</v>
      </c>
      <c r="C147" s="17" t="s">
        <v>360</v>
      </c>
      <c r="D147" s="18"/>
      <c r="E147" s="19"/>
      <c r="F147" s="20"/>
      <c r="G147" s="21">
        <f>SUM(G148)</f>
        <v>192607.52000000002</v>
      </c>
      <c r="H147" s="22">
        <f t="shared" si="34"/>
        <v>9.9867979407219335E-4</v>
      </c>
    </row>
    <row r="148" spans="1:11" outlineLevel="1" x14ac:dyDescent="0.2">
      <c r="A148" s="11" t="s">
        <v>1327</v>
      </c>
      <c r="B148" s="11" t="s">
        <v>427</v>
      </c>
      <c r="C148" s="11" t="s">
        <v>1235</v>
      </c>
      <c r="D148" s="12" t="s">
        <v>1819</v>
      </c>
      <c r="E148" s="13">
        <v>1</v>
      </c>
      <c r="F148" s="14">
        <v>192607.52000000002</v>
      </c>
      <c r="G148" s="15">
        <f>SUM(G149:G158)</f>
        <v>192607.52000000002</v>
      </c>
      <c r="H148" s="16">
        <f t="shared" si="34"/>
        <v>9.9867979407219335E-4</v>
      </c>
    </row>
    <row r="149" spans="1:11" outlineLevel="1" x14ac:dyDescent="0.2">
      <c r="A149" s="29"/>
      <c r="B149" s="30" t="s">
        <v>1137</v>
      </c>
      <c r="C149" s="30" t="s">
        <v>1704</v>
      </c>
      <c r="D149" s="34" t="s">
        <v>1819</v>
      </c>
      <c r="E149" s="31">
        <v>1</v>
      </c>
      <c r="F149" s="31">
        <v>0</v>
      </c>
      <c r="G149" s="32">
        <f t="shared" ref="G149:G158" si="35">F149*E149</f>
        <v>0</v>
      </c>
      <c r="H149" s="33">
        <f t="shared" si="34"/>
        <v>0</v>
      </c>
      <c r="K149" t="str">
        <f xml:space="preserve"> B148 &amp; B149</f>
        <v>Z000025001Z070205001</v>
      </c>
    </row>
    <row r="150" spans="1:11" outlineLevel="1" x14ac:dyDescent="0.2">
      <c r="A150" s="29"/>
      <c r="B150" s="30" t="s">
        <v>1138</v>
      </c>
      <c r="C150" s="30" t="s">
        <v>485</v>
      </c>
      <c r="D150" s="34" t="s">
        <v>1819</v>
      </c>
      <c r="E150" s="31">
        <v>1</v>
      </c>
      <c r="F150" s="31">
        <v>0</v>
      </c>
      <c r="G150" s="32">
        <f t="shared" si="35"/>
        <v>0</v>
      </c>
      <c r="H150" s="33">
        <f t="shared" si="34"/>
        <v>0</v>
      </c>
      <c r="K150" t="str">
        <f xml:space="preserve"> B148 &amp; B150</f>
        <v>Z000025001Z070205002</v>
      </c>
    </row>
    <row r="151" spans="1:11" outlineLevel="1" x14ac:dyDescent="0.2">
      <c r="A151" s="29"/>
      <c r="B151" s="30" t="s">
        <v>1142</v>
      </c>
      <c r="C151" s="30" t="s">
        <v>815</v>
      </c>
      <c r="D151" s="34" t="s">
        <v>1819</v>
      </c>
      <c r="E151" s="31">
        <v>1</v>
      </c>
      <c r="F151" s="31">
        <v>73948.639999999999</v>
      </c>
      <c r="G151" s="32">
        <f t="shared" si="35"/>
        <v>73948.639999999999</v>
      </c>
      <c r="H151" s="33">
        <f t="shared" si="34"/>
        <v>3.8342746205921119E-4</v>
      </c>
      <c r="K151" t="str">
        <f xml:space="preserve"> B148 &amp; B151</f>
        <v>Z000025001Z070205003</v>
      </c>
    </row>
    <row r="152" spans="1:11" outlineLevel="1" x14ac:dyDescent="0.2">
      <c r="A152" s="29"/>
      <c r="B152" s="30" t="s">
        <v>1146</v>
      </c>
      <c r="C152" s="30" t="s">
        <v>1363</v>
      </c>
      <c r="D152" s="34" t="s">
        <v>1819</v>
      </c>
      <c r="E152" s="31">
        <v>1</v>
      </c>
      <c r="F152" s="31">
        <v>78004.88</v>
      </c>
      <c r="G152" s="32">
        <f t="shared" si="35"/>
        <v>78004.88</v>
      </c>
      <c r="H152" s="33">
        <f t="shared" si="34"/>
        <v>4.0445927290391444E-4</v>
      </c>
      <c r="K152" t="str">
        <f xml:space="preserve"> B148 &amp; B152</f>
        <v>Z000025001Z070205005</v>
      </c>
    </row>
    <row r="153" spans="1:11" outlineLevel="1" x14ac:dyDescent="0.2">
      <c r="A153" s="29"/>
      <c r="B153" s="30" t="s">
        <v>1148</v>
      </c>
      <c r="C153" s="30" t="s">
        <v>1922</v>
      </c>
      <c r="D153" s="34" t="s">
        <v>1819</v>
      </c>
      <c r="E153" s="31">
        <v>1</v>
      </c>
      <c r="F153" s="31">
        <v>0</v>
      </c>
      <c r="G153" s="32">
        <f t="shared" si="35"/>
        <v>0</v>
      </c>
      <c r="H153" s="33">
        <f t="shared" si="34"/>
        <v>0</v>
      </c>
      <c r="K153" t="str">
        <f xml:space="preserve"> B148 &amp; B153</f>
        <v>Z000025001Z070205006</v>
      </c>
    </row>
    <row r="154" spans="1:11" outlineLevel="1" x14ac:dyDescent="0.2">
      <c r="A154" s="29"/>
      <c r="B154" s="30" t="s">
        <v>1150</v>
      </c>
      <c r="C154" s="30" t="s">
        <v>1491</v>
      </c>
      <c r="D154" s="34" t="s">
        <v>1819</v>
      </c>
      <c r="E154" s="31">
        <v>1</v>
      </c>
      <c r="F154" s="31">
        <v>0</v>
      </c>
      <c r="G154" s="32">
        <f t="shared" si="35"/>
        <v>0</v>
      </c>
      <c r="H154" s="33">
        <f t="shared" si="34"/>
        <v>0</v>
      </c>
      <c r="K154" t="str">
        <f xml:space="preserve"> B148 &amp; B154</f>
        <v>Z000025001Z070205007</v>
      </c>
    </row>
    <row r="155" spans="1:11" outlineLevel="1" x14ac:dyDescent="0.2">
      <c r="A155" s="29"/>
      <c r="B155" s="30" t="s">
        <v>1154</v>
      </c>
      <c r="C155" s="30" t="s">
        <v>1641</v>
      </c>
      <c r="D155" s="34" t="s">
        <v>1819</v>
      </c>
      <c r="E155" s="31">
        <v>1</v>
      </c>
      <c r="F155" s="31">
        <v>0</v>
      </c>
      <c r="G155" s="32">
        <f t="shared" si="35"/>
        <v>0</v>
      </c>
      <c r="H155" s="33">
        <f t="shared" si="34"/>
        <v>0</v>
      </c>
      <c r="K155" t="str">
        <f xml:space="preserve"> B148 &amp; B155</f>
        <v>Z000025001Z070205008</v>
      </c>
    </row>
    <row r="156" spans="1:11" outlineLevel="1" x14ac:dyDescent="0.2">
      <c r="A156" s="29"/>
      <c r="B156" s="30" t="s">
        <v>1156</v>
      </c>
      <c r="C156" s="30" t="s">
        <v>35</v>
      </c>
      <c r="D156" s="34" t="s">
        <v>1819</v>
      </c>
      <c r="E156" s="31">
        <v>1</v>
      </c>
      <c r="F156" s="31">
        <v>0</v>
      </c>
      <c r="G156" s="32">
        <f t="shared" si="35"/>
        <v>0</v>
      </c>
      <c r="H156" s="33">
        <f t="shared" si="34"/>
        <v>0</v>
      </c>
      <c r="K156" t="str">
        <f xml:space="preserve"> B148 &amp; B156</f>
        <v>Z000025001Z070205009</v>
      </c>
    </row>
    <row r="157" spans="1:11" outlineLevel="1" x14ac:dyDescent="0.2">
      <c r="A157" s="29"/>
      <c r="B157" s="30" t="s">
        <v>1213</v>
      </c>
      <c r="C157" s="30" t="s">
        <v>1445</v>
      </c>
      <c r="D157" s="34" t="s">
        <v>1819</v>
      </c>
      <c r="E157" s="31">
        <v>1</v>
      </c>
      <c r="F157" s="31">
        <v>40654</v>
      </c>
      <c r="G157" s="32">
        <f t="shared" si="35"/>
        <v>40654</v>
      </c>
      <c r="H157" s="33">
        <f t="shared" si="34"/>
        <v>2.1079305910906774E-4</v>
      </c>
      <c r="K157" t="str">
        <f xml:space="preserve"> B148 &amp; B157</f>
        <v>Z000025001Z070205010</v>
      </c>
    </row>
    <row r="158" spans="1:11" outlineLevel="1" x14ac:dyDescent="0.2">
      <c r="A158" s="29"/>
      <c r="B158" s="30" t="s">
        <v>1218</v>
      </c>
      <c r="C158" s="30" t="s">
        <v>2215</v>
      </c>
      <c r="D158" s="34" t="s">
        <v>1819</v>
      </c>
      <c r="E158" s="31">
        <v>1</v>
      </c>
      <c r="F158" s="31">
        <v>0</v>
      </c>
      <c r="G158" s="32">
        <f t="shared" si="35"/>
        <v>0</v>
      </c>
      <c r="H158" s="33">
        <f t="shared" si="34"/>
        <v>0</v>
      </c>
      <c r="K158" t="str">
        <f xml:space="preserve"> B148 &amp; B158</f>
        <v>Z000025001Z070205011</v>
      </c>
    </row>
    <row r="159" spans="1:11" ht="15" x14ac:dyDescent="0.2">
      <c r="A159" s="17" t="s">
        <v>1997</v>
      </c>
      <c r="B159" s="17" t="s">
        <v>328</v>
      </c>
      <c r="C159" s="17" t="s">
        <v>1531</v>
      </c>
      <c r="D159" s="18"/>
      <c r="E159" s="19"/>
      <c r="F159" s="20"/>
      <c r="G159" s="21">
        <f>SUM(G160)</f>
        <v>618741.03</v>
      </c>
      <c r="H159" s="22">
        <f t="shared" si="34"/>
        <v>3.2082037317360027E-3</v>
      </c>
    </row>
    <row r="160" spans="1:11" outlineLevel="1" x14ac:dyDescent="0.2">
      <c r="A160" s="11" t="s">
        <v>1225</v>
      </c>
      <c r="B160" s="11" t="s">
        <v>318</v>
      </c>
      <c r="C160" s="11" t="s">
        <v>1531</v>
      </c>
      <c r="D160" s="12" t="s">
        <v>1819</v>
      </c>
      <c r="E160" s="13">
        <v>1</v>
      </c>
      <c r="F160" s="14">
        <v>618741.03</v>
      </c>
      <c r="G160" s="15">
        <f>SUM(G161:G169)</f>
        <v>618741.03</v>
      </c>
      <c r="H160" s="16">
        <f t="shared" si="34"/>
        <v>3.2082037317360027E-3</v>
      </c>
    </row>
    <row r="161" spans="1:11" outlineLevel="1" x14ac:dyDescent="0.2">
      <c r="A161" s="29"/>
      <c r="B161" s="30" t="s">
        <v>1236</v>
      </c>
      <c r="C161" s="30" t="s">
        <v>358</v>
      </c>
      <c r="D161" s="34" t="s">
        <v>1819</v>
      </c>
      <c r="E161" s="31">
        <v>1</v>
      </c>
      <c r="F161" s="31">
        <v>20000</v>
      </c>
      <c r="G161" s="32">
        <f t="shared" ref="G161:G169" si="36">F161*E161</f>
        <v>20000</v>
      </c>
      <c r="H161" s="33">
        <f t="shared" si="34"/>
        <v>1.0370101791167793E-4</v>
      </c>
      <c r="K161" t="str">
        <f xml:space="preserve"> B160 &amp; B161</f>
        <v>Z000026001Z060101065</v>
      </c>
    </row>
    <row r="162" spans="1:11" outlineLevel="1" x14ac:dyDescent="0.2">
      <c r="A162" s="29"/>
      <c r="B162" s="30" t="s">
        <v>1005</v>
      </c>
      <c r="C162" s="30" t="s">
        <v>1440</v>
      </c>
      <c r="D162" s="34" t="s">
        <v>1819</v>
      </c>
      <c r="E162" s="31">
        <v>1</v>
      </c>
      <c r="F162" s="31">
        <v>500000</v>
      </c>
      <c r="G162" s="32">
        <f t="shared" si="36"/>
        <v>500000</v>
      </c>
      <c r="H162" s="33">
        <f t="shared" si="34"/>
        <v>2.5925254477919485E-3</v>
      </c>
      <c r="K162" t="str">
        <f xml:space="preserve"> B160 &amp; B162</f>
        <v>Z000026001Z070206001</v>
      </c>
    </row>
    <row r="163" spans="1:11" outlineLevel="1" x14ac:dyDescent="0.2">
      <c r="A163" s="29"/>
      <c r="B163" s="30" t="s">
        <v>1007</v>
      </c>
      <c r="C163" s="30" t="s">
        <v>2219</v>
      </c>
      <c r="D163" s="34" t="s">
        <v>1819</v>
      </c>
      <c r="E163" s="31">
        <v>1</v>
      </c>
      <c r="F163" s="31">
        <v>2500</v>
      </c>
      <c r="G163" s="32">
        <f t="shared" si="36"/>
        <v>2500</v>
      </c>
      <c r="H163" s="33">
        <f t="shared" si="34"/>
        <v>1.2962627238959742E-5</v>
      </c>
      <c r="K163" t="str">
        <f xml:space="preserve"> B160 &amp; B163</f>
        <v>Z000026001Z070206002</v>
      </c>
    </row>
    <row r="164" spans="1:11" outlineLevel="1" x14ac:dyDescent="0.2">
      <c r="A164" s="29"/>
      <c r="B164" s="30" t="s">
        <v>1008</v>
      </c>
      <c r="C164" s="30" t="s">
        <v>97</v>
      </c>
      <c r="D164" s="34" t="s">
        <v>1819</v>
      </c>
      <c r="E164" s="31">
        <v>1</v>
      </c>
      <c r="F164" s="31">
        <v>83241.03</v>
      </c>
      <c r="G164" s="32">
        <f t="shared" si="36"/>
        <v>83241.03</v>
      </c>
      <c r="H164" s="33">
        <f t="shared" si="34"/>
        <v>4.3160897715082601E-4</v>
      </c>
      <c r="K164" t="str">
        <f xml:space="preserve"> B160 &amp; B164</f>
        <v>Z000026001Z070206003</v>
      </c>
    </row>
    <row r="165" spans="1:11" outlineLevel="1" x14ac:dyDescent="0.2">
      <c r="A165" s="29"/>
      <c r="B165" s="30" t="s">
        <v>1012</v>
      </c>
      <c r="C165" s="30" t="s">
        <v>304</v>
      </c>
      <c r="D165" s="34" t="s">
        <v>1819</v>
      </c>
      <c r="E165" s="31">
        <v>1</v>
      </c>
      <c r="F165" s="31">
        <v>5000</v>
      </c>
      <c r="G165" s="32">
        <f t="shared" si="36"/>
        <v>5000</v>
      </c>
      <c r="H165" s="33">
        <f t="shared" si="34"/>
        <v>2.5925254477919484E-5</v>
      </c>
      <c r="K165" t="str">
        <f xml:space="preserve"> B160 &amp; B165</f>
        <v>Z000026001Z070206005</v>
      </c>
    </row>
    <row r="166" spans="1:11" outlineLevel="1" x14ac:dyDescent="0.2">
      <c r="A166" s="29"/>
      <c r="B166" s="30" t="s">
        <v>1018</v>
      </c>
      <c r="C166" s="30" t="s">
        <v>847</v>
      </c>
      <c r="D166" s="34" t="s">
        <v>1819</v>
      </c>
      <c r="E166" s="31">
        <v>1</v>
      </c>
      <c r="F166" s="31">
        <v>5000</v>
      </c>
      <c r="G166" s="32">
        <f t="shared" si="36"/>
        <v>5000</v>
      </c>
      <c r="H166" s="33">
        <f t="shared" si="34"/>
        <v>2.5925254477919484E-5</v>
      </c>
      <c r="K166" t="str">
        <f xml:space="preserve"> B160 &amp; B166</f>
        <v>Z000026001Z070206006</v>
      </c>
    </row>
    <row r="167" spans="1:11" outlineLevel="1" x14ac:dyDescent="0.2">
      <c r="A167" s="29"/>
      <c r="B167" s="30" t="s">
        <v>1019</v>
      </c>
      <c r="C167" s="30" t="s">
        <v>1490</v>
      </c>
      <c r="D167" s="34" t="s">
        <v>1819</v>
      </c>
      <c r="E167" s="31">
        <v>1</v>
      </c>
      <c r="F167" s="31">
        <v>0</v>
      </c>
      <c r="G167" s="32">
        <f t="shared" si="36"/>
        <v>0</v>
      </c>
      <c r="H167" s="33">
        <f t="shared" si="34"/>
        <v>0</v>
      </c>
      <c r="K167" t="str">
        <f xml:space="preserve"> B160 &amp; B167</f>
        <v>Z000026001Z070206007</v>
      </c>
    </row>
    <row r="168" spans="1:11" outlineLevel="1" x14ac:dyDescent="0.2">
      <c r="A168" s="29"/>
      <c r="B168" s="30" t="s">
        <v>1021</v>
      </c>
      <c r="C168" s="30" t="s">
        <v>1590</v>
      </c>
      <c r="D168" s="34" t="s">
        <v>1819</v>
      </c>
      <c r="E168" s="31">
        <v>1</v>
      </c>
      <c r="F168" s="31">
        <v>1000</v>
      </c>
      <c r="G168" s="32">
        <f t="shared" si="36"/>
        <v>1000</v>
      </c>
      <c r="H168" s="33">
        <f t="shared" si="34"/>
        <v>5.1850508955838971E-6</v>
      </c>
      <c r="K168" t="str">
        <f xml:space="preserve"> B160 &amp; B168</f>
        <v>Z000026001Z070206008</v>
      </c>
    </row>
    <row r="169" spans="1:11" outlineLevel="1" x14ac:dyDescent="0.2">
      <c r="A169" s="29"/>
      <c r="B169" s="30" t="s">
        <v>1024</v>
      </c>
      <c r="C169" s="30" t="s">
        <v>1292</v>
      </c>
      <c r="D169" s="34" t="s">
        <v>1819</v>
      </c>
      <c r="E169" s="31">
        <v>1</v>
      </c>
      <c r="F169" s="31">
        <v>2000</v>
      </c>
      <c r="G169" s="32">
        <f t="shared" si="36"/>
        <v>2000</v>
      </c>
      <c r="H169" s="33">
        <f t="shared" si="34"/>
        <v>1.0370101791167794E-5</v>
      </c>
      <c r="K169" t="str">
        <f xml:space="preserve"> B160 &amp; B169</f>
        <v>Z000026001Z070206009</v>
      </c>
    </row>
    <row r="170" spans="1:11" ht="18.75" x14ac:dyDescent="0.2">
      <c r="A170" s="5">
        <v>3</v>
      </c>
      <c r="B170" s="5" t="s">
        <v>328</v>
      </c>
      <c r="C170" s="5" t="s">
        <v>2097</v>
      </c>
      <c r="D170" s="6"/>
      <c r="E170" s="7"/>
      <c r="F170" s="8"/>
      <c r="G170" s="9">
        <f>SUM(G171,G210,G248,)</f>
        <v>3375666.5998145845</v>
      </c>
      <c r="H170" s="10">
        <f t="shared" si="34"/>
        <v>1.7503003126561258E-2</v>
      </c>
    </row>
    <row r="171" spans="1:11" ht="15" x14ac:dyDescent="0.2">
      <c r="A171" s="17" t="s">
        <v>1998</v>
      </c>
      <c r="B171" s="17" t="s">
        <v>328</v>
      </c>
      <c r="C171" s="17" t="s">
        <v>489</v>
      </c>
      <c r="D171" s="18"/>
      <c r="E171" s="19"/>
      <c r="F171" s="20"/>
      <c r="G171" s="21">
        <f>SUM(G172,G180,G189,G193,G195,G197,G199,G202,G204,G206,G208)</f>
        <v>1972606.8816000002</v>
      </c>
      <c r="H171" s="22">
        <f t="shared" si="34"/>
        <v>1.0228067078075038E-2</v>
      </c>
    </row>
    <row r="172" spans="1:11" outlineLevel="1" x14ac:dyDescent="0.2">
      <c r="A172" s="11" t="s">
        <v>1179</v>
      </c>
      <c r="B172" s="11" t="s">
        <v>710</v>
      </c>
      <c r="C172" s="11" t="s">
        <v>2228</v>
      </c>
      <c r="D172" s="12" t="s">
        <v>1819</v>
      </c>
      <c r="E172" s="13">
        <v>1</v>
      </c>
      <c r="F172" s="14">
        <v>129101.93</v>
      </c>
      <c r="G172" s="15">
        <f>SUM(G173:G179)</f>
        <v>129101.93</v>
      </c>
      <c r="H172" s="16">
        <f t="shared" si="34"/>
        <v>6.6940007776810956E-4</v>
      </c>
    </row>
    <row r="173" spans="1:11" outlineLevel="1" x14ac:dyDescent="0.2">
      <c r="A173" s="29"/>
      <c r="B173" s="30" t="s">
        <v>442</v>
      </c>
      <c r="C173" s="30" t="s">
        <v>1427</v>
      </c>
      <c r="D173" s="34" t="s">
        <v>1819</v>
      </c>
      <c r="E173" s="31">
        <v>14</v>
      </c>
      <c r="F173" s="31">
        <v>6535.5</v>
      </c>
      <c r="G173" s="32">
        <f t="shared" ref="G173:G179" si="37">F173*E173</f>
        <v>91497</v>
      </c>
      <c r="H173" s="33">
        <f t="shared" si="34"/>
        <v>4.7441660179323983E-4</v>
      </c>
      <c r="K173" t="str">
        <f xml:space="preserve"> B172 &amp; B173</f>
        <v>Z000031001Z070301005</v>
      </c>
    </row>
    <row r="174" spans="1:11" outlineLevel="1" x14ac:dyDescent="0.2">
      <c r="A174" s="29"/>
      <c r="B174" s="30" t="s">
        <v>443</v>
      </c>
      <c r="C174" s="30" t="s">
        <v>459</v>
      </c>
      <c r="D174" s="34" t="s">
        <v>1781</v>
      </c>
      <c r="E174" s="31">
        <v>1</v>
      </c>
      <c r="F174" s="31">
        <v>1599</v>
      </c>
      <c r="G174" s="32">
        <f t="shared" si="37"/>
        <v>1599</v>
      </c>
      <c r="H174" s="33">
        <f t="shared" si="34"/>
        <v>8.2908963820386504E-6</v>
      </c>
      <c r="K174" t="str">
        <f xml:space="preserve"> B172 &amp; B174</f>
        <v>Z000031001Z070301006</v>
      </c>
    </row>
    <row r="175" spans="1:11" outlineLevel="1" x14ac:dyDescent="0.2">
      <c r="A175" s="29"/>
      <c r="B175" s="30" t="s">
        <v>447</v>
      </c>
      <c r="C175" s="30" t="s">
        <v>1684</v>
      </c>
      <c r="D175" s="34" t="s">
        <v>1781</v>
      </c>
      <c r="E175" s="31">
        <v>4</v>
      </c>
      <c r="F175" s="31">
        <v>2000</v>
      </c>
      <c r="G175" s="32">
        <f t="shared" si="37"/>
        <v>8000</v>
      </c>
      <c r="H175" s="33">
        <f t="shared" si="34"/>
        <v>4.1480407164671176E-5</v>
      </c>
      <c r="K175" t="str">
        <f xml:space="preserve"> B172 &amp; B175</f>
        <v>Z000031001Z070301007</v>
      </c>
    </row>
    <row r="176" spans="1:11" outlineLevel="1" x14ac:dyDescent="0.2">
      <c r="A176" s="29"/>
      <c r="B176" s="30" t="s">
        <v>448</v>
      </c>
      <c r="C176" s="30" t="s">
        <v>187</v>
      </c>
      <c r="D176" s="34" t="s">
        <v>1781</v>
      </c>
      <c r="E176" s="31">
        <v>0</v>
      </c>
      <c r="F176" s="31">
        <v>0</v>
      </c>
      <c r="G176" s="32">
        <f t="shared" si="37"/>
        <v>0</v>
      </c>
      <c r="H176" s="33">
        <f t="shared" si="34"/>
        <v>0</v>
      </c>
      <c r="K176" t="str">
        <f xml:space="preserve"> B172 &amp; B176</f>
        <v>Z000031001Z070301008</v>
      </c>
    </row>
    <row r="177" spans="1:11" outlineLevel="1" x14ac:dyDescent="0.2">
      <c r="A177" s="29"/>
      <c r="B177" s="30" t="s">
        <v>450</v>
      </c>
      <c r="C177" s="30" t="s">
        <v>560</v>
      </c>
      <c r="D177" s="34" t="s">
        <v>1781</v>
      </c>
      <c r="E177" s="31">
        <v>1</v>
      </c>
      <c r="F177" s="31">
        <v>839.98</v>
      </c>
      <c r="G177" s="32">
        <f t="shared" si="37"/>
        <v>839.98</v>
      </c>
      <c r="H177" s="33">
        <f t="shared" si="34"/>
        <v>4.3553390512725616E-6</v>
      </c>
      <c r="K177" t="str">
        <f xml:space="preserve"> B172 &amp; B177</f>
        <v>Z000031001Z070301009</v>
      </c>
    </row>
    <row r="178" spans="1:11" outlineLevel="1" x14ac:dyDescent="0.2">
      <c r="A178" s="29"/>
      <c r="B178" s="30" t="s">
        <v>478</v>
      </c>
      <c r="C178" s="30" t="s">
        <v>64</v>
      </c>
      <c r="D178" s="34" t="s">
        <v>1819</v>
      </c>
      <c r="E178" s="31">
        <v>1</v>
      </c>
      <c r="F178" s="31">
        <v>15000</v>
      </c>
      <c r="G178" s="32">
        <f t="shared" si="37"/>
        <v>15000</v>
      </c>
      <c r="H178" s="33">
        <f t="shared" si="34"/>
        <v>7.7775763433758451E-5</v>
      </c>
      <c r="K178" t="str">
        <f xml:space="preserve"> B172 &amp; B178</f>
        <v>Z000031001Z070301010</v>
      </c>
    </row>
    <row r="179" spans="1:11" outlineLevel="1" x14ac:dyDescent="0.2">
      <c r="A179" s="29"/>
      <c r="B179" s="30" t="s">
        <v>482</v>
      </c>
      <c r="C179" s="30" t="s">
        <v>1506</v>
      </c>
      <c r="D179" s="34" t="s">
        <v>1781</v>
      </c>
      <c r="E179" s="31">
        <v>2</v>
      </c>
      <c r="F179" s="31">
        <v>6082.9750000000004</v>
      </c>
      <c r="G179" s="32">
        <f t="shared" si="37"/>
        <v>12165.95</v>
      </c>
      <c r="H179" s="33">
        <f t="shared" si="34"/>
        <v>6.3081069943128913E-5</v>
      </c>
      <c r="K179" t="str">
        <f xml:space="preserve"> B172 &amp; B179</f>
        <v>Z000031001Z070301014</v>
      </c>
    </row>
    <row r="180" spans="1:11" outlineLevel="1" x14ac:dyDescent="0.2">
      <c r="A180" s="11" t="s">
        <v>1182</v>
      </c>
      <c r="B180" s="11" t="s">
        <v>712</v>
      </c>
      <c r="C180" s="11" t="s">
        <v>630</v>
      </c>
      <c r="D180" s="12" t="s">
        <v>1170</v>
      </c>
      <c r="E180" s="13">
        <v>22</v>
      </c>
      <c r="F180" s="14">
        <v>7479.8</v>
      </c>
      <c r="G180" s="15">
        <f>SUM(G181:G188)</f>
        <v>164555.6</v>
      </c>
      <c r="H180" s="16">
        <f t="shared" si="34"/>
        <v>8.532291611533455E-4</v>
      </c>
    </row>
    <row r="181" spans="1:11" outlineLevel="1" x14ac:dyDescent="0.2">
      <c r="A181" s="29"/>
      <c r="B181" s="30" t="s">
        <v>327</v>
      </c>
      <c r="C181" s="30" t="s">
        <v>1645</v>
      </c>
      <c r="D181" s="34" t="s">
        <v>1819</v>
      </c>
      <c r="E181" s="31">
        <v>22</v>
      </c>
      <c r="F181" s="31">
        <v>100</v>
      </c>
      <c r="G181" s="32">
        <f t="shared" ref="G181:G188" si="38">F181*E181</f>
        <v>2200</v>
      </c>
      <c r="H181" s="33">
        <f t="shared" si="34"/>
        <v>1.1407111970284572E-5</v>
      </c>
      <c r="K181" t="str">
        <f xml:space="preserve"> B180 &amp; B181</f>
        <v>Z000031002Z070302001</v>
      </c>
    </row>
    <row r="182" spans="1:11" outlineLevel="1" x14ac:dyDescent="0.2">
      <c r="A182" s="29"/>
      <c r="B182" s="30" t="s">
        <v>333</v>
      </c>
      <c r="C182" s="30" t="s">
        <v>1330</v>
      </c>
      <c r="D182" s="34" t="s">
        <v>1819</v>
      </c>
      <c r="E182" s="31">
        <v>22</v>
      </c>
      <c r="F182" s="31">
        <v>400</v>
      </c>
      <c r="G182" s="32">
        <f t="shared" si="38"/>
        <v>8800</v>
      </c>
      <c r="H182" s="33">
        <f t="shared" si="34"/>
        <v>4.5628447881138289E-5</v>
      </c>
      <c r="K182" t="str">
        <f xml:space="preserve"> B180 &amp; B182</f>
        <v>Z000031002Z070302003</v>
      </c>
    </row>
    <row r="183" spans="1:11" outlineLevel="1" x14ac:dyDescent="0.2">
      <c r="A183" s="29"/>
      <c r="B183" s="30" t="s">
        <v>338</v>
      </c>
      <c r="C183" s="30" t="s">
        <v>1964</v>
      </c>
      <c r="D183" s="34" t="s">
        <v>1819</v>
      </c>
      <c r="E183" s="31">
        <v>22</v>
      </c>
      <c r="F183" s="31">
        <v>800</v>
      </c>
      <c r="G183" s="32">
        <f t="shared" si="38"/>
        <v>17600</v>
      </c>
      <c r="H183" s="33">
        <f t="shared" si="34"/>
        <v>9.1256895762276577E-5</v>
      </c>
      <c r="K183" t="str">
        <f xml:space="preserve"> B180 &amp; B183</f>
        <v>Z000031002Z070302004</v>
      </c>
    </row>
    <row r="184" spans="1:11" outlineLevel="1" x14ac:dyDescent="0.2">
      <c r="A184" s="29"/>
      <c r="B184" s="30" t="s">
        <v>340</v>
      </c>
      <c r="C184" s="30" t="s">
        <v>866</v>
      </c>
      <c r="D184" s="34" t="s">
        <v>1819</v>
      </c>
      <c r="E184" s="31">
        <v>22</v>
      </c>
      <c r="F184" s="31">
        <v>1000</v>
      </c>
      <c r="G184" s="32">
        <f t="shared" si="38"/>
        <v>22000</v>
      </c>
      <c r="H184" s="33">
        <f t="shared" si="34"/>
        <v>1.1407111970284573E-4</v>
      </c>
      <c r="K184" t="str">
        <f xml:space="preserve"> B180 &amp; B184</f>
        <v>Z000031002Z070302005</v>
      </c>
    </row>
    <row r="185" spans="1:11" outlineLevel="1" x14ac:dyDescent="0.2">
      <c r="A185" s="29"/>
      <c r="B185" s="30" t="s">
        <v>342</v>
      </c>
      <c r="C185" s="30" t="s">
        <v>378</v>
      </c>
      <c r="D185" s="34" t="s">
        <v>1819</v>
      </c>
      <c r="E185" s="31">
        <v>22</v>
      </c>
      <c r="F185" s="31">
        <v>179.8</v>
      </c>
      <c r="G185" s="32">
        <f t="shared" si="38"/>
        <v>3955.6000000000004</v>
      </c>
      <c r="H185" s="33">
        <f t="shared" si="34"/>
        <v>2.0509987322571664E-5</v>
      </c>
      <c r="K185" t="str">
        <f xml:space="preserve"> B180 &amp; B185</f>
        <v>Z000031002Z070302006</v>
      </c>
    </row>
    <row r="186" spans="1:11" outlineLevel="1" x14ac:dyDescent="0.2">
      <c r="A186" s="29"/>
      <c r="B186" s="30" t="s">
        <v>349</v>
      </c>
      <c r="C186" s="30" t="s">
        <v>1350</v>
      </c>
      <c r="D186" s="34" t="s">
        <v>2240</v>
      </c>
      <c r="E186" s="31">
        <v>22</v>
      </c>
      <c r="F186" s="31">
        <v>3000</v>
      </c>
      <c r="G186" s="32">
        <f t="shared" si="38"/>
        <v>66000</v>
      </c>
      <c r="H186" s="33">
        <f t="shared" si="34"/>
        <v>3.4221335910853719E-4</v>
      </c>
      <c r="K186" t="str">
        <f xml:space="preserve"> B180 &amp; B186</f>
        <v>Z000031002Z070302009</v>
      </c>
    </row>
    <row r="187" spans="1:11" outlineLevel="1" x14ac:dyDescent="0.2">
      <c r="A187" s="29"/>
      <c r="B187" s="30" t="s">
        <v>384</v>
      </c>
      <c r="C187" s="30" t="s">
        <v>1162</v>
      </c>
      <c r="D187" s="34" t="s">
        <v>1819</v>
      </c>
      <c r="E187" s="31">
        <v>22</v>
      </c>
      <c r="F187" s="31">
        <v>1200</v>
      </c>
      <c r="G187" s="32">
        <f t="shared" si="38"/>
        <v>26400</v>
      </c>
      <c r="H187" s="33">
        <f t="shared" si="34"/>
        <v>1.3688534364341489E-4</v>
      </c>
      <c r="K187" t="str">
        <f xml:space="preserve"> B180 &amp; B187</f>
        <v>Z000031002Z070302012</v>
      </c>
    </row>
    <row r="188" spans="1:11" outlineLevel="1" x14ac:dyDescent="0.2">
      <c r="A188" s="29"/>
      <c r="B188" s="30" t="s">
        <v>391</v>
      </c>
      <c r="C188" s="30" t="s">
        <v>771</v>
      </c>
      <c r="D188" s="34" t="s">
        <v>1819</v>
      </c>
      <c r="E188" s="31">
        <v>22</v>
      </c>
      <c r="F188" s="31">
        <v>800</v>
      </c>
      <c r="G188" s="32">
        <f t="shared" si="38"/>
        <v>17600</v>
      </c>
      <c r="H188" s="33">
        <f t="shared" si="34"/>
        <v>9.1256895762276577E-5</v>
      </c>
      <c r="K188" t="str">
        <f xml:space="preserve"> B180 &amp; B188</f>
        <v>Z000031002Z070302016</v>
      </c>
    </row>
    <row r="189" spans="1:11" outlineLevel="1" x14ac:dyDescent="0.2">
      <c r="A189" s="11" t="s">
        <v>1183</v>
      </c>
      <c r="B189" s="11" t="s">
        <v>714</v>
      </c>
      <c r="C189" s="11" t="s">
        <v>843</v>
      </c>
      <c r="D189" s="12" t="s">
        <v>1170</v>
      </c>
      <c r="E189" s="13">
        <v>36</v>
      </c>
      <c r="F189" s="14">
        <v>29457.305500000002</v>
      </c>
      <c r="G189" s="15">
        <f>SUM(G190:G192)</f>
        <v>1060462.9980000001</v>
      </c>
      <c r="H189" s="16">
        <f t="shared" si="34"/>
        <v>5.4985546175134849E-3</v>
      </c>
    </row>
    <row r="190" spans="1:11" outlineLevel="1" x14ac:dyDescent="0.2">
      <c r="A190" s="29"/>
      <c r="B190" s="30" t="s">
        <v>329</v>
      </c>
      <c r="C190" s="30" t="s">
        <v>41</v>
      </c>
      <c r="D190" s="34" t="s">
        <v>1819</v>
      </c>
      <c r="E190" s="31">
        <v>36</v>
      </c>
      <c r="F190" s="31">
        <v>1128</v>
      </c>
      <c r="G190" s="32">
        <f t="shared" ref="G190:G192" si="39">F190*E190</f>
        <v>40608</v>
      </c>
      <c r="H190" s="33">
        <f t="shared" si="34"/>
        <v>2.1055454676787089E-4</v>
      </c>
      <c r="K190" t="str">
        <f xml:space="preserve"> B189 &amp; B190</f>
        <v>Z000031003Z070302002</v>
      </c>
    </row>
    <row r="191" spans="1:11" outlineLevel="1" x14ac:dyDescent="0.2">
      <c r="A191" s="29"/>
      <c r="B191" s="30" t="s">
        <v>346</v>
      </c>
      <c r="C191" s="30" t="s">
        <v>416</v>
      </c>
      <c r="D191" s="34" t="s">
        <v>1819</v>
      </c>
      <c r="E191" s="31">
        <v>36</v>
      </c>
      <c r="F191" s="31">
        <v>162.6388</v>
      </c>
      <c r="G191" s="32">
        <f t="shared" si="39"/>
        <v>5854.9967999999999</v>
      </c>
      <c r="H191" s="33">
        <f t="shared" si="34"/>
        <v>3.0358456401480848E-5</v>
      </c>
      <c r="K191" t="str">
        <f xml:space="preserve"> B189 &amp; B191</f>
        <v>Z000031003Z070302008</v>
      </c>
    </row>
    <row r="192" spans="1:11" outlineLevel="1" x14ac:dyDescent="0.2">
      <c r="A192" s="29"/>
      <c r="B192" s="30" t="s">
        <v>1228</v>
      </c>
      <c r="C192" s="30" t="s">
        <v>1904</v>
      </c>
      <c r="D192" s="34" t="s">
        <v>1819</v>
      </c>
      <c r="E192" s="31">
        <v>36</v>
      </c>
      <c r="F192" s="31">
        <v>28166.666700000002</v>
      </c>
      <c r="G192" s="32">
        <f t="shared" si="39"/>
        <v>1014000.0012000001</v>
      </c>
      <c r="H192" s="33">
        <f t="shared" si="34"/>
        <v>5.2576416143441324E-3</v>
      </c>
      <c r="K192" t="str">
        <f xml:space="preserve"> B189 &amp; B192</f>
        <v>Z000031003Z070401001</v>
      </c>
    </row>
    <row r="193" spans="1:11" outlineLevel="1" x14ac:dyDescent="0.2">
      <c r="A193" s="11" t="s">
        <v>1187</v>
      </c>
      <c r="B193" s="11" t="s">
        <v>715</v>
      </c>
      <c r="C193" s="11" t="s">
        <v>154</v>
      </c>
      <c r="D193" s="12" t="s">
        <v>1170</v>
      </c>
      <c r="E193" s="13">
        <v>22</v>
      </c>
      <c r="F193" s="14">
        <v>7500</v>
      </c>
      <c r="G193" s="15">
        <f>SUM(G194:G194)</f>
        <v>165000</v>
      </c>
      <c r="H193" s="16">
        <f t="shared" si="34"/>
        <v>8.55533397771343E-4</v>
      </c>
    </row>
    <row r="194" spans="1:11" outlineLevel="1" x14ac:dyDescent="0.2">
      <c r="A194" s="29"/>
      <c r="B194" s="30" t="s">
        <v>91</v>
      </c>
      <c r="C194" s="30" t="s">
        <v>154</v>
      </c>
      <c r="D194" s="34" t="s">
        <v>1170</v>
      </c>
      <c r="E194" s="31">
        <v>22</v>
      </c>
      <c r="F194" s="31">
        <v>7500</v>
      </c>
      <c r="G194" s="32">
        <f>F194*E194</f>
        <v>165000</v>
      </c>
      <c r="H194" s="33">
        <f t="shared" si="34"/>
        <v>8.55533397771343E-4</v>
      </c>
      <c r="K194" t="str">
        <f xml:space="preserve"> B193 &amp; B194</f>
        <v>Z000031004Z070304002</v>
      </c>
    </row>
    <row r="195" spans="1:11" outlineLevel="1" x14ac:dyDescent="0.2">
      <c r="A195" s="11" t="s">
        <v>1190</v>
      </c>
      <c r="B195" s="11" t="s">
        <v>607</v>
      </c>
      <c r="C195" s="11" t="s">
        <v>2293</v>
      </c>
      <c r="D195" s="12" t="s">
        <v>1170</v>
      </c>
      <c r="E195" s="13">
        <v>22</v>
      </c>
      <c r="F195" s="14">
        <v>2800</v>
      </c>
      <c r="G195" s="15">
        <f>SUM(G196:G196)</f>
        <v>61600</v>
      </c>
      <c r="H195" s="16">
        <f t="shared" si="34"/>
        <v>3.1939913516796807E-4</v>
      </c>
    </row>
    <row r="196" spans="1:11" outlineLevel="1" x14ac:dyDescent="0.2">
      <c r="A196" s="29"/>
      <c r="B196" s="30" t="s">
        <v>131</v>
      </c>
      <c r="C196" s="30" t="s">
        <v>1358</v>
      </c>
      <c r="D196" s="34" t="s">
        <v>1170</v>
      </c>
      <c r="E196" s="31">
        <v>22</v>
      </c>
      <c r="F196" s="31">
        <v>2800</v>
      </c>
      <c r="G196" s="32">
        <f>F196*E196</f>
        <v>61600</v>
      </c>
      <c r="H196" s="33">
        <f t="shared" si="34"/>
        <v>3.1939913516796807E-4</v>
      </c>
      <c r="K196" t="str">
        <f xml:space="preserve"> B195 &amp; B196</f>
        <v>Z000032006Z050102006</v>
      </c>
    </row>
    <row r="197" spans="1:11" outlineLevel="1" x14ac:dyDescent="0.2">
      <c r="A197" s="11" t="s">
        <v>1194</v>
      </c>
      <c r="B197" s="11" t="s">
        <v>724</v>
      </c>
      <c r="C197" s="11" t="s">
        <v>2249</v>
      </c>
      <c r="D197" s="12" t="s">
        <v>1170</v>
      </c>
      <c r="E197" s="13">
        <v>22</v>
      </c>
      <c r="F197" s="14">
        <v>1300</v>
      </c>
      <c r="G197" s="15">
        <f>SUM(G198:G198)</f>
        <v>28600</v>
      </c>
      <c r="H197" s="16">
        <f t="shared" si="34"/>
        <v>1.4829245561369945E-4</v>
      </c>
    </row>
    <row r="198" spans="1:11" outlineLevel="1" x14ac:dyDescent="0.2">
      <c r="A198" s="29"/>
      <c r="B198" s="30" t="s">
        <v>969</v>
      </c>
      <c r="C198" s="30" t="s">
        <v>765</v>
      </c>
      <c r="D198" s="34" t="s">
        <v>1819</v>
      </c>
      <c r="E198" s="31">
        <v>44</v>
      </c>
      <c r="F198" s="31">
        <v>650</v>
      </c>
      <c r="G198" s="32">
        <f>F198*E198</f>
        <v>28600</v>
      </c>
      <c r="H198" s="33">
        <f t="shared" si="34"/>
        <v>1.4829245561369945E-4</v>
      </c>
      <c r="K198" t="str">
        <f xml:space="preserve"> B197 &amp; B198</f>
        <v>Z000031007Z050201002</v>
      </c>
    </row>
    <row r="199" spans="1:11" outlineLevel="1" x14ac:dyDescent="0.2">
      <c r="A199" s="11" t="s">
        <v>1201</v>
      </c>
      <c r="B199" s="11" t="s">
        <v>600</v>
      </c>
      <c r="C199" s="11" t="s">
        <v>1131</v>
      </c>
      <c r="D199" s="12" t="s">
        <v>1170</v>
      </c>
      <c r="E199" s="13">
        <v>22</v>
      </c>
      <c r="F199" s="14">
        <v>9190.2888000000021</v>
      </c>
      <c r="G199" s="15">
        <f>SUM(G200:G201)</f>
        <v>202186.35360000003</v>
      </c>
      <c r="H199" s="16">
        <f t="shared" si="34"/>
        <v>1.0483465338085227E-3</v>
      </c>
    </row>
    <row r="200" spans="1:11" outlineLevel="1" x14ac:dyDescent="0.2">
      <c r="A200" s="29"/>
      <c r="B200" s="30" t="s">
        <v>659</v>
      </c>
      <c r="C200" s="30" t="s">
        <v>572</v>
      </c>
      <c r="D200" s="34" t="s">
        <v>1170</v>
      </c>
      <c r="E200" s="31">
        <v>39.6</v>
      </c>
      <c r="F200" s="31">
        <v>2320.7800000000002</v>
      </c>
      <c r="G200" s="32">
        <f t="shared" ref="G200:G201" si="40">F200*E200</f>
        <v>91902.888000000006</v>
      </c>
      <c r="H200" s="33">
        <f t="shared" si="34"/>
        <v>4.7652115173114657E-4</v>
      </c>
      <c r="K200" t="str">
        <f xml:space="preserve"> B199 &amp; B200</f>
        <v>Z000032004Z040203002</v>
      </c>
    </row>
    <row r="201" spans="1:11" outlineLevel="1" x14ac:dyDescent="0.2">
      <c r="A201" s="29"/>
      <c r="B201" s="30" t="s">
        <v>498</v>
      </c>
      <c r="C201" s="30" t="s">
        <v>773</v>
      </c>
      <c r="D201" s="34" t="s">
        <v>84</v>
      </c>
      <c r="E201" s="31">
        <v>26.4</v>
      </c>
      <c r="F201" s="31">
        <v>4177.4040000000005</v>
      </c>
      <c r="G201" s="32">
        <f t="shared" si="40"/>
        <v>110283.46560000001</v>
      </c>
      <c r="H201" s="33">
        <f t="shared" si="34"/>
        <v>5.718253820773759E-4</v>
      </c>
      <c r="K201" t="str">
        <f xml:space="preserve"> B199 &amp; B201</f>
        <v>Z000032004Z040401001</v>
      </c>
    </row>
    <row r="202" spans="1:11" outlineLevel="1" x14ac:dyDescent="0.2">
      <c r="A202" s="11" t="s">
        <v>1206</v>
      </c>
      <c r="B202" s="11" t="s">
        <v>727</v>
      </c>
      <c r="C202" s="11" t="s">
        <v>2250</v>
      </c>
      <c r="D202" s="12" t="s">
        <v>1819</v>
      </c>
      <c r="E202" s="13">
        <v>3</v>
      </c>
      <c r="F202" s="14">
        <v>700</v>
      </c>
      <c r="G202" s="15">
        <f>SUM(G203:G203)</f>
        <v>2100</v>
      </c>
      <c r="H202" s="16">
        <f t="shared" si="34"/>
        <v>1.0888606880726184E-5</v>
      </c>
    </row>
    <row r="203" spans="1:11" outlineLevel="1" x14ac:dyDescent="0.2">
      <c r="A203" s="29"/>
      <c r="B203" s="30" t="s">
        <v>385</v>
      </c>
      <c r="C203" s="30" t="s">
        <v>2250</v>
      </c>
      <c r="D203" s="34" t="s">
        <v>1819</v>
      </c>
      <c r="E203" s="31">
        <v>3</v>
      </c>
      <c r="F203" s="31">
        <v>700</v>
      </c>
      <c r="G203" s="32">
        <f>F203*E203</f>
        <v>2100</v>
      </c>
      <c r="H203" s="33">
        <f t="shared" si="34"/>
        <v>1.0888606880726184E-5</v>
      </c>
      <c r="K203" t="str">
        <f xml:space="preserve"> B202 &amp; B203</f>
        <v>Z000031008Z070302013</v>
      </c>
    </row>
    <row r="204" spans="1:11" outlineLevel="1" x14ac:dyDescent="0.2">
      <c r="A204" s="11" t="s">
        <v>1212</v>
      </c>
      <c r="B204" s="11" t="s">
        <v>730</v>
      </c>
      <c r="C204" s="11" t="s">
        <v>2252</v>
      </c>
      <c r="D204" s="12" t="s">
        <v>1819</v>
      </c>
      <c r="E204" s="13">
        <v>3</v>
      </c>
      <c r="F204" s="14">
        <v>1300</v>
      </c>
      <c r="G204" s="15">
        <f>SUM(G205:G205)</f>
        <v>3900</v>
      </c>
      <c r="H204" s="16">
        <f t="shared" ref="H204:H269" si="41">G204/$F$2</f>
        <v>2.0221698492777197E-5</v>
      </c>
    </row>
    <row r="205" spans="1:11" outlineLevel="1" x14ac:dyDescent="0.2">
      <c r="A205" s="29"/>
      <c r="B205" s="30" t="s">
        <v>387</v>
      </c>
      <c r="C205" s="30" t="s">
        <v>2252</v>
      </c>
      <c r="D205" s="34" t="s">
        <v>1819</v>
      </c>
      <c r="E205" s="31">
        <v>3</v>
      </c>
      <c r="F205" s="31">
        <v>1300</v>
      </c>
      <c r="G205" s="32">
        <f>F205*E205</f>
        <v>3900</v>
      </c>
      <c r="H205" s="33">
        <f t="shared" si="41"/>
        <v>2.0221698492777197E-5</v>
      </c>
      <c r="K205" t="str">
        <f xml:space="preserve"> B204 &amp; B205</f>
        <v>Z000031009Z070302014</v>
      </c>
    </row>
    <row r="206" spans="1:11" outlineLevel="1" x14ac:dyDescent="0.2">
      <c r="A206" s="11" t="s">
        <v>1253</v>
      </c>
      <c r="B206" s="11" t="s">
        <v>798</v>
      </c>
      <c r="C206" s="11" t="s">
        <v>2254</v>
      </c>
      <c r="D206" s="12" t="s">
        <v>1819</v>
      </c>
      <c r="E206" s="13">
        <v>3</v>
      </c>
      <c r="F206" s="14">
        <v>2700</v>
      </c>
      <c r="G206" s="15">
        <f>SUM(G207:G207)</f>
        <v>8100</v>
      </c>
      <c r="H206" s="16">
        <f t="shared" si="41"/>
        <v>4.1998912254229561E-5</v>
      </c>
    </row>
    <row r="207" spans="1:11" outlineLevel="1" x14ac:dyDescent="0.2">
      <c r="A207" s="29"/>
      <c r="B207" s="30" t="s">
        <v>388</v>
      </c>
      <c r="C207" s="30" t="s">
        <v>2254</v>
      </c>
      <c r="D207" s="34" t="s">
        <v>1819</v>
      </c>
      <c r="E207" s="31">
        <v>18</v>
      </c>
      <c r="F207" s="31">
        <v>450</v>
      </c>
      <c r="G207" s="32">
        <f>F207*E207</f>
        <v>8100</v>
      </c>
      <c r="H207" s="33">
        <f t="shared" si="41"/>
        <v>4.1998912254229561E-5</v>
      </c>
      <c r="K207" t="str">
        <f xml:space="preserve"> B206 &amp; B207</f>
        <v>Z000031010Z070302015</v>
      </c>
    </row>
    <row r="208" spans="1:11" outlineLevel="1" x14ac:dyDescent="0.2">
      <c r="A208" s="11" t="s">
        <v>4821</v>
      </c>
      <c r="B208" s="11" t="s">
        <v>4818</v>
      </c>
      <c r="C208" s="11" t="s">
        <v>4823</v>
      </c>
      <c r="D208" s="12" t="s">
        <v>1819</v>
      </c>
      <c r="E208" s="13">
        <v>6</v>
      </c>
      <c r="F208" s="14">
        <v>24500</v>
      </c>
      <c r="G208" s="15">
        <f>SUM(G209:G209)</f>
        <v>147000</v>
      </c>
      <c r="H208" s="16">
        <f t="shared" ref="H208:H209" si="42">G208/$F$2</f>
        <v>7.6220248165083284E-4</v>
      </c>
    </row>
    <row r="209" spans="1:11" outlineLevel="1" x14ac:dyDescent="0.2">
      <c r="A209" s="29"/>
      <c r="B209" s="30" t="s">
        <v>4819</v>
      </c>
      <c r="C209" s="30" t="s">
        <v>4820</v>
      </c>
      <c r="D209" s="34" t="s">
        <v>1819</v>
      </c>
      <c r="E209" s="31">
        <v>6</v>
      </c>
      <c r="F209" s="31">
        <v>24500</v>
      </c>
      <c r="G209" s="32">
        <f>F209*E209</f>
        <v>147000</v>
      </c>
      <c r="H209" s="33">
        <f t="shared" si="42"/>
        <v>7.6220248165083284E-4</v>
      </c>
      <c r="K209" t="str">
        <f xml:space="preserve"> B208 &amp; B209</f>
        <v>Z000031006Z070304001</v>
      </c>
    </row>
    <row r="210" spans="1:11" ht="15" x14ac:dyDescent="0.2">
      <c r="A210" s="17" t="s">
        <v>1999</v>
      </c>
      <c r="B210" s="17" t="s">
        <v>328</v>
      </c>
      <c r="C210" s="17" t="s">
        <v>337</v>
      </c>
      <c r="D210" s="18"/>
      <c r="E210" s="19"/>
      <c r="F210" s="20"/>
      <c r="G210" s="21">
        <f>SUM(G211,G213,G229,G231,G233,G235,G237,G244,G246)</f>
        <v>1189354.1557399998</v>
      </c>
      <c r="H210" s="22">
        <f t="shared" si="41"/>
        <v>6.1668618303861158E-3</v>
      </c>
    </row>
    <row r="211" spans="1:11" outlineLevel="1" x14ac:dyDescent="0.2">
      <c r="A211" s="11" t="s">
        <v>1053</v>
      </c>
      <c r="B211" s="11" t="s">
        <v>592</v>
      </c>
      <c r="C211" s="11" t="s">
        <v>1305</v>
      </c>
      <c r="D211" s="12" t="s">
        <v>1819</v>
      </c>
      <c r="E211" s="13">
        <v>1</v>
      </c>
      <c r="F211" s="14">
        <v>5541</v>
      </c>
      <c r="G211" s="15">
        <f>SUM(G212:G212)</f>
        <v>5541</v>
      </c>
      <c r="H211" s="16">
        <f t="shared" si="41"/>
        <v>2.8730367012430373E-5</v>
      </c>
    </row>
    <row r="212" spans="1:11" outlineLevel="1" x14ac:dyDescent="0.2">
      <c r="A212" s="29"/>
      <c r="B212" s="30" t="s">
        <v>1463</v>
      </c>
      <c r="C212" s="30" t="s">
        <v>134</v>
      </c>
      <c r="D212" s="34" t="s">
        <v>1819</v>
      </c>
      <c r="E212" s="31">
        <v>1</v>
      </c>
      <c r="F212" s="31">
        <v>5541</v>
      </c>
      <c r="G212" s="32">
        <f>F212*E212</f>
        <v>5541</v>
      </c>
      <c r="H212" s="33">
        <f t="shared" si="41"/>
        <v>2.8730367012430373E-5</v>
      </c>
      <c r="K212" t="str">
        <f xml:space="preserve"> B211 &amp; B212</f>
        <v>Z000032001Z070204031</v>
      </c>
    </row>
    <row r="213" spans="1:11" outlineLevel="1" x14ac:dyDescent="0.2">
      <c r="A213" s="11" t="s">
        <v>1058</v>
      </c>
      <c r="B213" s="11" t="s">
        <v>598</v>
      </c>
      <c r="C213" s="11" t="s">
        <v>501</v>
      </c>
      <c r="D213" s="12" t="s">
        <v>1819</v>
      </c>
      <c r="E213" s="13">
        <v>1</v>
      </c>
      <c r="F213" s="14">
        <v>965169.3311999999</v>
      </c>
      <c r="G213" s="15">
        <f>SUM(G214:G228)</f>
        <v>965169.3311999999</v>
      </c>
      <c r="H213" s="16">
        <f t="shared" si="41"/>
        <v>5.00445210512867E-3</v>
      </c>
    </row>
    <row r="214" spans="1:11" outlineLevel="1" x14ac:dyDescent="0.2">
      <c r="A214" s="29"/>
      <c r="B214" s="30" t="s">
        <v>480</v>
      </c>
      <c r="C214" s="30" t="s">
        <v>1617</v>
      </c>
      <c r="D214" s="34" t="s">
        <v>1819</v>
      </c>
      <c r="E214" s="31">
        <v>1</v>
      </c>
      <c r="F214" s="31">
        <v>85000</v>
      </c>
      <c r="G214" s="32">
        <f t="shared" ref="G214:G228" si="43">F214*E214</f>
        <v>85000</v>
      </c>
      <c r="H214" s="33">
        <f t="shared" si="41"/>
        <v>4.4072932612463121E-4</v>
      </c>
      <c r="K214" t="str">
        <f xml:space="preserve"> B213 &amp; B214</f>
        <v>Z000032003Z070301012</v>
      </c>
    </row>
    <row r="215" spans="1:11" outlineLevel="1" x14ac:dyDescent="0.2">
      <c r="A215" s="29"/>
      <c r="B215" s="30" t="s">
        <v>221</v>
      </c>
      <c r="C215" s="30" t="s">
        <v>2260</v>
      </c>
      <c r="D215" s="34" t="s">
        <v>1152</v>
      </c>
      <c r="E215" s="31">
        <v>93.68</v>
      </c>
      <c r="F215" s="31">
        <v>2139.52</v>
      </c>
      <c r="G215" s="32">
        <f t="shared" si="43"/>
        <v>200430.23360000001</v>
      </c>
      <c r="H215" s="33">
        <f t="shared" si="41"/>
        <v>1.0392409622297697E-3</v>
      </c>
      <c r="K215" t="str">
        <f xml:space="preserve"> B213 &amp; B215</f>
        <v>Z000032003Z070303006</v>
      </c>
    </row>
    <row r="216" spans="1:11" outlineLevel="1" x14ac:dyDescent="0.2">
      <c r="A216" s="29"/>
      <c r="B216" s="30" t="s">
        <v>227</v>
      </c>
      <c r="C216" s="30" t="s">
        <v>2262</v>
      </c>
      <c r="D216" s="34" t="s">
        <v>1152</v>
      </c>
      <c r="E216" s="31">
        <v>88.99</v>
      </c>
      <c r="F216" s="31">
        <v>919.36</v>
      </c>
      <c r="G216" s="32">
        <f t="shared" si="43"/>
        <v>81813.846399999995</v>
      </c>
      <c r="H216" s="33">
        <f t="shared" si="41"/>
        <v>4.2420895754748334E-4</v>
      </c>
      <c r="K216" t="str">
        <f xml:space="preserve"> B213 &amp; B216</f>
        <v>Z000032003Z070303007</v>
      </c>
    </row>
    <row r="217" spans="1:11" outlineLevel="1" x14ac:dyDescent="0.2">
      <c r="A217" s="29"/>
      <c r="B217" s="30" t="s">
        <v>229</v>
      </c>
      <c r="C217" s="30" t="s">
        <v>2264</v>
      </c>
      <c r="D217" s="34" t="s">
        <v>1152</v>
      </c>
      <c r="E217" s="31">
        <v>3</v>
      </c>
      <c r="F217" s="31">
        <v>10200.25</v>
      </c>
      <c r="G217" s="32">
        <f t="shared" si="43"/>
        <v>30600.75</v>
      </c>
      <c r="H217" s="33">
        <f t="shared" si="41"/>
        <v>1.5866644619303894E-4</v>
      </c>
      <c r="K217" t="str">
        <f xml:space="preserve"> B213 &amp; B217</f>
        <v>Z000032003Z070303008</v>
      </c>
    </row>
    <row r="218" spans="1:11" outlineLevel="1" x14ac:dyDescent="0.2">
      <c r="A218" s="29"/>
      <c r="B218" s="30" t="s">
        <v>231</v>
      </c>
      <c r="C218" s="30" t="s">
        <v>2266</v>
      </c>
      <c r="D218" s="34" t="s">
        <v>1152</v>
      </c>
      <c r="E218" s="31">
        <v>48.22</v>
      </c>
      <c r="F218" s="31">
        <v>1910.56</v>
      </c>
      <c r="G218" s="32">
        <f t="shared" si="43"/>
        <v>92127.203199999989</v>
      </c>
      <c r="H218" s="33">
        <f t="shared" si="41"/>
        <v>4.7768423745979957E-4</v>
      </c>
      <c r="K218" t="str">
        <f xml:space="preserve"> B213 &amp; B218</f>
        <v>Z000032003Z070303009</v>
      </c>
    </row>
    <row r="219" spans="1:11" outlineLevel="1" x14ac:dyDescent="0.2">
      <c r="A219" s="29"/>
      <c r="B219" s="30" t="s">
        <v>269</v>
      </c>
      <c r="C219" s="30" t="s">
        <v>2268</v>
      </c>
      <c r="D219" s="34" t="s">
        <v>1152</v>
      </c>
      <c r="E219" s="31">
        <v>68.08</v>
      </c>
      <c r="F219" s="31">
        <v>1913.24</v>
      </c>
      <c r="G219" s="32">
        <f t="shared" si="43"/>
        <v>130253.3792</v>
      </c>
      <c r="H219" s="33">
        <f t="shared" si="41"/>
        <v>6.753704004737889E-4</v>
      </c>
      <c r="K219" t="str">
        <f xml:space="preserve"> B213 &amp; B219</f>
        <v>Z000032003Z070303010</v>
      </c>
    </row>
    <row r="220" spans="1:11" outlineLevel="1" x14ac:dyDescent="0.2">
      <c r="A220" s="29"/>
      <c r="B220" s="30" t="s">
        <v>270</v>
      </c>
      <c r="C220" s="30" t="s">
        <v>2276</v>
      </c>
      <c r="D220" s="34" t="s">
        <v>1152</v>
      </c>
      <c r="E220" s="31">
        <v>2.27</v>
      </c>
      <c r="F220" s="31">
        <v>2656.64</v>
      </c>
      <c r="G220" s="32">
        <f t="shared" si="43"/>
        <v>6030.5727999999999</v>
      </c>
      <c r="H220" s="33">
        <f t="shared" si="41"/>
        <v>3.1268826897523889E-5</v>
      </c>
      <c r="K220" t="str">
        <f xml:space="preserve"> B213 &amp; B220</f>
        <v>Z000032003Z070303011</v>
      </c>
    </row>
    <row r="221" spans="1:11" outlineLevel="1" x14ac:dyDescent="0.2">
      <c r="A221" s="29"/>
      <c r="B221" s="30" t="s">
        <v>272</v>
      </c>
      <c r="C221" s="30" t="s">
        <v>2278</v>
      </c>
      <c r="D221" s="34" t="s">
        <v>1152</v>
      </c>
      <c r="E221" s="31">
        <v>53.55</v>
      </c>
      <c r="F221" s="31">
        <v>1251.32</v>
      </c>
      <c r="G221" s="32">
        <f t="shared" si="43"/>
        <v>67008.185999999987</v>
      </c>
      <c r="H221" s="33">
        <f t="shared" si="41"/>
        <v>3.4744085483075227E-4</v>
      </c>
      <c r="K221" t="str">
        <f xml:space="preserve"> B213 &amp; B221</f>
        <v>Z000032003Z070303012</v>
      </c>
    </row>
    <row r="222" spans="1:11" outlineLevel="1" x14ac:dyDescent="0.2">
      <c r="A222" s="29"/>
      <c r="B222" s="30" t="s">
        <v>273</v>
      </c>
      <c r="C222" s="30" t="s">
        <v>2280</v>
      </c>
      <c r="D222" s="34" t="s">
        <v>1152</v>
      </c>
      <c r="E222" s="31">
        <v>75.900000000000006</v>
      </c>
      <c r="F222" s="31">
        <v>2446.6</v>
      </c>
      <c r="G222" s="32">
        <f t="shared" si="43"/>
        <v>185696.94</v>
      </c>
      <c r="H222" s="33">
        <f t="shared" si="41"/>
        <v>9.6284808505418915E-4</v>
      </c>
      <c r="K222" t="str">
        <f xml:space="preserve"> B213 &amp; B222</f>
        <v>Z000032003Z070303013</v>
      </c>
    </row>
    <row r="223" spans="1:11" outlineLevel="1" x14ac:dyDescent="0.2">
      <c r="A223" s="29"/>
      <c r="B223" s="30" t="s">
        <v>274</v>
      </c>
      <c r="C223" s="30" t="s">
        <v>777</v>
      </c>
      <c r="D223" s="34" t="s">
        <v>1819</v>
      </c>
      <c r="E223" s="31">
        <v>1</v>
      </c>
      <c r="F223" s="31">
        <v>12000</v>
      </c>
      <c r="G223" s="32">
        <f t="shared" si="43"/>
        <v>12000</v>
      </c>
      <c r="H223" s="33">
        <f t="shared" si="41"/>
        <v>6.2220610747006758E-5</v>
      </c>
      <c r="K223" t="str">
        <f xml:space="preserve"> B213 &amp; B223</f>
        <v>Z000032003Z070303014</v>
      </c>
    </row>
    <row r="224" spans="1:11" outlineLevel="1" x14ac:dyDescent="0.2">
      <c r="A224" s="29"/>
      <c r="B224" s="30" t="s">
        <v>275</v>
      </c>
      <c r="C224" s="30" t="s">
        <v>2283</v>
      </c>
      <c r="D224" s="34" t="s">
        <v>1819</v>
      </c>
      <c r="E224" s="31">
        <v>1</v>
      </c>
      <c r="F224" s="31">
        <v>18721.22</v>
      </c>
      <c r="G224" s="32">
        <f t="shared" si="43"/>
        <v>18721.22</v>
      </c>
      <c r="H224" s="33">
        <f t="shared" si="41"/>
        <v>9.7070478527423162E-5</v>
      </c>
      <c r="K224" t="str">
        <f xml:space="preserve"> B213 &amp; B224</f>
        <v>Z000032003Z070303015</v>
      </c>
    </row>
    <row r="225" spans="1:11" outlineLevel="1" x14ac:dyDescent="0.2">
      <c r="A225" s="29"/>
      <c r="B225" s="30" t="s">
        <v>277</v>
      </c>
      <c r="C225" s="30" t="s">
        <v>2285</v>
      </c>
      <c r="D225" s="34" t="s">
        <v>1819</v>
      </c>
      <c r="E225" s="31">
        <v>1</v>
      </c>
      <c r="F225" s="31">
        <v>29851.86</v>
      </c>
      <c r="G225" s="32">
        <f t="shared" si="43"/>
        <v>29851.86</v>
      </c>
      <c r="H225" s="33">
        <f t="shared" si="41"/>
        <v>1.547834134278451E-4</v>
      </c>
      <c r="K225" t="str">
        <f xml:space="preserve"> B213 &amp; B225</f>
        <v>Z000032003Z070303016</v>
      </c>
    </row>
    <row r="226" spans="1:11" outlineLevel="1" x14ac:dyDescent="0.2">
      <c r="A226" s="29"/>
      <c r="B226" s="30" t="s">
        <v>280</v>
      </c>
      <c r="C226" s="30" t="s">
        <v>2270</v>
      </c>
      <c r="D226" s="34" t="s">
        <v>1819</v>
      </c>
      <c r="E226" s="31">
        <v>1</v>
      </c>
      <c r="F226" s="31">
        <v>18721.22</v>
      </c>
      <c r="G226" s="32">
        <f t="shared" si="43"/>
        <v>18721.22</v>
      </c>
      <c r="H226" s="33">
        <f t="shared" si="41"/>
        <v>9.7070478527423162E-5</v>
      </c>
      <c r="K226" t="str">
        <f xml:space="preserve"> B213 &amp; B226</f>
        <v>Z000032003Z070303017</v>
      </c>
    </row>
    <row r="227" spans="1:11" outlineLevel="1" x14ac:dyDescent="0.2">
      <c r="A227" s="29"/>
      <c r="B227" s="30" t="s">
        <v>283</v>
      </c>
      <c r="C227" s="30" t="s">
        <v>2272</v>
      </c>
      <c r="D227" s="34" t="s">
        <v>1819</v>
      </c>
      <c r="E227" s="31">
        <v>1</v>
      </c>
      <c r="F227" s="31">
        <v>1600</v>
      </c>
      <c r="G227" s="32">
        <f t="shared" si="43"/>
        <v>1600</v>
      </c>
      <c r="H227" s="33">
        <f t="shared" si="41"/>
        <v>8.2960814329342346E-6</v>
      </c>
      <c r="K227" t="str">
        <f xml:space="preserve"> B213 &amp; B227</f>
        <v>Z000032003Z070303018</v>
      </c>
    </row>
    <row r="228" spans="1:11" outlineLevel="1" x14ac:dyDescent="0.2">
      <c r="A228" s="29"/>
      <c r="B228" s="30" t="s">
        <v>285</v>
      </c>
      <c r="C228" s="30" t="s">
        <v>2274</v>
      </c>
      <c r="D228" s="34" t="s">
        <v>1153</v>
      </c>
      <c r="E228" s="31">
        <v>16</v>
      </c>
      <c r="F228" s="31">
        <v>332.12</v>
      </c>
      <c r="G228" s="32">
        <f t="shared" si="43"/>
        <v>5313.92</v>
      </c>
      <c r="H228" s="33">
        <f t="shared" si="41"/>
        <v>2.7552945655061181E-5</v>
      </c>
      <c r="K228" t="str">
        <f xml:space="preserve"> B213 &amp; B228</f>
        <v>Z000032003Z070303019</v>
      </c>
    </row>
    <row r="229" spans="1:11" outlineLevel="1" x14ac:dyDescent="0.2">
      <c r="A229" s="11" t="s">
        <v>1062</v>
      </c>
      <c r="B229" s="11" t="s">
        <v>603</v>
      </c>
      <c r="C229" s="11" t="s">
        <v>2291</v>
      </c>
      <c r="D229" s="12" t="s">
        <v>1819</v>
      </c>
      <c r="E229" s="13">
        <v>1</v>
      </c>
      <c r="F229" s="14">
        <v>50000</v>
      </c>
      <c r="G229" s="15">
        <f>SUM(G230:G230)</f>
        <v>50000</v>
      </c>
      <c r="H229" s="16">
        <f t="shared" si="41"/>
        <v>2.5925254477919486E-4</v>
      </c>
    </row>
    <row r="230" spans="1:11" outlineLevel="1" x14ac:dyDescent="0.2">
      <c r="A230" s="29"/>
      <c r="B230" s="30" t="s">
        <v>211</v>
      </c>
      <c r="C230" s="30" t="s">
        <v>2289</v>
      </c>
      <c r="D230" s="34" t="s">
        <v>1819</v>
      </c>
      <c r="E230" s="31">
        <v>1</v>
      </c>
      <c r="F230" s="31">
        <v>50000</v>
      </c>
      <c r="G230" s="32">
        <f>F230*E230</f>
        <v>50000</v>
      </c>
      <c r="H230" s="33">
        <f t="shared" si="41"/>
        <v>2.5925254477919486E-4</v>
      </c>
      <c r="K230" t="str">
        <f xml:space="preserve"> B229 &amp; B230</f>
        <v>Z000032005Z070303004</v>
      </c>
    </row>
    <row r="231" spans="1:11" outlineLevel="1" x14ac:dyDescent="0.2">
      <c r="A231" s="11" t="s">
        <v>1066</v>
      </c>
      <c r="B231" s="11" t="s">
        <v>610</v>
      </c>
      <c r="C231" s="11" t="s">
        <v>2295</v>
      </c>
      <c r="D231" s="12" t="s">
        <v>1170</v>
      </c>
      <c r="E231" s="13">
        <v>22</v>
      </c>
      <c r="F231" s="14">
        <v>1600</v>
      </c>
      <c r="G231" s="15">
        <f>SUM(G232:G232)</f>
        <v>35200</v>
      </c>
      <c r="H231" s="16">
        <f t="shared" si="41"/>
        <v>1.8251379152455315E-4</v>
      </c>
    </row>
    <row r="232" spans="1:11" outlineLevel="1" x14ac:dyDescent="0.2">
      <c r="A232" s="29"/>
      <c r="B232" s="30" t="s">
        <v>332</v>
      </c>
      <c r="C232" s="30" t="s">
        <v>1523</v>
      </c>
      <c r="D232" s="34" t="s">
        <v>1170</v>
      </c>
      <c r="E232" s="31">
        <v>22</v>
      </c>
      <c r="F232" s="31">
        <v>1600</v>
      </c>
      <c r="G232" s="32">
        <f>F232*E232</f>
        <v>35200</v>
      </c>
      <c r="H232" s="33">
        <f t="shared" si="41"/>
        <v>1.8251379152455315E-4</v>
      </c>
      <c r="K232" t="str">
        <f xml:space="preserve"> B231 &amp; B232</f>
        <v>Z000032007Z070303020</v>
      </c>
    </row>
    <row r="233" spans="1:11" outlineLevel="1" x14ac:dyDescent="0.2">
      <c r="A233" s="11" t="s">
        <v>1069</v>
      </c>
      <c r="B233" s="11" t="s">
        <v>612</v>
      </c>
      <c r="C233" s="11" t="s">
        <v>2297</v>
      </c>
      <c r="D233" s="12" t="s">
        <v>1170</v>
      </c>
      <c r="E233" s="13">
        <v>22</v>
      </c>
      <c r="F233" s="14">
        <v>1960</v>
      </c>
      <c r="G233" s="15">
        <f>SUM(G234:G234)</f>
        <v>43120</v>
      </c>
      <c r="H233" s="16">
        <f t="shared" si="41"/>
        <v>2.2357939461757764E-4</v>
      </c>
    </row>
    <row r="234" spans="1:11" outlineLevel="1" x14ac:dyDescent="0.2">
      <c r="A234" s="29"/>
      <c r="B234" s="30" t="s">
        <v>336</v>
      </c>
      <c r="C234" s="30" t="s">
        <v>1023</v>
      </c>
      <c r="D234" s="34" t="s">
        <v>1170</v>
      </c>
      <c r="E234" s="31">
        <v>88</v>
      </c>
      <c r="F234" s="31">
        <v>490</v>
      </c>
      <c r="G234" s="32">
        <f>F234*E234</f>
        <v>43120</v>
      </c>
      <c r="H234" s="33">
        <f t="shared" si="41"/>
        <v>2.2357939461757764E-4</v>
      </c>
      <c r="K234" t="str">
        <f xml:space="preserve"> B233 &amp; B234</f>
        <v>Z000032008Z070303021</v>
      </c>
    </row>
    <row r="235" spans="1:11" outlineLevel="1" x14ac:dyDescent="0.2">
      <c r="A235" s="11" t="s">
        <v>1071</v>
      </c>
      <c r="B235" s="11" t="s">
        <v>615</v>
      </c>
      <c r="C235" s="11" t="s">
        <v>2299</v>
      </c>
      <c r="D235" s="12" t="s">
        <v>1170</v>
      </c>
      <c r="E235" s="13">
        <v>12</v>
      </c>
      <c r="F235" s="14">
        <v>500</v>
      </c>
      <c r="G235" s="15">
        <f>SUM(G236:G236)</f>
        <v>6000</v>
      </c>
      <c r="H235" s="16">
        <f t="shared" si="41"/>
        <v>3.1110305373503379E-5</v>
      </c>
    </row>
    <row r="236" spans="1:11" outlineLevel="1" x14ac:dyDescent="0.2">
      <c r="A236" s="29"/>
      <c r="B236" s="30" t="s">
        <v>339</v>
      </c>
      <c r="C236" s="30" t="s">
        <v>390</v>
      </c>
      <c r="D236" s="34" t="s">
        <v>1170</v>
      </c>
      <c r="E236" s="31">
        <v>12</v>
      </c>
      <c r="F236" s="31">
        <v>500</v>
      </c>
      <c r="G236" s="32">
        <f>F236*E236</f>
        <v>6000</v>
      </c>
      <c r="H236" s="33">
        <f t="shared" si="41"/>
        <v>3.1110305373503379E-5</v>
      </c>
      <c r="K236" t="str">
        <f xml:space="preserve"> B235 &amp; B236</f>
        <v>Z000032009Z070303022</v>
      </c>
    </row>
    <row r="237" spans="1:11" outlineLevel="1" x14ac:dyDescent="0.2">
      <c r="A237" s="11" t="s">
        <v>1073</v>
      </c>
      <c r="B237" s="11" t="s">
        <v>491</v>
      </c>
      <c r="C237" s="11" t="s">
        <v>2328</v>
      </c>
      <c r="D237" s="12" t="s">
        <v>153</v>
      </c>
      <c r="E237" s="13">
        <v>622</v>
      </c>
      <c r="F237" s="14">
        <v>42.385569999999994</v>
      </c>
      <c r="G237" s="15">
        <f>SUM(G238:G243)</f>
        <v>26363.824539999998</v>
      </c>
      <c r="H237" s="16">
        <f t="shared" si="41"/>
        <v>1.366977720421437E-4</v>
      </c>
    </row>
    <row r="238" spans="1:11" outlineLevel="1" x14ac:dyDescent="0.2">
      <c r="A238" s="29"/>
      <c r="B238" s="30" t="s">
        <v>877</v>
      </c>
      <c r="C238" s="30" t="s">
        <v>2332</v>
      </c>
      <c r="D238" s="34" t="s">
        <v>1781</v>
      </c>
      <c r="E238" s="31">
        <v>1038.74</v>
      </c>
      <c r="F238" s="31">
        <v>0.55000000000000004</v>
      </c>
      <c r="G238" s="32">
        <f t="shared" ref="G238:G243" si="44">F238*E238</f>
        <v>571.30700000000002</v>
      </c>
      <c r="H238" s="33">
        <f t="shared" si="41"/>
        <v>2.9622558720033496E-6</v>
      </c>
      <c r="K238" t="str">
        <f xml:space="preserve"> B237 &amp; B238</f>
        <v>Z000033002Z030201001</v>
      </c>
    </row>
    <row r="239" spans="1:11" outlineLevel="1" x14ac:dyDescent="0.2">
      <c r="A239" s="29"/>
      <c r="B239" s="30" t="s">
        <v>1009</v>
      </c>
      <c r="C239" s="30" t="s">
        <v>672</v>
      </c>
      <c r="D239" s="34" t="s">
        <v>151</v>
      </c>
      <c r="E239" s="31">
        <v>61.578000000000003</v>
      </c>
      <c r="F239" s="31">
        <v>16.489999999999998</v>
      </c>
      <c r="G239" s="32">
        <f t="shared" si="44"/>
        <v>1015.4212199999999</v>
      </c>
      <c r="H239" s="33">
        <f t="shared" si="41"/>
        <v>5.2650107061558931E-6</v>
      </c>
      <c r="K239" t="str">
        <f xml:space="preserve"> B237 &amp; B239</f>
        <v>Z000033002Z040201013</v>
      </c>
    </row>
    <row r="240" spans="1:11" outlineLevel="1" x14ac:dyDescent="0.2">
      <c r="A240" s="29"/>
      <c r="B240" s="30" t="s">
        <v>801</v>
      </c>
      <c r="C240" s="30" t="s">
        <v>402</v>
      </c>
      <c r="D240" s="34" t="s">
        <v>151</v>
      </c>
      <c r="E240" s="31">
        <v>41.052</v>
      </c>
      <c r="F240" s="31">
        <v>10.3</v>
      </c>
      <c r="G240" s="32">
        <f t="shared" si="44"/>
        <v>422.8356</v>
      </c>
      <c r="H240" s="33">
        <f t="shared" si="41"/>
        <v>2.1924241064647542E-6</v>
      </c>
      <c r="K240" t="str">
        <f xml:space="preserve"> B237 &amp; B240</f>
        <v>Z000033002Z040202006</v>
      </c>
    </row>
    <row r="241" spans="1:11" outlineLevel="1" x14ac:dyDescent="0.2">
      <c r="A241" s="29"/>
      <c r="B241" s="30" t="s">
        <v>938</v>
      </c>
      <c r="C241" s="30" t="s">
        <v>2326</v>
      </c>
      <c r="D241" s="34" t="s">
        <v>153</v>
      </c>
      <c r="E241" s="31">
        <v>622</v>
      </c>
      <c r="F241" s="31">
        <v>15</v>
      </c>
      <c r="G241" s="32">
        <f t="shared" si="44"/>
        <v>9330</v>
      </c>
      <c r="H241" s="33">
        <f t="shared" si="41"/>
        <v>4.8376524855797759E-5</v>
      </c>
      <c r="K241" t="str">
        <f xml:space="preserve"> B237 &amp; B241</f>
        <v>Z000033002Z040316003</v>
      </c>
    </row>
    <row r="242" spans="1:11" outlineLevel="1" x14ac:dyDescent="0.2">
      <c r="A242" s="29"/>
      <c r="B242" s="30" t="s">
        <v>498</v>
      </c>
      <c r="C242" s="30" t="s">
        <v>773</v>
      </c>
      <c r="D242" s="34" t="s">
        <v>84</v>
      </c>
      <c r="E242" s="31">
        <v>746.4</v>
      </c>
      <c r="F242" s="31">
        <v>2.3123</v>
      </c>
      <c r="G242" s="32">
        <f t="shared" si="44"/>
        <v>1725.9007199999999</v>
      </c>
      <c r="H242" s="33">
        <f t="shared" si="41"/>
        <v>8.9488830739248921E-6</v>
      </c>
      <c r="K242" t="str">
        <f xml:space="preserve"> B237 &amp; B242</f>
        <v>Z000033002Z040401001</v>
      </c>
    </row>
    <row r="243" spans="1:11" outlineLevel="1" x14ac:dyDescent="0.2">
      <c r="A243" s="29"/>
      <c r="B243" s="30" t="s">
        <v>341</v>
      </c>
      <c r="C243" s="30" t="s">
        <v>2330</v>
      </c>
      <c r="D243" s="34" t="s">
        <v>153</v>
      </c>
      <c r="E243" s="31">
        <v>622</v>
      </c>
      <c r="F243" s="31">
        <v>21.38</v>
      </c>
      <c r="G243" s="32">
        <f t="shared" si="44"/>
        <v>13298.359999999999</v>
      </c>
      <c r="H243" s="33">
        <f t="shared" si="41"/>
        <v>6.895267342779706E-5</v>
      </c>
      <c r="K243" t="str">
        <f xml:space="preserve"> B237 &amp; B243</f>
        <v>Z000033002Z070303023</v>
      </c>
    </row>
    <row r="244" spans="1:11" outlineLevel="1" x14ac:dyDescent="0.2">
      <c r="A244" s="11" t="s">
        <v>1074</v>
      </c>
      <c r="B244" s="11" t="s">
        <v>595</v>
      </c>
      <c r="C244" s="11" t="s">
        <v>839</v>
      </c>
      <c r="D244" s="12" t="s">
        <v>1819</v>
      </c>
      <c r="E244" s="13">
        <v>1</v>
      </c>
      <c r="F244" s="14">
        <v>22200</v>
      </c>
      <c r="G244" s="15">
        <f>SUM(G245:G245)</f>
        <v>22200</v>
      </c>
      <c r="H244" s="16">
        <f t="shared" si="41"/>
        <v>1.1510812988196251E-4</v>
      </c>
    </row>
    <row r="245" spans="1:11" outlineLevel="1" x14ac:dyDescent="0.2">
      <c r="A245" s="29"/>
      <c r="B245" s="30" t="s">
        <v>207</v>
      </c>
      <c r="C245" s="30" t="s">
        <v>2257</v>
      </c>
      <c r="D245" s="34" t="s">
        <v>1819</v>
      </c>
      <c r="E245" s="31">
        <v>1</v>
      </c>
      <c r="F245" s="31">
        <v>22200</v>
      </c>
      <c r="G245" s="32">
        <f>F245*E245</f>
        <v>22200</v>
      </c>
      <c r="H245" s="33">
        <f t="shared" si="41"/>
        <v>1.1510812988196251E-4</v>
      </c>
      <c r="K245" t="str">
        <f xml:space="preserve"> B244 &amp; B245</f>
        <v>Z000032002Z070303003</v>
      </c>
    </row>
    <row r="246" spans="1:11" outlineLevel="1" x14ac:dyDescent="0.2">
      <c r="A246" s="11" t="s">
        <v>1076</v>
      </c>
      <c r="B246" s="11" t="s">
        <v>669</v>
      </c>
      <c r="C246" s="11" t="s">
        <v>2301</v>
      </c>
      <c r="D246" s="12" t="s">
        <v>1170</v>
      </c>
      <c r="E246" s="13">
        <v>24</v>
      </c>
      <c r="F246" s="14">
        <v>1490</v>
      </c>
      <c r="G246" s="15">
        <f>SUM(G247:G247)</f>
        <v>35760</v>
      </c>
      <c r="H246" s="16">
        <f t="shared" si="41"/>
        <v>1.8541742002608014E-4</v>
      </c>
    </row>
    <row r="247" spans="1:11" outlineLevel="1" x14ac:dyDescent="0.2">
      <c r="A247" s="29"/>
      <c r="B247" s="30" t="s">
        <v>344</v>
      </c>
      <c r="C247" s="30" t="s">
        <v>1745</v>
      </c>
      <c r="D247" s="34" t="s">
        <v>1170</v>
      </c>
      <c r="E247" s="31">
        <v>24</v>
      </c>
      <c r="F247" s="31">
        <v>1490</v>
      </c>
      <c r="G247" s="32">
        <f>F247*E247</f>
        <v>35760</v>
      </c>
      <c r="H247" s="33">
        <f t="shared" si="41"/>
        <v>1.8541742002608014E-4</v>
      </c>
      <c r="K247" t="str">
        <f xml:space="preserve"> B246 &amp; B247</f>
        <v>Z000032010Z070303024</v>
      </c>
    </row>
    <row r="248" spans="1:11" ht="15" x14ac:dyDescent="0.2">
      <c r="A248" s="17" t="s">
        <v>2000</v>
      </c>
      <c r="B248" s="17" t="s">
        <v>328</v>
      </c>
      <c r="C248" s="17" t="s">
        <v>1716</v>
      </c>
      <c r="D248" s="18"/>
      <c r="E248" s="19"/>
      <c r="F248" s="20"/>
      <c r="G248" s="21">
        <f>SUM(G249)</f>
        <v>213705.56247458403</v>
      </c>
      <c r="H248" s="22">
        <f t="shared" si="41"/>
        <v>1.1080742181001023E-3</v>
      </c>
    </row>
    <row r="249" spans="1:11" outlineLevel="1" x14ac:dyDescent="0.2">
      <c r="A249" s="11" t="s">
        <v>910</v>
      </c>
      <c r="B249" s="11" t="s">
        <v>488</v>
      </c>
      <c r="C249" s="11" t="s">
        <v>1511</v>
      </c>
      <c r="D249" s="12" t="s">
        <v>1152</v>
      </c>
      <c r="E249" s="13">
        <v>1369.44</v>
      </c>
      <c r="F249" s="14">
        <v>156.05324985000001</v>
      </c>
      <c r="G249" s="15">
        <f>SUM(G250:G267)</f>
        <v>213705.56247458403</v>
      </c>
      <c r="H249" s="16">
        <f t="shared" si="41"/>
        <v>1.1080742181001023E-3</v>
      </c>
    </row>
    <row r="250" spans="1:11" outlineLevel="1" x14ac:dyDescent="0.2">
      <c r="A250" s="29"/>
      <c r="B250" s="30" t="s">
        <v>1061</v>
      </c>
      <c r="C250" s="30" t="s">
        <v>1950</v>
      </c>
      <c r="D250" s="34" t="s">
        <v>1052</v>
      </c>
      <c r="E250" s="31">
        <v>58.612031999999999</v>
      </c>
      <c r="F250" s="31">
        <v>10.52</v>
      </c>
      <c r="G250" s="32">
        <f t="shared" ref="G250:G267" si="45">F250*E250</f>
        <v>616.59857663999992</v>
      </c>
      <c r="H250" s="33">
        <f t="shared" si="41"/>
        <v>3.1970950020229878E-6</v>
      </c>
      <c r="K250" t="str">
        <f xml:space="preserve"> B249 &amp; B250</f>
        <v>Z000033001Z010109007</v>
      </c>
    </row>
    <row r="251" spans="1:11" outlineLevel="1" x14ac:dyDescent="0.2">
      <c r="A251" s="29"/>
      <c r="B251" s="30" t="s">
        <v>1654</v>
      </c>
      <c r="C251" s="30" t="s">
        <v>1551</v>
      </c>
      <c r="D251" s="34" t="s">
        <v>1052</v>
      </c>
      <c r="E251" s="31">
        <v>350.71358400000003</v>
      </c>
      <c r="F251" s="31">
        <v>0.7974</v>
      </c>
      <c r="G251" s="32">
        <f t="shared" si="45"/>
        <v>279.65901188160001</v>
      </c>
      <c r="H251" s="33">
        <f t="shared" si="41"/>
        <v>1.4500462100147977E-6</v>
      </c>
      <c r="K251" t="str">
        <f xml:space="preserve"> B249 &amp; B251</f>
        <v>Z000033001Z010301001</v>
      </c>
    </row>
    <row r="252" spans="1:11" outlineLevel="1" x14ac:dyDescent="0.2">
      <c r="A252" s="29"/>
      <c r="B252" s="30" t="s">
        <v>1379</v>
      </c>
      <c r="C252" s="30" t="s">
        <v>1626</v>
      </c>
      <c r="D252" s="34" t="s">
        <v>1153</v>
      </c>
      <c r="E252" s="31">
        <v>0.95860800000000002</v>
      </c>
      <c r="F252" s="31">
        <v>116.09</v>
      </c>
      <c r="G252" s="32">
        <f t="shared" si="45"/>
        <v>111.28480272</v>
      </c>
      <c r="H252" s="33">
        <f t="shared" si="41"/>
        <v>5.770173660082133E-7</v>
      </c>
      <c r="K252" t="str">
        <f xml:space="preserve"> B249 &amp; B252</f>
        <v>Z000033001Z010303003</v>
      </c>
    </row>
    <row r="253" spans="1:11" outlineLevel="1" x14ac:dyDescent="0.2">
      <c r="A253" s="29"/>
      <c r="B253" s="30" t="s">
        <v>1258</v>
      </c>
      <c r="C253" s="30" t="s">
        <v>1526</v>
      </c>
      <c r="D253" s="34" t="s">
        <v>1153</v>
      </c>
      <c r="E253" s="31">
        <v>1.36944</v>
      </c>
      <c r="F253" s="31">
        <v>148</v>
      </c>
      <c r="G253" s="32">
        <f t="shared" si="45"/>
        <v>202.67712</v>
      </c>
      <c r="H253" s="33">
        <f t="shared" si="41"/>
        <v>1.0508911825703648E-6</v>
      </c>
      <c r="K253" t="str">
        <f xml:space="preserve"> B249 &amp; B253</f>
        <v>Z000033001Z010304001</v>
      </c>
    </row>
    <row r="254" spans="1:11" outlineLevel="1" x14ac:dyDescent="0.2">
      <c r="A254" s="29"/>
      <c r="B254" s="30" t="s">
        <v>324</v>
      </c>
      <c r="C254" s="30" t="s">
        <v>2306</v>
      </c>
      <c r="D254" s="34" t="s">
        <v>153</v>
      </c>
      <c r="E254" s="31">
        <v>1369.44</v>
      </c>
      <c r="F254" s="31">
        <v>18.329999999999998</v>
      </c>
      <c r="G254" s="32">
        <f t="shared" si="45"/>
        <v>25101.835199999998</v>
      </c>
      <c r="H254" s="33">
        <f t="shared" si="41"/>
        <v>1.3015429308455936E-4</v>
      </c>
      <c r="K254" t="str">
        <f xml:space="preserve"> B249 &amp; B254</f>
        <v>Z000033001Z010402004</v>
      </c>
    </row>
    <row r="255" spans="1:11" outlineLevel="1" x14ac:dyDescent="0.2">
      <c r="A255" s="29"/>
      <c r="B255" s="30" t="s">
        <v>1947</v>
      </c>
      <c r="C255" s="30" t="s">
        <v>2308</v>
      </c>
      <c r="D255" s="34" t="s">
        <v>153</v>
      </c>
      <c r="E255" s="31">
        <v>1680.7137120000002</v>
      </c>
      <c r="F255" s="31">
        <v>26.4</v>
      </c>
      <c r="G255" s="32">
        <f t="shared" si="45"/>
        <v>44370.841996800002</v>
      </c>
      <c r="H255" s="33">
        <f t="shared" si="41"/>
        <v>2.3006507403331943E-4</v>
      </c>
      <c r="K255" t="str">
        <f xml:space="preserve"> B249 &amp; B255</f>
        <v>Z000033001Z010405001</v>
      </c>
    </row>
    <row r="256" spans="1:11" outlineLevel="1" x14ac:dyDescent="0.2">
      <c r="A256" s="29"/>
      <c r="B256" s="30" t="s">
        <v>944</v>
      </c>
      <c r="C256" s="30" t="s">
        <v>1601</v>
      </c>
      <c r="D256" s="34" t="s">
        <v>151</v>
      </c>
      <c r="E256" s="31">
        <v>779.3483040000001</v>
      </c>
      <c r="F256" s="31">
        <v>19.170000000000002</v>
      </c>
      <c r="G256" s="32">
        <f t="shared" si="45"/>
        <v>14940.106987680003</v>
      </c>
      <c r="H256" s="33">
        <f t="shared" si="41"/>
        <v>7.7465215116589436E-5</v>
      </c>
      <c r="K256" t="str">
        <f xml:space="preserve"> B249 &amp; B256</f>
        <v>Z000033001Z040201005</v>
      </c>
    </row>
    <row r="257" spans="1:11" outlineLevel="1" x14ac:dyDescent="0.2">
      <c r="A257" s="29"/>
      <c r="B257" s="30" t="s">
        <v>794</v>
      </c>
      <c r="C257" s="30" t="s">
        <v>446</v>
      </c>
      <c r="D257" s="34" t="s">
        <v>151</v>
      </c>
      <c r="E257" s="31">
        <v>259.78276800000003</v>
      </c>
      <c r="F257" s="31">
        <v>11.1343</v>
      </c>
      <c r="G257" s="32">
        <f t="shared" si="45"/>
        <v>2892.4992737424004</v>
      </c>
      <c r="H257" s="33">
        <f t="shared" si="41"/>
        <v>1.4997755949793805E-5</v>
      </c>
      <c r="K257" t="str">
        <f xml:space="preserve"> B249 &amp; B257</f>
        <v>Z000033001Z040202002</v>
      </c>
    </row>
    <row r="258" spans="1:11" outlineLevel="1" x14ac:dyDescent="0.2">
      <c r="A258" s="29"/>
      <c r="B258" s="30" t="s">
        <v>801</v>
      </c>
      <c r="C258" s="30" t="s">
        <v>402</v>
      </c>
      <c r="D258" s="34" t="s">
        <v>151</v>
      </c>
      <c r="E258" s="31">
        <v>3.4236000000000004</v>
      </c>
      <c r="F258" s="31">
        <v>10.3</v>
      </c>
      <c r="G258" s="32">
        <f t="shared" si="45"/>
        <v>35.263080000000009</v>
      </c>
      <c r="H258" s="33">
        <f t="shared" si="41"/>
        <v>1.8284086453504665E-7</v>
      </c>
      <c r="K258" t="str">
        <f xml:space="preserve"> B249 &amp; B258</f>
        <v>Z000033001Z040202006</v>
      </c>
    </row>
    <row r="259" spans="1:11" outlineLevel="1" x14ac:dyDescent="0.2">
      <c r="A259" s="29"/>
      <c r="B259" s="30" t="s">
        <v>547</v>
      </c>
      <c r="C259" s="30" t="s">
        <v>2320</v>
      </c>
      <c r="D259" s="34" t="s">
        <v>151</v>
      </c>
      <c r="E259" s="31">
        <v>0</v>
      </c>
      <c r="F259" s="31">
        <v>13.51</v>
      </c>
      <c r="G259" s="32">
        <f t="shared" si="45"/>
        <v>0</v>
      </c>
      <c r="H259" s="33">
        <f t="shared" si="41"/>
        <v>0</v>
      </c>
      <c r="K259" t="str">
        <f xml:space="preserve"> B249 &amp; B259</f>
        <v>Z000033001Z040204001</v>
      </c>
    </row>
    <row r="260" spans="1:11" outlineLevel="1" x14ac:dyDescent="0.2">
      <c r="A260" s="29"/>
      <c r="B260" s="30" t="s">
        <v>933</v>
      </c>
      <c r="C260" s="30" t="s">
        <v>2322</v>
      </c>
      <c r="D260" s="34" t="s">
        <v>1152</v>
      </c>
      <c r="E260" s="31">
        <v>821.66399999999999</v>
      </c>
      <c r="F260" s="31">
        <v>45</v>
      </c>
      <c r="G260" s="32">
        <f t="shared" si="45"/>
        <v>36974.879999999997</v>
      </c>
      <c r="H260" s="33">
        <f t="shared" si="41"/>
        <v>1.9171663465810711E-4</v>
      </c>
      <c r="K260" t="str">
        <f xml:space="preserve"> B249 &amp; B260</f>
        <v>Z000033001Z040316001</v>
      </c>
    </row>
    <row r="261" spans="1:11" outlineLevel="1" x14ac:dyDescent="0.2">
      <c r="A261" s="29"/>
      <c r="B261" s="30" t="s">
        <v>936</v>
      </c>
      <c r="C261" s="30" t="s">
        <v>2324</v>
      </c>
      <c r="D261" s="34" t="s">
        <v>1152</v>
      </c>
      <c r="E261" s="31">
        <v>547.77600000000007</v>
      </c>
      <c r="F261" s="31">
        <v>45</v>
      </c>
      <c r="G261" s="32">
        <f t="shared" si="45"/>
        <v>24649.920000000002</v>
      </c>
      <c r="H261" s="33">
        <f t="shared" si="41"/>
        <v>1.2781108977207142E-4</v>
      </c>
      <c r="K261" t="str">
        <f xml:space="preserve"> B249 &amp; B261</f>
        <v>Z000033001Z040316002</v>
      </c>
    </row>
    <row r="262" spans="1:11" outlineLevel="1" x14ac:dyDescent="0.2">
      <c r="A262" s="29"/>
      <c r="B262" s="30" t="s">
        <v>498</v>
      </c>
      <c r="C262" s="30" t="s">
        <v>773</v>
      </c>
      <c r="D262" s="34" t="s">
        <v>84</v>
      </c>
      <c r="E262" s="31">
        <v>1643.328</v>
      </c>
      <c r="F262" s="31">
        <v>13.047599999999999</v>
      </c>
      <c r="G262" s="32">
        <f t="shared" si="45"/>
        <v>21441.486412799997</v>
      </c>
      <c r="H262" s="33">
        <f t="shared" si="41"/>
        <v>1.1117519832733858E-4</v>
      </c>
      <c r="K262" t="str">
        <f xml:space="preserve"> B249 &amp; B262</f>
        <v>Z000033001Z040401001</v>
      </c>
    </row>
    <row r="263" spans="1:11" outlineLevel="1" x14ac:dyDescent="0.2">
      <c r="A263" s="29"/>
      <c r="B263" s="30" t="s">
        <v>1970</v>
      </c>
      <c r="C263" s="30" t="s">
        <v>1166</v>
      </c>
      <c r="D263" s="34" t="s">
        <v>764</v>
      </c>
      <c r="E263" s="31">
        <v>0</v>
      </c>
      <c r="F263" s="31">
        <v>30.29</v>
      </c>
      <c r="G263" s="32">
        <f t="shared" si="45"/>
        <v>0</v>
      </c>
      <c r="H263" s="33">
        <f t="shared" si="41"/>
        <v>0</v>
      </c>
      <c r="K263" t="str">
        <f xml:space="preserve"> B249 &amp; B263</f>
        <v>Z000033001Z050103007</v>
      </c>
    </row>
    <row r="264" spans="1:11" outlineLevel="1" x14ac:dyDescent="0.2">
      <c r="A264" s="29"/>
      <c r="B264" s="30" t="s">
        <v>1971</v>
      </c>
      <c r="C264" s="30" t="s">
        <v>1147</v>
      </c>
      <c r="D264" s="34" t="s">
        <v>742</v>
      </c>
      <c r="E264" s="31">
        <v>0</v>
      </c>
      <c r="F264" s="31">
        <v>28.81</v>
      </c>
      <c r="G264" s="32">
        <f t="shared" si="45"/>
        <v>0</v>
      </c>
      <c r="H264" s="33">
        <f t="shared" si="41"/>
        <v>0</v>
      </c>
      <c r="K264" t="str">
        <f xml:space="preserve"> B249 &amp; B264</f>
        <v>Z000033001Z050103008</v>
      </c>
    </row>
    <row r="265" spans="1:11" outlineLevel="1" x14ac:dyDescent="0.2">
      <c r="A265" s="29"/>
      <c r="B265" s="30" t="s">
        <v>66</v>
      </c>
      <c r="C265" s="30" t="s">
        <v>617</v>
      </c>
      <c r="D265" s="34" t="s">
        <v>764</v>
      </c>
      <c r="E265" s="31">
        <v>0</v>
      </c>
      <c r="F265" s="31">
        <v>5.45</v>
      </c>
      <c r="G265" s="32">
        <f t="shared" si="45"/>
        <v>0</v>
      </c>
      <c r="H265" s="33">
        <f t="shared" si="41"/>
        <v>0</v>
      </c>
      <c r="K265" t="str">
        <f xml:space="preserve"> B249 &amp; B265</f>
        <v>Z000033001Z050103019</v>
      </c>
    </row>
    <row r="266" spans="1:11" outlineLevel="1" x14ac:dyDescent="0.2">
      <c r="A266" s="29"/>
      <c r="B266" s="30" t="s">
        <v>120</v>
      </c>
      <c r="C266" s="30" t="s">
        <v>597</v>
      </c>
      <c r="D266" s="34" t="s">
        <v>742</v>
      </c>
      <c r="E266" s="31">
        <v>0</v>
      </c>
      <c r="F266" s="31">
        <v>1.52</v>
      </c>
      <c r="G266" s="32">
        <f t="shared" si="45"/>
        <v>0</v>
      </c>
      <c r="H266" s="33">
        <f t="shared" si="41"/>
        <v>0</v>
      </c>
      <c r="K266" t="str">
        <f xml:space="preserve"> B249 &amp; B266</f>
        <v>Z000033001Z050103020</v>
      </c>
    </row>
    <row r="267" spans="1:11" outlineLevel="1" x14ac:dyDescent="0.2">
      <c r="A267" s="29"/>
      <c r="B267" s="30" t="s">
        <v>1952</v>
      </c>
      <c r="C267" s="30" t="s">
        <v>2315</v>
      </c>
      <c r="D267" s="34" t="s">
        <v>1152</v>
      </c>
      <c r="E267" s="31">
        <v>801.53323200000011</v>
      </c>
      <c r="F267" s="31">
        <v>52.51</v>
      </c>
      <c r="G267" s="32">
        <f t="shared" si="45"/>
        <v>42088.510012320003</v>
      </c>
      <c r="H267" s="33">
        <f t="shared" si="41"/>
        <v>2.1823106653317165E-4</v>
      </c>
      <c r="K267" t="str">
        <f xml:space="preserve"> B249 &amp; B267</f>
        <v>Z000033001Z070305001</v>
      </c>
    </row>
    <row r="268" spans="1:11" ht="18.75" x14ac:dyDescent="0.2">
      <c r="A268" s="5">
        <v>4</v>
      </c>
      <c r="B268" s="5" t="s">
        <v>328</v>
      </c>
      <c r="C268" s="5" t="s">
        <v>1954</v>
      </c>
      <c r="D268" s="6"/>
      <c r="E268" s="7"/>
      <c r="F268" s="8"/>
      <c r="G268" s="9">
        <f>SUM(G269,G270)</f>
        <v>284406.01517720002</v>
      </c>
      <c r="H268" s="10">
        <f t="shared" si="41"/>
        <v>1.4746596637039884E-3</v>
      </c>
    </row>
    <row r="269" spans="1:11" ht="15" x14ac:dyDescent="0.2">
      <c r="A269" s="17" t="s">
        <v>2001</v>
      </c>
      <c r="B269" s="17" t="s">
        <v>328</v>
      </c>
      <c r="C269" s="17" t="s">
        <v>1951</v>
      </c>
      <c r="D269" s="18"/>
      <c r="E269" s="19"/>
      <c r="F269" s="20"/>
      <c r="G269" s="21">
        <v>0</v>
      </c>
      <c r="H269" s="22">
        <f t="shared" si="41"/>
        <v>0</v>
      </c>
    </row>
    <row r="270" spans="1:11" ht="15" x14ac:dyDescent="0.2">
      <c r="A270" s="17" t="s">
        <v>2002</v>
      </c>
      <c r="B270" s="17" t="s">
        <v>328</v>
      </c>
      <c r="C270" s="17" t="s">
        <v>1966</v>
      </c>
      <c r="D270" s="18"/>
      <c r="E270" s="19"/>
      <c r="F270" s="20"/>
      <c r="G270" s="21">
        <f>SUM(G271,G289)</f>
        <v>284406.01517720002</v>
      </c>
      <c r="H270" s="22">
        <f t="shared" ref="H270:H337" si="46">G270/$F$2</f>
        <v>1.4746596637039884E-3</v>
      </c>
    </row>
    <row r="271" spans="1:11" outlineLevel="1" x14ac:dyDescent="0.2">
      <c r="A271" s="11" t="s">
        <v>990</v>
      </c>
      <c r="B271" s="11" t="s">
        <v>475</v>
      </c>
      <c r="C271" s="11" t="s">
        <v>1902</v>
      </c>
      <c r="D271" s="12" t="s">
        <v>153</v>
      </c>
      <c r="E271" s="13">
        <v>580</v>
      </c>
      <c r="F271" s="14">
        <v>71.38968134000001</v>
      </c>
      <c r="G271" s="15">
        <f>SUM(G272:G288)</f>
        <v>41406.015177200003</v>
      </c>
      <c r="H271" s="16">
        <f t="shared" si="46"/>
        <v>2.1469229607710131E-4</v>
      </c>
    </row>
    <row r="272" spans="1:11" outlineLevel="1" x14ac:dyDescent="0.2">
      <c r="A272" s="29"/>
      <c r="B272" s="30" t="s">
        <v>1047</v>
      </c>
      <c r="C272" s="30" t="s">
        <v>1127</v>
      </c>
      <c r="D272" s="34" t="s">
        <v>1052</v>
      </c>
      <c r="E272" s="31">
        <v>67.337999999999994</v>
      </c>
      <c r="F272" s="31">
        <v>13.77</v>
      </c>
      <c r="G272" s="32">
        <f t="shared" ref="G272:G288" si="47">F272*E272</f>
        <v>927.24425999999994</v>
      </c>
      <c r="H272" s="33">
        <f t="shared" si="46"/>
        <v>4.8078086807380275E-6</v>
      </c>
      <c r="K272" t="str">
        <f xml:space="preserve"> B271 &amp; B272</f>
        <v>Z000042001Z010109004</v>
      </c>
    </row>
    <row r="273" spans="1:11" outlineLevel="1" x14ac:dyDescent="0.2">
      <c r="A273" s="29"/>
      <c r="B273" s="30" t="s">
        <v>1654</v>
      </c>
      <c r="C273" s="30" t="s">
        <v>1551</v>
      </c>
      <c r="D273" s="34" t="s">
        <v>1052</v>
      </c>
      <c r="E273" s="31">
        <v>569.50199999999995</v>
      </c>
      <c r="F273" s="31">
        <v>0.7974</v>
      </c>
      <c r="G273" s="32">
        <f t="shared" si="47"/>
        <v>454.12089479999997</v>
      </c>
      <c r="H273" s="33">
        <f t="shared" si="46"/>
        <v>2.3546399522861006E-6</v>
      </c>
      <c r="K273" t="str">
        <f xml:space="preserve"> B271 &amp; B273</f>
        <v>Z000042001Z010301001</v>
      </c>
    </row>
    <row r="274" spans="1:11" outlineLevel="1" x14ac:dyDescent="0.2">
      <c r="A274" s="29"/>
      <c r="B274" s="30" t="s">
        <v>1379</v>
      </c>
      <c r="C274" s="30" t="s">
        <v>1626</v>
      </c>
      <c r="D274" s="34" t="s">
        <v>1153</v>
      </c>
      <c r="E274" s="31">
        <v>1.5660000000000001</v>
      </c>
      <c r="F274" s="31">
        <v>116.09</v>
      </c>
      <c r="G274" s="32">
        <f t="shared" si="47"/>
        <v>181.79694000000001</v>
      </c>
      <c r="H274" s="33">
        <f t="shared" si="46"/>
        <v>9.4262638656141194E-7</v>
      </c>
      <c r="K274" t="str">
        <f xml:space="preserve"> B271 &amp; B274</f>
        <v>Z000042001Z010303003</v>
      </c>
    </row>
    <row r="275" spans="1:11" outlineLevel="1" x14ac:dyDescent="0.2">
      <c r="A275" s="29"/>
      <c r="B275" s="30" t="s">
        <v>1258</v>
      </c>
      <c r="C275" s="30" t="s">
        <v>1526</v>
      </c>
      <c r="D275" s="34" t="s">
        <v>1153</v>
      </c>
      <c r="E275" s="31">
        <v>2.2040000000000002</v>
      </c>
      <c r="F275" s="31">
        <v>148</v>
      </c>
      <c r="G275" s="32">
        <f t="shared" si="47"/>
        <v>326.19200000000001</v>
      </c>
      <c r="H275" s="33">
        <f t="shared" si="46"/>
        <v>1.6913221217323024E-6</v>
      </c>
      <c r="K275" t="str">
        <f xml:space="preserve"> B271 &amp; B275</f>
        <v>Z000042001Z010304001</v>
      </c>
    </row>
    <row r="276" spans="1:11" outlineLevel="1" x14ac:dyDescent="0.2">
      <c r="A276" s="29"/>
      <c r="B276" s="30" t="s">
        <v>326</v>
      </c>
      <c r="C276" s="30" t="s">
        <v>436</v>
      </c>
      <c r="D276" s="34" t="s">
        <v>153</v>
      </c>
      <c r="E276" s="31">
        <v>319</v>
      </c>
      <c r="F276" s="31">
        <v>12.49</v>
      </c>
      <c r="G276" s="32">
        <f t="shared" si="47"/>
        <v>3984.31</v>
      </c>
      <c r="H276" s="33">
        <f t="shared" si="46"/>
        <v>2.0658850133783876E-5</v>
      </c>
      <c r="K276" t="str">
        <f xml:space="preserve"> B271 &amp; B276</f>
        <v>Z000042001Z010402005</v>
      </c>
    </row>
    <row r="277" spans="1:11" outlineLevel="1" x14ac:dyDescent="0.2">
      <c r="A277" s="29"/>
      <c r="B277" s="30" t="s">
        <v>80</v>
      </c>
      <c r="C277" s="30" t="s">
        <v>2343</v>
      </c>
      <c r="D277" s="34" t="s">
        <v>153</v>
      </c>
      <c r="E277" s="31">
        <v>431.81</v>
      </c>
      <c r="F277" s="31">
        <v>7.34</v>
      </c>
      <c r="G277" s="32">
        <f t="shared" si="47"/>
        <v>3169.4854</v>
      </c>
      <c r="H277" s="33">
        <f t="shared" si="46"/>
        <v>1.6433943111810087E-5</v>
      </c>
      <c r="K277" t="str">
        <f xml:space="preserve"> B271 &amp; B277</f>
        <v>Z000042001Z010404001</v>
      </c>
    </row>
    <row r="278" spans="1:11" outlineLevel="1" x14ac:dyDescent="0.2">
      <c r="A278" s="29"/>
      <c r="B278" s="30" t="s">
        <v>1947</v>
      </c>
      <c r="C278" s="30" t="s">
        <v>2308</v>
      </c>
      <c r="D278" s="34" t="s">
        <v>153</v>
      </c>
      <c r="E278" s="31">
        <v>239.25</v>
      </c>
      <c r="F278" s="31">
        <v>26.4</v>
      </c>
      <c r="G278" s="32">
        <f t="shared" si="47"/>
        <v>6316.2</v>
      </c>
      <c r="H278" s="33">
        <f t="shared" si="46"/>
        <v>3.2749818466687011E-5</v>
      </c>
      <c r="K278" t="str">
        <f xml:space="preserve"> B271 &amp; B278</f>
        <v>Z000042001Z010405001</v>
      </c>
    </row>
    <row r="279" spans="1:11" outlineLevel="1" x14ac:dyDescent="0.2">
      <c r="A279" s="29"/>
      <c r="B279" s="30" t="s">
        <v>836</v>
      </c>
      <c r="C279" s="30" t="s">
        <v>195</v>
      </c>
      <c r="D279" s="34" t="s">
        <v>152</v>
      </c>
      <c r="E279" s="31">
        <v>14.848000000000001</v>
      </c>
      <c r="F279" s="31">
        <v>25.039400000000001</v>
      </c>
      <c r="G279" s="32">
        <f t="shared" si="47"/>
        <v>371.78501120000004</v>
      </c>
      <c r="H279" s="33">
        <f t="shared" si="46"/>
        <v>1.9277242052872295E-6</v>
      </c>
      <c r="K279" t="str">
        <f xml:space="preserve"> B271 &amp; B279</f>
        <v>Z000042001Z020504001</v>
      </c>
    </row>
    <row r="280" spans="1:11" outlineLevel="1" x14ac:dyDescent="0.2">
      <c r="A280" s="29"/>
      <c r="B280" s="30" t="s">
        <v>944</v>
      </c>
      <c r="C280" s="30" t="s">
        <v>1601</v>
      </c>
      <c r="D280" s="34" t="s">
        <v>151</v>
      </c>
      <c r="E280" s="31">
        <v>469.39400000000001</v>
      </c>
      <c r="F280" s="31">
        <v>19.170000000000002</v>
      </c>
      <c r="G280" s="32">
        <f t="shared" si="47"/>
        <v>8998.2829800000018</v>
      </c>
      <c r="H280" s="33">
        <f t="shared" si="46"/>
        <v>4.6656555224166348E-5</v>
      </c>
      <c r="K280" t="str">
        <f xml:space="preserve"> B271 &amp; B280</f>
        <v>Z000042001Z040201005</v>
      </c>
    </row>
    <row r="281" spans="1:11" outlineLevel="1" x14ac:dyDescent="0.2">
      <c r="A281" s="29"/>
      <c r="B281" s="30" t="s">
        <v>794</v>
      </c>
      <c r="C281" s="30" t="s">
        <v>446</v>
      </c>
      <c r="D281" s="34" t="s">
        <v>151</v>
      </c>
      <c r="E281" s="31">
        <v>234.78399999999999</v>
      </c>
      <c r="F281" s="31">
        <v>11.1343</v>
      </c>
      <c r="G281" s="32">
        <f t="shared" si="47"/>
        <v>2614.1554911999997</v>
      </c>
      <c r="H281" s="33">
        <f t="shared" si="46"/>
        <v>1.355452927084212E-5</v>
      </c>
      <c r="K281" t="str">
        <f xml:space="preserve"> B271 &amp; B281</f>
        <v>Z000042001Z040202002</v>
      </c>
    </row>
    <row r="282" spans="1:11" outlineLevel="1" x14ac:dyDescent="0.2">
      <c r="A282" s="29"/>
      <c r="B282" s="30" t="s">
        <v>801</v>
      </c>
      <c r="C282" s="30" t="s">
        <v>402</v>
      </c>
      <c r="D282" s="34" t="s">
        <v>151</v>
      </c>
      <c r="E282" s="31">
        <v>5.6260000000000003</v>
      </c>
      <c r="F282" s="31">
        <v>10.3</v>
      </c>
      <c r="G282" s="32">
        <f t="shared" si="47"/>
        <v>57.947800000000008</v>
      </c>
      <c r="H282" s="33">
        <f t="shared" si="46"/>
        <v>3.0046229228711657E-7</v>
      </c>
      <c r="K282" t="str">
        <f xml:space="preserve"> B271 &amp; B282</f>
        <v>Z000042001Z040202006</v>
      </c>
    </row>
    <row r="283" spans="1:11" outlineLevel="1" x14ac:dyDescent="0.2">
      <c r="A283" s="29"/>
      <c r="B283" s="30" t="s">
        <v>547</v>
      </c>
      <c r="C283" s="30" t="s">
        <v>2320</v>
      </c>
      <c r="D283" s="34" t="s">
        <v>151</v>
      </c>
      <c r="E283" s="31">
        <v>0</v>
      </c>
      <c r="F283" s="31">
        <v>13.51</v>
      </c>
      <c r="G283" s="32">
        <f t="shared" si="47"/>
        <v>0</v>
      </c>
      <c r="H283" s="33">
        <f t="shared" si="46"/>
        <v>0</v>
      </c>
      <c r="K283" t="str">
        <f xml:space="preserve"> B271 &amp; B283</f>
        <v>Z000042001Z040204001</v>
      </c>
    </row>
    <row r="284" spans="1:11" outlineLevel="1" x14ac:dyDescent="0.2">
      <c r="A284" s="29"/>
      <c r="B284" s="30" t="s">
        <v>498</v>
      </c>
      <c r="C284" s="30" t="s">
        <v>773</v>
      </c>
      <c r="D284" s="34" t="s">
        <v>84</v>
      </c>
      <c r="E284" s="31">
        <v>696</v>
      </c>
      <c r="F284" s="31">
        <v>20.121400000000001</v>
      </c>
      <c r="G284" s="32">
        <f t="shared" si="47"/>
        <v>14004.494400000001</v>
      </c>
      <c r="H284" s="33">
        <f t="shared" si="46"/>
        <v>7.2614016230919677E-5</v>
      </c>
      <c r="K284" t="str">
        <f xml:space="preserve"> B271 &amp; B284</f>
        <v>Z000042001Z040401001</v>
      </c>
    </row>
    <row r="285" spans="1:11" outlineLevel="1" x14ac:dyDescent="0.2">
      <c r="A285" s="29"/>
      <c r="B285" s="30" t="s">
        <v>1970</v>
      </c>
      <c r="C285" s="30" t="s">
        <v>1166</v>
      </c>
      <c r="D285" s="34" t="s">
        <v>764</v>
      </c>
      <c r="E285" s="31">
        <v>0</v>
      </c>
      <c r="F285" s="31">
        <v>30.29</v>
      </c>
      <c r="G285" s="32">
        <f t="shared" si="47"/>
        <v>0</v>
      </c>
      <c r="H285" s="33">
        <f t="shared" si="46"/>
        <v>0</v>
      </c>
      <c r="K285" t="str">
        <f xml:space="preserve"> B271 &amp; B285</f>
        <v>Z000042001Z050103007</v>
      </c>
    </row>
    <row r="286" spans="1:11" outlineLevel="1" x14ac:dyDescent="0.2">
      <c r="A286" s="29"/>
      <c r="B286" s="30" t="s">
        <v>1971</v>
      </c>
      <c r="C286" s="30" t="s">
        <v>1147</v>
      </c>
      <c r="D286" s="34" t="s">
        <v>742</v>
      </c>
      <c r="E286" s="31">
        <v>0</v>
      </c>
      <c r="F286" s="31">
        <v>28.81</v>
      </c>
      <c r="G286" s="32">
        <f t="shared" si="47"/>
        <v>0</v>
      </c>
      <c r="H286" s="33">
        <f t="shared" si="46"/>
        <v>0</v>
      </c>
      <c r="K286" t="str">
        <f xml:space="preserve"> B271 &amp; B286</f>
        <v>Z000042001Z050103008</v>
      </c>
    </row>
    <row r="287" spans="1:11" outlineLevel="1" x14ac:dyDescent="0.2">
      <c r="A287" s="29"/>
      <c r="B287" s="30" t="s">
        <v>66</v>
      </c>
      <c r="C287" s="30" t="s">
        <v>617</v>
      </c>
      <c r="D287" s="34" t="s">
        <v>764</v>
      </c>
      <c r="E287" s="31">
        <v>0</v>
      </c>
      <c r="F287" s="31">
        <v>5.45</v>
      </c>
      <c r="G287" s="32">
        <f t="shared" si="47"/>
        <v>0</v>
      </c>
      <c r="H287" s="33">
        <f t="shared" si="46"/>
        <v>0</v>
      </c>
      <c r="K287" t="str">
        <f xml:space="preserve"> B271 &amp; B287</f>
        <v>Z000042001Z050103019</v>
      </c>
    </row>
    <row r="288" spans="1:11" outlineLevel="1" x14ac:dyDescent="0.2">
      <c r="A288" s="29"/>
      <c r="B288" s="30" t="s">
        <v>120</v>
      </c>
      <c r="C288" s="30" t="s">
        <v>597</v>
      </c>
      <c r="D288" s="34" t="s">
        <v>742</v>
      </c>
      <c r="E288" s="31">
        <v>0</v>
      </c>
      <c r="F288" s="31">
        <v>1.52</v>
      </c>
      <c r="G288" s="32">
        <f t="shared" si="47"/>
        <v>0</v>
      </c>
      <c r="H288" s="33">
        <f t="shared" si="46"/>
        <v>0</v>
      </c>
      <c r="K288" t="str">
        <f xml:space="preserve"> B271 &amp; B288</f>
        <v>Z000042001Z050103020</v>
      </c>
    </row>
    <row r="289" spans="1:11" outlineLevel="1" x14ac:dyDescent="0.2">
      <c r="A289" s="11" t="s">
        <v>995</v>
      </c>
      <c r="B289" s="11" t="s">
        <v>476</v>
      </c>
      <c r="C289" s="11" t="s">
        <v>1749</v>
      </c>
      <c r="D289" s="12" t="s">
        <v>1170</v>
      </c>
      <c r="E289" s="13">
        <v>18</v>
      </c>
      <c r="F289" s="14">
        <v>13500</v>
      </c>
      <c r="G289" s="15">
        <f>SUM(G290:G290)</f>
        <v>243000</v>
      </c>
      <c r="H289" s="16">
        <f t="shared" si="46"/>
        <v>1.2599673676268869E-3</v>
      </c>
    </row>
    <row r="290" spans="1:11" outlineLevel="1" x14ac:dyDescent="0.2">
      <c r="A290" s="29"/>
      <c r="B290" s="30" t="s">
        <v>1093</v>
      </c>
      <c r="C290" s="30" t="s">
        <v>956</v>
      </c>
      <c r="D290" s="34" t="s">
        <v>1170</v>
      </c>
      <c r="E290" s="31">
        <v>18</v>
      </c>
      <c r="F290" s="31">
        <v>13500</v>
      </c>
      <c r="G290" s="32">
        <f>F290*E290</f>
        <v>243000</v>
      </c>
      <c r="H290" s="33">
        <f t="shared" si="46"/>
        <v>1.2599673676268869E-3</v>
      </c>
      <c r="K290" t="str">
        <f xml:space="preserve"> B289 &amp; B290</f>
        <v>Z000042002Z070402001</v>
      </c>
    </row>
    <row r="291" spans="1:11" ht="18.75" x14ac:dyDescent="0.2">
      <c r="A291" s="5">
        <v>5</v>
      </c>
      <c r="B291" s="5" t="s">
        <v>328</v>
      </c>
      <c r="C291" s="5" t="s">
        <v>2098</v>
      </c>
      <c r="D291" s="6"/>
      <c r="E291" s="7"/>
      <c r="F291" s="8"/>
      <c r="G291" s="9">
        <f>SUM(G292,G315)</f>
        <v>9666065.9299999997</v>
      </c>
      <c r="H291" s="10">
        <f t="shared" si="46"/>
        <v>5.0119043807119491E-2</v>
      </c>
    </row>
    <row r="292" spans="1:11" ht="15" x14ac:dyDescent="0.2">
      <c r="A292" s="17" t="s">
        <v>2003</v>
      </c>
      <c r="B292" s="17" t="s">
        <v>328</v>
      </c>
      <c r="C292" s="17" t="s">
        <v>805</v>
      </c>
      <c r="D292" s="18"/>
      <c r="E292" s="19"/>
      <c r="F292" s="20"/>
      <c r="G292" s="21">
        <f>SUM(G293,G310)</f>
        <v>7922481.0699999994</v>
      </c>
      <c r="H292" s="22">
        <f t="shared" si="46"/>
        <v>4.1078467567249963E-2</v>
      </c>
    </row>
    <row r="293" spans="1:11" x14ac:dyDescent="0.2">
      <c r="A293" s="23" t="s">
        <v>1057</v>
      </c>
      <c r="B293" s="23" t="s">
        <v>328</v>
      </c>
      <c r="C293" s="23" t="s">
        <v>1589</v>
      </c>
      <c r="D293" s="24"/>
      <c r="E293" s="25"/>
      <c r="F293" s="26"/>
      <c r="G293" s="27">
        <f>SUM(G294,G296,G298,G300,G302,G304,G306,G308)</f>
        <v>7922481.0699999994</v>
      </c>
      <c r="H293" s="28">
        <f t="shared" si="46"/>
        <v>4.1078467567249963E-2</v>
      </c>
    </row>
    <row r="294" spans="1:11" outlineLevel="1" x14ac:dyDescent="0.2">
      <c r="A294" s="11" t="s">
        <v>1721</v>
      </c>
      <c r="B294" s="11" t="s">
        <v>461</v>
      </c>
      <c r="C294" s="11" t="s">
        <v>1168</v>
      </c>
      <c r="D294" s="12" t="s">
        <v>1170</v>
      </c>
      <c r="E294" s="13">
        <v>22</v>
      </c>
      <c r="F294" s="14">
        <v>119181.3</v>
      </c>
      <c r="G294" s="15">
        <f>SUM(G295:G295)</f>
        <v>2621988.6</v>
      </c>
      <c r="H294" s="16">
        <f t="shared" si="46"/>
        <v>1.3595144338640768E-2</v>
      </c>
    </row>
    <row r="295" spans="1:11" outlineLevel="1" x14ac:dyDescent="0.2">
      <c r="A295" s="29"/>
      <c r="B295" s="30" t="s">
        <v>119</v>
      </c>
      <c r="C295" s="30" t="s">
        <v>894</v>
      </c>
      <c r="D295" s="34" t="s">
        <v>1170</v>
      </c>
      <c r="E295" s="31">
        <v>91.999600000000001</v>
      </c>
      <c r="F295" s="31">
        <v>28500</v>
      </c>
      <c r="G295" s="32">
        <f>F295*E295</f>
        <v>2621988.6</v>
      </c>
      <c r="H295" s="33">
        <f t="shared" si="46"/>
        <v>1.3595144338640768E-2</v>
      </c>
      <c r="K295" t="str">
        <f xml:space="preserve"> B294 &amp; B295</f>
        <v>Z000051004Z050102003</v>
      </c>
    </row>
    <row r="296" spans="1:11" outlineLevel="1" x14ac:dyDescent="0.2">
      <c r="A296" s="11" t="s">
        <v>1725</v>
      </c>
      <c r="B296" s="11" t="s">
        <v>456</v>
      </c>
      <c r="C296" s="11" t="s">
        <v>1926</v>
      </c>
      <c r="D296" s="12" t="s">
        <v>1170</v>
      </c>
      <c r="E296" s="13">
        <v>22</v>
      </c>
      <c r="F296" s="14">
        <v>61681.55</v>
      </c>
      <c r="G296" s="15">
        <f>SUM(G297:G297)</f>
        <v>1356994.1</v>
      </c>
      <c r="H296" s="16">
        <f t="shared" si="46"/>
        <v>7.0360834735070646E-3</v>
      </c>
    </row>
    <row r="297" spans="1:11" outlineLevel="1" x14ac:dyDescent="0.2">
      <c r="A297" s="29"/>
      <c r="B297" s="30" t="s">
        <v>113</v>
      </c>
      <c r="C297" s="30" t="s">
        <v>432</v>
      </c>
      <c r="D297" s="34" t="s">
        <v>1170</v>
      </c>
      <c r="E297" s="31">
        <v>45.9998</v>
      </c>
      <c r="F297" s="31">
        <v>29500</v>
      </c>
      <c r="G297" s="32">
        <f>F297*E297</f>
        <v>1356994.1</v>
      </c>
      <c r="H297" s="33">
        <f t="shared" si="46"/>
        <v>7.0360834735070646E-3</v>
      </c>
      <c r="K297" t="str">
        <f xml:space="preserve"> B296 &amp; B297</f>
        <v>Z000051002Z050102001</v>
      </c>
    </row>
    <row r="298" spans="1:11" outlineLevel="1" x14ac:dyDescent="0.2">
      <c r="A298" s="11" t="s">
        <v>1729</v>
      </c>
      <c r="B298" s="11" t="s">
        <v>462</v>
      </c>
      <c r="C298" s="11" t="s">
        <v>2360</v>
      </c>
      <c r="D298" s="12" t="s">
        <v>1170</v>
      </c>
      <c r="E298" s="13">
        <v>22</v>
      </c>
      <c r="F298" s="14">
        <v>117454.2</v>
      </c>
      <c r="G298" s="15">
        <f>SUM(G299:G299)</f>
        <v>2583992.4</v>
      </c>
      <c r="H298" s="16">
        <f t="shared" si="46"/>
        <v>1.3398132107801983E-2</v>
      </c>
    </row>
    <row r="299" spans="1:11" outlineLevel="1" x14ac:dyDescent="0.2">
      <c r="A299" s="29"/>
      <c r="B299" s="30" t="s">
        <v>125</v>
      </c>
      <c r="C299" s="30" t="s">
        <v>693</v>
      </c>
      <c r="D299" s="34" t="s">
        <v>1170</v>
      </c>
      <c r="E299" s="31">
        <v>67.999799999999993</v>
      </c>
      <c r="F299" s="31">
        <v>38000</v>
      </c>
      <c r="G299" s="32">
        <f>F299*E299</f>
        <v>2583992.4</v>
      </c>
      <c r="H299" s="33">
        <f t="shared" si="46"/>
        <v>1.3398132107801983E-2</v>
      </c>
      <c r="K299" t="str">
        <f xml:space="preserve"> B298 &amp; B299</f>
        <v>Z000051006Z050102005</v>
      </c>
    </row>
    <row r="300" spans="1:11" outlineLevel="1" x14ac:dyDescent="0.2">
      <c r="A300" s="11" t="s">
        <v>1733</v>
      </c>
      <c r="B300" s="11" t="s">
        <v>467</v>
      </c>
      <c r="C300" s="11" t="s">
        <v>1759</v>
      </c>
      <c r="D300" s="12" t="s">
        <v>1170</v>
      </c>
      <c r="E300" s="13">
        <v>22</v>
      </c>
      <c r="F300" s="14">
        <v>8181</v>
      </c>
      <c r="G300" s="15">
        <f>SUM(G301:G301)</f>
        <v>179982</v>
      </c>
      <c r="H300" s="16">
        <f t="shared" si="46"/>
        <v>9.3321583028898095E-4</v>
      </c>
    </row>
    <row r="301" spans="1:11" outlineLevel="1" x14ac:dyDescent="0.2">
      <c r="A301" s="29"/>
      <c r="B301" s="30" t="s">
        <v>133</v>
      </c>
      <c r="C301" s="30" t="s">
        <v>587</v>
      </c>
      <c r="D301" s="34" t="s">
        <v>1170</v>
      </c>
      <c r="E301" s="31">
        <v>5.9993999999999996</v>
      </c>
      <c r="F301" s="31">
        <v>30000</v>
      </c>
      <c r="G301" s="32">
        <f>F301*E301</f>
        <v>179982</v>
      </c>
      <c r="H301" s="33">
        <f t="shared" si="46"/>
        <v>9.3321583028898095E-4</v>
      </c>
      <c r="K301" t="str">
        <f xml:space="preserve"> B300 &amp; B301</f>
        <v>Z000051008Z050102007</v>
      </c>
    </row>
    <row r="302" spans="1:11" outlineLevel="1" x14ac:dyDescent="0.2">
      <c r="A302" s="11" t="s">
        <v>1736</v>
      </c>
      <c r="B302" s="11" t="s">
        <v>4824</v>
      </c>
      <c r="C302" s="11" t="s">
        <v>4828</v>
      </c>
      <c r="D302" s="12" t="s">
        <v>1170</v>
      </c>
      <c r="E302" s="13">
        <v>22</v>
      </c>
      <c r="F302" s="14">
        <v>5000</v>
      </c>
      <c r="G302" s="15">
        <f>SUM(G303:G303)</f>
        <v>110000</v>
      </c>
      <c r="H302" s="16">
        <f t="shared" si="46"/>
        <v>5.7035559851422867E-4</v>
      </c>
    </row>
    <row r="303" spans="1:11" outlineLevel="1" x14ac:dyDescent="0.2">
      <c r="A303" s="29"/>
      <c r="B303" s="30" t="s">
        <v>4825</v>
      </c>
      <c r="C303" s="30" t="s">
        <v>4826</v>
      </c>
      <c r="D303" s="34" t="s">
        <v>1170</v>
      </c>
      <c r="E303" s="31">
        <v>22</v>
      </c>
      <c r="F303" s="31">
        <v>5000</v>
      </c>
      <c r="G303" s="32">
        <f>F303*E303</f>
        <v>110000</v>
      </c>
      <c r="H303" s="33">
        <f t="shared" si="46"/>
        <v>5.7035559851422867E-4</v>
      </c>
      <c r="K303" t="str">
        <f xml:space="preserve"> B302 &amp; B303</f>
        <v>Z000051015Z050102012</v>
      </c>
    </row>
    <row r="304" spans="1:11" outlineLevel="1" x14ac:dyDescent="0.2">
      <c r="A304" s="11" t="s">
        <v>1739</v>
      </c>
      <c r="B304" s="11" t="s">
        <v>4829</v>
      </c>
      <c r="C304" s="11" t="s">
        <v>4833</v>
      </c>
      <c r="D304" s="12" t="s">
        <v>1170</v>
      </c>
      <c r="E304" s="13">
        <v>22</v>
      </c>
      <c r="F304" s="14">
        <v>8590.5</v>
      </c>
      <c r="G304" s="15">
        <f>SUM(G305:G305)</f>
        <v>188991</v>
      </c>
      <c r="H304" s="16">
        <f t="shared" si="46"/>
        <v>9.7992795380729618E-4</v>
      </c>
    </row>
    <row r="305" spans="1:11" outlineLevel="1" x14ac:dyDescent="0.2">
      <c r="A305" s="29"/>
      <c r="B305" s="30" t="s">
        <v>4830</v>
      </c>
      <c r="C305" s="30" t="s">
        <v>4831</v>
      </c>
      <c r="D305" s="34" t="s">
        <v>1170</v>
      </c>
      <c r="E305" s="31">
        <v>20.998999999999999</v>
      </c>
      <c r="F305" s="31">
        <v>9000</v>
      </c>
      <c r="G305" s="32">
        <f>F305*E305</f>
        <v>188991</v>
      </c>
      <c r="H305" s="33">
        <f t="shared" si="46"/>
        <v>9.7992795380729618E-4</v>
      </c>
      <c r="K305" t="str">
        <f xml:space="preserve"> B304 &amp; B305</f>
        <v>Z000051016Z050102013</v>
      </c>
    </row>
    <row r="306" spans="1:11" outlineLevel="1" x14ac:dyDescent="0.2">
      <c r="A306" s="11" t="s">
        <v>4842</v>
      </c>
      <c r="B306" s="11" t="s">
        <v>4839</v>
      </c>
      <c r="C306" s="11" t="s">
        <v>4844</v>
      </c>
      <c r="D306" s="12" t="s">
        <v>1170</v>
      </c>
      <c r="E306" s="13">
        <v>22</v>
      </c>
      <c r="F306" s="14">
        <v>25000</v>
      </c>
      <c r="G306" s="15">
        <f>SUM(G307:G307)</f>
        <v>550000</v>
      </c>
      <c r="H306" s="16">
        <f t="shared" ref="H306:H309" si="48">G306/$F$2</f>
        <v>2.8517779925711431E-3</v>
      </c>
    </row>
    <row r="307" spans="1:11" outlineLevel="1" x14ac:dyDescent="0.2">
      <c r="A307" s="29"/>
      <c r="B307" s="30" t="s">
        <v>4840</v>
      </c>
      <c r="C307" s="30" t="s">
        <v>4841</v>
      </c>
      <c r="D307" s="34" t="s">
        <v>1170</v>
      </c>
      <c r="E307" s="31">
        <v>22</v>
      </c>
      <c r="F307" s="31">
        <v>25000</v>
      </c>
      <c r="G307" s="32">
        <f>F307*E307</f>
        <v>550000</v>
      </c>
      <c r="H307" s="33">
        <f t="shared" si="48"/>
        <v>2.8517779925711431E-3</v>
      </c>
      <c r="K307" t="str">
        <f xml:space="preserve"> B306 &amp; B307</f>
        <v>Z000051019Z050102015</v>
      </c>
    </row>
    <row r="308" spans="1:11" outlineLevel="1" x14ac:dyDescent="0.2">
      <c r="A308" s="11" t="s">
        <v>4837</v>
      </c>
      <c r="B308" s="11" t="s">
        <v>4834</v>
      </c>
      <c r="C308" s="11" t="s">
        <v>4836</v>
      </c>
      <c r="D308" s="12" t="s">
        <v>1170</v>
      </c>
      <c r="E308" s="13">
        <v>1</v>
      </c>
      <c r="F308" s="14">
        <v>330532.96999999997</v>
      </c>
      <c r="G308" s="15">
        <f>SUM(G309:G309)</f>
        <v>330532.96999999997</v>
      </c>
      <c r="H308" s="16">
        <f t="shared" si="48"/>
        <v>1.7138302721185052E-3</v>
      </c>
    </row>
    <row r="309" spans="1:11" outlineLevel="1" x14ac:dyDescent="0.2">
      <c r="A309" s="29"/>
      <c r="B309" s="30" t="s">
        <v>4835</v>
      </c>
      <c r="C309" s="30" t="s">
        <v>4836</v>
      </c>
      <c r="D309" s="34" t="s">
        <v>1170</v>
      </c>
      <c r="E309" s="31">
        <v>1</v>
      </c>
      <c r="F309" s="31">
        <v>330532.96999999997</v>
      </c>
      <c r="G309" s="32">
        <f>F309*E309</f>
        <v>330532.96999999997</v>
      </c>
      <c r="H309" s="33">
        <f t="shared" si="48"/>
        <v>1.7138302721185052E-3</v>
      </c>
      <c r="K309" t="str">
        <f xml:space="preserve"> B308 &amp; B309</f>
        <v>Z000051018Z050106001</v>
      </c>
    </row>
    <row r="310" spans="1:11" x14ac:dyDescent="0.2">
      <c r="A310" s="23" t="s">
        <v>1060</v>
      </c>
      <c r="B310" s="23" t="s">
        <v>328</v>
      </c>
      <c r="C310" s="23" t="s">
        <v>1890</v>
      </c>
      <c r="D310" s="24"/>
      <c r="E310" s="25"/>
      <c r="F310" s="26"/>
      <c r="G310" s="27">
        <f>SUM(G311,G313)</f>
        <v>0</v>
      </c>
      <c r="H310" s="28">
        <f t="shared" si="46"/>
        <v>0</v>
      </c>
    </row>
    <row r="311" spans="1:11" outlineLevel="1" x14ac:dyDescent="0.2">
      <c r="A311" s="11" t="s">
        <v>1570</v>
      </c>
      <c r="B311" s="11" t="s">
        <v>487</v>
      </c>
      <c r="C311" s="11" t="s">
        <v>2363</v>
      </c>
      <c r="D311" s="12" t="s">
        <v>1170</v>
      </c>
      <c r="E311" s="13">
        <v>22</v>
      </c>
      <c r="F311" s="14">
        <v>0</v>
      </c>
      <c r="G311" s="15">
        <f>SUM(G312:G312)</f>
        <v>0</v>
      </c>
      <c r="H311" s="16">
        <f t="shared" si="46"/>
        <v>0</v>
      </c>
    </row>
    <row r="312" spans="1:11" outlineLevel="1" x14ac:dyDescent="0.2">
      <c r="A312" s="29"/>
      <c r="B312" s="30" t="s">
        <v>967</v>
      </c>
      <c r="C312" s="30" t="s">
        <v>1715</v>
      </c>
      <c r="D312" s="34" t="s">
        <v>1819</v>
      </c>
      <c r="E312" s="31">
        <v>0</v>
      </c>
      <c r="F312" s="31">
        <v>45000</v>
      </c>
      <c r="G312" s="32">
        <f>F312*E312</f>
        <v>0</v>
      </c>
      <c r="H312" s="33">
        <f t="shared" si="46"/>
        <v>0</v>
      </c>
      <c r="K312" t="str">
        <f xml:space="preserve"> B311 &amp; B312</f>
        <v>Z000051010Z050201001</v>
      </c>
    </row>
    <row r="313" spans="1:11" outlineLevel="1" x14ac:dyDescent="0.2">
      <c r="A313" s="11" t="s">
        <v>1576</v>
      </c>
      <c r="B313" s="11" t="s">
        <v>490</v>
      </c>
      <c r="C313" s="11" t="s">
        <v>810</v>
      </c>
      <c r="D313" s="12" t="s">
        <v>1170</v>
      </c>
      <c r="E313" s="13">
        <v>22</v>
      </c>
      <c r="F313" s="14">
        <v>0</v>
      </c>
      <c r="G313" s="15">
        <f>SUM(G314:G314)</f>
        <v>0</v>
      </c>
      <c r="H313" s="16">
        <f t="shared" si="46"/>
        <v>0</v>
      </c>
    </row>
    <row r="314" spans="1:11" outlineLevel="1" x14ac:dyDescent="0.2">
      <c r="A314" s="29"/>
      <c r="B314" s="30" t="s">
        <v>122</v>
      </c>
      <c r="C314" s="30" t="s">
        <v>289</v>
      </c>
      <c r="D314" s="34" t="s">
        <v>1819</v>
      </c>
      <c r="E314" s="31">
        <v>0</v>
      </c>
      <c r="F314" s="31">
        <v>12000</v>
      </c>
      <c r="G314" s="32">
        <f>F314*E314</f>
        <v>0</v>
      </c>
      <c r="H314" s="33">
        <f t="shared" si="46"/>
        <v>0</v>
      </c>
      <c r="K314" t="str">
        <f xml:space="preserve"> B313 &amp; B314</f>
        <v>Z000051011Z050102004</v>
      </c>
    </row>
    <row r="315" spans="1:11" ht="15" x14ac:dyDescent="0.2">
      <c r="A315" s="17" t="s">
        <v>2004</v>
      </c>
      <c r="B315" s="17" t="s">
        <v>328</v>
      </c>
      <c r="C315" s="17" t="s">
        <v>243</v>
      </c>
      <c r="D315" s="18"/>
      <c r="E315" s="19"/>
      <c r="F315" s="20"/>
      <c r="G315" s="21">
        <f>SUM(G316,G319)</f>
        <v>1743584.86</v>
      </c>
      <c r="H315" s="22">
        <f t="shared" si="46"/>
        <v>9.0405762398695234E-3</v>
      </c>
    </row>
    <row r="316" spans="1:11" outlineLevel="1" x14ac:dyDescent="0.2">
      <c r="A316" s="11" t="s">
        <v>916</v>
      </c>
      <c r="B316" s="11" t="s">
        <v>354</v>
      </c>
      <c r="C316" s="11" t="s">
        <v>243</v>
      </c>
      <c r="D316" s="12" t="s">
        <v>1152</v>
      </c>
      <c r="E316" s="13">
        <v>21263.23</v>
      </c>
      <c r="F316" s="14">
        <v>72</v>
      </c>
      <c r="G316" s="15">
        <f>SUM(G317:G318)</f>
        <v>1530952.56</v>
      </c>
      <c r="H316" s="16">
        <f t="shared" si="46"/>
        <v>7.9380669423244603E-3</v>
      </c>
    </row>
    <row r="317" spans="1:11" outlineLevel="1" x14ac:dyDescent="0.2">
      <c r="A317" s="29"/>
      <c r="B317" s="30" t="s">
        <v>132</v>
      </c>
      <c r="C317" s="30" t="s">
        <v>1395</v>
      </c>
      <c r="D317" s="34" t="s">
        <v>1819</v>
      </c>
      <c r="E317" s="31">
        <v>21263.23</v>
      </c>
      <c r="F317" s="31">
        <v>60</v>
      </c>
      <c r="G317" s="32">
        <f t="shared" ref="G317:G318" si="49">F317*E317</f>
        <v>1275793.8</v>
      </c>
      <c r="H317" s="33">
        <f t="shared" si="46"/>
        <v>6.6150557852703833E-3</v>
      </c>
      <c r="K317" t="str">
        <f xml:space="preserve"> B316 &amp; B317</f>
        <v>Z000052001Z050103024</v>
      </c>
    </row>
    <row r="318" spans="1:11" outlineLevel="1" x14ac:dyDescent="0.2">
      <c r="A318" s="29"/>
      <c r="B318" s="30" t="s">
        <v>1735</v>
      </c>
      <c r="C318" s="30" t="s">
        <v>700</v>
      </c>
      <c r="D318" s="34" t="s">
        <v>1819</v>
      </c>
      <c r="E318" s="31">
        <v>21263.23</v>
      </c>
      <c r="F318" s="31">
        <v>12</v>
      </c>
      <c r="G318" s="32">
        <f t="shared" si="49"/>
        <v>255158.76</v>
      </c>
      <c r="H318" s="33">
        <f t="shared" si="46"/>
        <v>1.3230111570540766E-3</v>
      </c>
      <c r="K318" t="str">
        <f xml:space="preserve"> B316 &amp; B318</f>
        <v>Z000052001Z050105001</v>
      </c>
    </row>
    <row r="319" spans="1:11" outlineLevel="1" x14ac:dyDescent="0.2">
      <c r="A319" s="11" t="s">
        <v>920</v>
      </c>
      <c r="B319" s="11" t="s">
        <v>356</v>
      </c>
      <c r="C319" s="11" t="s">
        <v>2369</v>
      </c>
      <c r="D319" s="12" t="s">
        <v>1170</v>
      </c>
      <c r="E319" s="13">
        <v>21263.23</v>
      </c>
      <c r="F319" s="14">
        <v>10</v>
      </c>
      <c r="G319" s="15">
        <f>SUM(G320:G320)</f>
        <v>212632.3</v>
      </c>
      <c r="H319" s="16">
        <f t="shared" si="46"/>
        <v>1.1025092975450637E-3</v>
      </c>
    </row>
    <row r="320" spans="1:11" outlineLevel="1" x14ac:dyDescent="0.2">
      <c r="A320" s="29"/>
      <c r="B320" s="30" t="s">
        <v>1738</v>
      </c>
      <c r="C320" s="30" t="s">
        <v>2367</v>
      </c>
      <c r="D320" s="34" t="s">
        <v>1819</v>
      </c>
      <c r="E320" s="31">
        <v>21263.23</v>
      </c>
      <c r="F320" s="31">
        <v>10</v>
      </c>
      <c r="G320" s="32">
        <f>F320*E320</f>
        <v>212632.3</v>
      </c>
      <c r="H320" s="33">
        <f t="shared" si="46"/>
        <v>1.1025092975450637E-3</v>
      </c>
      <c r="K320" t="str">
        <f xml:space="preserve"> B319 &amp; B320</f>
        <v>Z000052002Z050105002</v>
      </c>
    </row>
    <row r="321" spans="1:11" ht="18.75" x14ac:dyDescent="0.2">
      <c r="A321" s="5">
        <v>6</v>
      </c>
      <c r="B321" s="5" t="s">
        <v>328</v>
      </c>
      <c r="C321" s="5" t="s">
        <v>539</v>
      </c>
      <c r="D321" s="6"/>
      <c r="E321" s="7"/>
      <c r="F321" s="8"/>
      <c r="G321" s="9">
        <f>SUM(G322,G338)</f>
        <v>4615030.74166172</v>
      </c>
      <c r="H321" s="10">
        <f t="shared" si="46"/>
        <v>2.3929169280200318E-2</v>
      </c>
    </row>
    <row r="322" spans="1:11" ht="15" x14ac:dyDescent="0.2">
      <c r="A322" s="17" t="s">
        <v>2005</v>
      </c>
      <c r="B322" s="17" t="s">
        <v>328</v>
      </c>
      <c r="C322" s="17" t="s">
        <v>994</v>
      </c>
      <c r="D322" s="18"/>
      <c r="E322" s="19"/>
      <c r="F322" s="20"/>
      <c r="G322" s="21">
        <f>SUM(G323,G325,G327,G334)</f>
        <v>850680.46549240011</v>
      </c>
      <c r="H322" s="22">
        <f t="shared" si="46"/>
        <v>4.4108215094570951E-3</v>
      </c>
    </row>
    <row r="323" spans="1:11" outlineLevel="1" x14ac:dyDescent="0.2">
      <c r="A323" s="11" t="s">
        <v>993</v>
      </c>
      <c r="B323" s="11" t="s">
        <v>577</v>
      </c>
      <c r="C323" s="11" t="s">
        <v>1169</v>
      </c>
      <c r="D323" s="12" t="s">
        <v>1152</v>
      </c>
      <c r="E323" s="13">
        <v>47926</v>
      </c>
      <c r="F323" s="14">
        <v>6.5976999999999997</v>
      </c>
      <c r="G323" s="15">
        <f>SUM(G324:G324)</f>
        <v>316201.3702</v>
      </c>
      <c r="H323" s="16">
        <f t="shared" si="46"/>
        <v>1.6395201977403653E-3</v>
      </c>
    </row>
    <row r="324" spans="1:11" outlineLevel="1" x14ac:dyDescent="0.2">
      <c r="A324" s="29"/>
      <c r="B324" s="30" t="s">
        <v>1232</v>
      </c>
      <c r="C324" s="30" t="s">
        <v>1169</v>
      </c>
      <c r="D324" s="34" t="s">
        <v>1152</v>
      </c>
      <c r="E324" s="31">
        <v>47926</v>
      </c>
      <c r="F324" s="31">
        <v>6.5976999999999997</v>
      </c>
      <c r="G324" s="32">
        <f>F324*E324</f>
        <v>316201.3702</v>
      </c>
      <c r="H324" s="33">
        <f t="shared" si="46"/>
        <v>1.6395201977403653E-3</v>
      </c>
      <c r="K324" t="str">
        <f xml:space="preserve"> B323 &amp; B324</f>
        <v>Z000041001Z070401003</v>
      </c>
    </row>
    <row r="325" spans="1:11" outlineLevel="1" x14ac:dyDescent="0.2">
      <c r="A325" s="11" t="s">
        <v>998</v>
      </c>
      <c r="B325" s="11" t="s">
        <v>579</v>
      </c>
      <c r="C325" s="11" t="s">
        <v>1469</v>
      </c>
      <c r="D325" s="12" t="s">
        <v>1152</v>
      </c>
      <c r="E325" s="13">
        <v>47926</v>
      </c>
      <c r="F325" s="14">
        <v>6.7129000000000003</v>
      </c>
      <c r="G325" s="15">
        <f>SUM(G326:G326)</f>
        <v>321722.44540000003</v>
      </c>
      <c r="H325" s="16">
        <f t="shared" si="46"/>
        <v>1.6681472536507114E-3</v>
      </c>
    </row>
    <row r="326" spans="1:11" outlineLevel="1" x14ac:dyDescent="0.2">
      <c r="A326" s="29"/>
      <c r="B326" s="30" t="s">
        <v>1230</v>
      </c>
      <c r="C326" s="30" t="s">
        <v>662</v>
      </c>
      <c r="D326" s="34" t="s">
        <v>1152</v>
      </c>
      <c r="E326" s="31">
        <v>47926</v>
      </c>
      <c r="F326" s="31">
        <v>6.7129000000000003</v>
      </c>
      <c r="G326" s="32">
        <f>F326*E326</f>
        <v>321722.44540000003</v>
      </c>
      <c r="H326" s="33">
        <f t="shared" si="46"/>
        <v>1.6681472536507114E-3</v>
      </c>
      <c r="K326" t="str">
        <f xml:space="preserve"> B325 &amp; B326</f>
        <v>Z000041002Z070401002</v>
      </c>
    </row>
    <row r="327" spans="1:11" outlineLevel="1" x14ac:dyDescent="0.2">
      <c r="A327" s="11" t="s">
        <v>999</v>
      </c>
      <c r="B327" s="11" t="s">
        <v>317</v>
      </c>
      <c r="C327" s="11" t="s">
        <v>2371</v>
      </c>
      <c r="D327" s="12" t="s">
        <v>1152</v>
      </c>
      <c r="E327" s="13">
        <v>31693.229500000001</v>
      </c>
      <c r="F327" s="14">
        <v>4.4691999999999998</v>
      </c>
      <c r="G327" s="15">
        <f>SUM(G328:G333)</f>
        <v>141643.38128140001</v>
      </c>
      <c r="H327" s="16">
        <f t="shared" si="46"/>
        <v>7.3442814096665444E-4</v>
      </c>
    </row>
    <row r="328" spans="1:11" outlineLevel="1" x14ac:dyDescent="0.2">
      <c r="A328" s="29"/>
      <c r="B328" s="30" t="s">
        <v>1004</v>
      </c>
      <c r="C328" s="30" t="s">
        <v>1963</v>
      </c>
      <c r="D328" s="34" t="s">
        <v>151</v>
      </c>
      <c r="E328" s="31">
        <v>0</v>
      </c>
      <c r="F328" s="31">
        <v>10.62</v>
      </c>
      <c r="G328" s="32">
        <f t="shared" ref="G328:G333" si="50">F328*E328</f>
        <v>0</v>
      </c>
      <c r="H328" s="33">
        <f t="shared" si="46"/>
        <v>0</v>
      </c>
      <c r="K328" t="str">
        <f xml:space="preserve"> B327 &amp; B328</f>
        <v>Z000061001Z040201010</v>
      </c>
    </row>
    <row r="329" spans="1:11" outlineLevel="1" x14ac:dyDescent="0.2">
      <c r="A329" s="29"/>
      <c r="B329" s="30" t="s">
        <v>801</v>
      </c>
      <c r="C329" s="30" t="s">
        <v>402</v>
      </c>
      <c r="D329" s="34" t="s">
        <v>151</v>
      </c>
      <c r="E329" s="31">
        <v>0</v>
      </c>
      <c r="F329" s="31">
        <v>10.3</v>
      </c>
      <c r="G329" s="32">
        <f t="shared" si="50"/>
        <v>0</v>
      </c>
      <c r="H329" s="33">
        <f t="shared" si="46"/>
        <v>0</v>
      </c>
      <c r="K329" t="str">
        <f xml:space="preserve"> B327 &amp; B329</f>
        <v>Z000061001Z040202006</v>
      </c>
    </row>
    <row r="330" spans="1:11" outlineLevel="1" x14ac:dyDescent="0.2">
      <c r="A330" s="29"/>
      <c r="B330" s="30" t="s">
        <v>1844</v>
      </c>
      <c r="C330" s="30" t="s">
        <v>2373</v>
      </c>
      <c r="D330" s="34" t="s">
        <v>1152</v>
      </c>
      <c r="E330" s="31">
        <v>31693.229500000001</v>
      </c>
      <c r="F330" s="31">
        <v>4.4691999999999998</v>
      </c>
      <c r="G330" s="32">
        <f t="shared" si="50"/>
        <v>141643.38128140001</v>
      </c>
      <c r="H330" s="33">
        <f t="shared" si="46"/>
        <v>7.3442814096665444E-4</v>
      </c>
      <c r="K330" t="str">
        <f xml:space="preserve"> B327 &amp; B330</f>
        <v>Z000061001Z040301016</v>
      </c>
    </row>
    <row r="331" spans="1:11" outlineLevel="1" x14ac:dyDescent="0.2">
      <c r="A331" s="29"/>
      <c r="B331" s="30" t="s">
        <v>498</v>
      </c>
      <c r="C331" s="30" t="s">
        <v>773</v>
      </c>
      <c r="D331" s="34" t="s">
        <v>84</v>
      </c>
      <c r="E331" s="31">
        <v>38031.875399999997</v>
      </c>
      <c r="F331" s="31">
        <v>0</v>
      </c>
      <c r="G331" s="32">
        <f t="shared" si="50"/>
        <v>0</v>
      </c>
      <c r="H331" s="33">
        <f t="shared" si="46"/>
        <v>0</v>
      </c>
      <c r="K331" t="str">
        <f xml:space="preserve"> B327 &amp; B331</f>
        <v>Z000061001Z040401001</v>
      </c>
    </row>
    <row r="332" spans="1:11" outlineLevel="1" x14ac:dyDescent="0.2">
      <c r="A332" s="29"/>
      <c r="B332" s="30" t="s">
        <v>238</v>
      </c>
      <c r="C332" s="30" t="s">
        <v>2376</v>
      </c>
      <c r="D332" s="34" t="s">
        <v>764</v>
      </c>
      <c r="E332" s="31">
        <v>0</v>
      </c>
      <c r="F332" s="31">
        <v>138.31</v>
      </c>
      <c r="G332" s="32">
        <f t="shared" si="50"/>
        <v>0</v>
      </c>
      <c r="H332" s="33">
        <f t="shared" si="46"/>
        <v>0</v>
      </c>
      <c r="K332" t="str">
        <f xml:space="preserve"> B327 &amp; B332</f>
        <v>Z000061001Z050101005</v>
      </c>
    </row>
    <row r="333" spans="1:11" outlineLevel="1" x14ac:dyDescent="0.2">
      <c r="A333" s="29"/>
      <c r="B333" s="30" t="s">
        <v>239</v>
      </c>
      <c r="C333" s="30" t="s">
        <v>2378</v>
      </c>
      <c r="D333" s="34" t="s">
        <v>742</v>
      </c>
      <c r="E333" s="31">
        <v>0</v>
      </c>
      <c r="F333" s="31">
        <v>65.73</v>
      </c>
      <c r="G333" s="32">
        <f t="shared" si="50"/>
        <v>0</v>
      </c>
      <c r="H333" s="33">
        <f t="shared" si="46"/>
        <v>0</v>
      </c>
      <c r="K333" t="str">
        <f xml:space="preserve"> B327 &amp; B333</f>
        <v>Z000061001Z050101006</v>
      </c>
    </row>
    <row r="334" spans="1:11" outlineLevel="1" x14ac:dyDescent="0.2">
      <c r="A334" s="11" t="s">
        <v>1000</v>
      </c>
      <c r="B334" s="11" t="s">
        <v>323</v>
      </c>
      <c r="C334" s="11" t="s">
        <v>881</v>
      </c>
      <c r="D334" s="12" t="s">
        <v>1153</v>
      </c>
      <c r="E334" s="13">
        <v>8240.2397000000001</v>
      </c>
      <c r="F334" s="14">
        <v>8.629999999999999</v>
      </c>
      <c r="G334" s="15">
        <f>SUM(G335:G337)</f>
        <v>71113.268610999992</v>
      </c>
      <c r="H334" s="16">
        <f t="shared" si="46"/>
        <v>3.6872591709936371E-4</v>
      </c>
    </row>
    <row r="335" spans="1:11" outlineLevel="1" x14ac:dyDescent="0.2">
      <c r="A335" s="29"/>
      <c r="B335" s="30" t="s">
        <v>1790</v>
      </c>
      <c r="C335" s="30" t="s">
        <v>1046</v>
      </c>
      <c r="D335" s="34" t="s">
        <v>1153</v>
      </c>
      <c r="E335" s="31">
        <v>8240.2397000000001</v>
      </c>
      <c r="F335" s="31">
        <v>3.26</v>
      </c>
      <c r="G335" s="32">
        <f t="shared" ref="G335:G337" si="51">F335*E335</f>
        <v>26863.181421999998</v>
      </c>
      <c r="H335" s="33">
        <f t="shared" si="46"/>
        <v>1.3928696289037379E-4</v>
      </c>
      <c r="K335" t="str">
        <f xml:space="preserve"> B334 &amp; B335</f>
        <v>Z000061004Z040301007</v>
      </c>
    </row>
    <row r="336" spans="1:11" outlineLevel="1" x14ac:dyDescent="0.2">
      <c r="A336" s="29"/>
      <c r="B336" s="30" t="s">
        <v>1792</v>
      </c>
      <c r="C336" s="30" t="s">
        <v>1084</v>
      </c>
      <c r="D336" s="34" t="s">
        <v>1153</v>
      </c>
      <c r="E336" s="31">
        <v>8240.2397000000001</v>
      </c>
      <c r="F336" s="31">
        <v>2.86</v>
      </c>
      <c r="G336" s="32">
        <f t="shared" si="51"/>
        <v>23567.085542000001</v>
      </c>
      <c r="H336" s="33">
        <f t="shared" si="46"/>
        <v>1.221965379958494E-4</v>
      </c>
      <c r="K336" t="str">
        <f xml:space="preserve"> B334 &amp; B336</f>
        <v>Z000061004Z040301008</v>
      </c>
    </row>
    <row r="337" spans="1:11" outlineLevel="1" x14ac:dyDescent="0.2">
      <c r="A337" s="29"/>
      <c r="B337" s="30" t="s">
        <v>1798</v>
      </c>
      <c r="C337" s="30" t="s">
        <v>2382</v>
      </c>
      <c r="D337" s="34" t="s">
        <v>1153</v>
      </c>
      <c r="E337" s="31">
        <v>8240.2397000000001</v>
      </c>
      <c r="F337" s="31">
        <v>2.5099999999999998</v>
      </c>
      <c r="G337" s="32">
        <f t="shared" si="51"/>
        <v>20683.001646999997</v>
      </c>
      <c r="H337" s="33">
        <f t="shared" si="46"/>
        <v>1.0724241621314055E-4</v>
      </c>
      <c r="K337" t="str">
        <f xml:space="preserve"> B334 &amp; B337</f>
        <v>Z000061004Z040301009</v>
      </c>
    </row>
    <row r="338" spans="1:11" ht="15" x14ac:dyDescent="0.2">
      <c r="A338" s="17" t="s">
        <v>2006</v>
      </c>
      <c r="B338" s="17" t="s">
        <v>328</v>
      </c>
      <c r="C338" s="17" t="s">
        <v>1304</v>
      </c>
      <c r="D338" s="18"/>
      <c r="E338" s="19"/>
      <c r="F338" s="20"/>
      <c r="G338" s="21">
        <f>SUM(G339,G349,G343,G351)</f>
        <v>3764350.2761693201</v>
      </c>
      <c r="H338" s="22">
        <f t="shared" ref="H338:H414" si="52">G338/$F$2</f>
        <v>1.9518347770743221E-2</v>
      </c>
    </row>
    <row r="339" spans="1:11" outlineLevel="1" x14ac:dyDescent="0.2">
      <c r="A339" s="11" t="s">
        <v>848</v>
      </c>
      <c r="B339" s="11" t="s">
        <v>1946</v>
      </c>
      <c r="C339" s="11" t="s">
        <v>2400</v>
      </c>
      <c r="D339" s="12" t="s">
        <v>1819</v>
      </c>
      <c r="E339" s="13">
        <v>1</v>
      </c>
      <c r="F339" s="14">
        <v>80145.66</v>
      </c>
      <c r="G339" s="15">
        <f>SUM(G340:G342)</f>
        <v>80145.66</v>
      </c>
      <c r="H339" s="16">
        <f t="shared" si="52"/>
        <v>4.1555932616016249E-4</v>
      </c>
    </row>
    <row r="340" spans="1:11" outlineLevel="1" x14ac:dyDescent="0.2">
      <c r="A340" s="29"/>
      <c r="B340" s="30" t="s">
        <v>1780</v>
      </c>
      <c r="C340" s="30" t="s">
        <v>2398</v>
      </c>
      <c r="D340" s="34" t="s">
        <v>1819</v>
      </c>
      <c r="E340" s="31">
        <v>1</v>
      </c>
      <c r="F340" s="31">
        <v>12143.281800000001</v>
      </c>
      <c r="G340" s="32">
        <f t="shared" ref="G340:G342" si="53">F340*E340</f>
        <v>12143.281800000001</v>
      </c>
      <c r="H340" s="33">
        <f t="shared" si="52"/>
        <v>6.2963534172417643E-5</v>
      </c>
      <c r="K340" t="str">
        <f xml:space="preserve"> B339 &amp; B340</f>
        <v>Z000064001Z040301001</v>
      </c>
    </row>
    <row r="341" spans="1:11" outlineLevel="1" x14ac:dyDescent="0.2">
      <c r="A341" s="29"/>
      <c r="B341" s="30" t="s">
        <v>1783</v>
      </c>
      <c r="C341" s="30" t="s">
        <v>525</v>
      </c>
      <c r="D341" s="34" t="s">
        <v>1819</v>
      </c>
      <c r="E341" s="31">
        <v>0</v>
      </c>
      <c r="F341" s="31">
        <v>0</v>
      </c>
      <c r="G341" s="32">
        <f t="shared" si="53"/>
        <v>0</v>
      </c>
      <c r="H341" s="33">
        <f t="shared" si="52"/>
        <v>0</v>
      </c>
      <c r="K341" t="str">
        <f xml:space="preserve"> B339 &amp; B341</f>
        <v>Z000064001Z040301002</v>
      </c>
    </row>
    <row r="342" spans="1:11" outlineLevel="1" x14ac:dyDescent="0.2">
      <c r="A342" s="29"/>
      <c r="B342" s="30" t="s">
        <v>1787</v>
      </c>
      <c r="C342" s="30" t="s">
        <v>1924</v>
      </c>
      <c r="D342" s="34" t="s">
        <v>1819</v>
      </c>
      <c r="E342" s="31">
        <v>1</v>
      </c>
      <c r="F342" s="31">
        <v>68002.378200000006</v>
      </c>
      <c r="G342" s="32">
        <f t="shared" si="53"/>
        <v>68002.378200000006</v>
      </c>
      <c r="H342" s="33">
        <f t="shared" si="52"/>
        <v>3.525957919877449E-4</v>
      </c>
      <c r="K342" t="str">
        <f xml:space="preserve"> B339 &amp; B342</f>
        <v>Z000064001Z040301003</v>
      </c>
    </row>
    <row r="343" spans="1:11" outlineLevel="1" x14ac:dyDescent="0.2">
      <c r="A343" s="11" t="s">
        <v>850</v>
      </c>
      <c r="B343" s="11" t="s">
        <v>190</v>
      </c>
      <c r="C343" s="11" t="s">
        <v>647</v>
      </c>
      <c r="D343" s="12" t="s">
        <v>1819</v>
      </c>
      <c r="E343" s="13">
        <v>1</v>
      </c>
      <c r="F343" s="14">
        <v>3330986.2992000403</v>
      </c>
      <c r="G343" s="15">
        <f>SUM(G344:G348)</f>
        <v>3330986.2992000403</v>
      </c>
      <c r="H343" s="16">
        <f t="shared" si="52"/>
        <v>1.7271333493844857E-2</v>
      </c>
    </row>
    <row r="344" spans="1:11" outlineLevel="1" x14ac:dyDescent="0.2">
      <c r="A344" s="29"/>
      <c r="B344" s="30" t="s">
        <v>1828</v>
      </c>
      <c r="C344" s="30" t="s">
        <v>2384</v>
      </c>
      <c r="D344" s="34" t="s">
        <v>1153</v>
      </c>
      <c r="E344" s="31">
        <v>46058.245199999998</v>
      </c>
      <c r="F344" s="31">
        <v>42.5625</v>
      </c>
      <c r="G344" s="32">
        <f t="shared" ref="G344:G348" si="54">F344*E344</f>
        <v>1960354.0613249999</v>
      </c>
      <c r="H344" s="33">
        <f t="shared" si="52"/>
        <v>1.0164535581334721E-2</v>
      </c>
      <c r="K344" t="str">
        <f xml:space="preserve"> B343 &amp; B344</f>
        <v>Z000062001Z040301010</v>
      </c>
    </row>
    <row r="345" spans="1:11" outlineLevel="1" x14ac:dyDescent="0.2">
      <c r="A345" s="29"/>
      <c r="B345" s="30" t="s">
        <v>1831</v>
      </c>
      <c r="C345" s="30" t="s">
        <v>2386</v>
      </c>
      <c r="D345" s="34" t="s">
        <v>1153</v>
      </c>
      <c r="E345" s="31">
        <v>26368.9709</v>
      </c>
      <c r="F345" s="31">
        <v>27.697099999999999</v>
      </c>
      <c r="G345" s="32">
        <f t="shared" si="54"/>
        <v>730344.02391439001</v>
      </c>
      <c r="H345" s="33">
        <f t="shared" si="52"/>
        <v>3.786870935281655E-3</v>
      </c>
      <c r="K345" t="str">
        <f xml:space="preserve"> B343 &amp; B345</f>
        <v>Z000062001Z040301011</v>
      </c>
    </row>
    <row r="346" spans="1:11" outlineLevel="1" x14ac:dyDescent="0.2">
      <c r="A346" s="29"/>
      <c r="B346" s="30" t="s">
        <v>1833</v>
      </c>
      <c r="C346" s="30" t="s">
        <v>2388</v>
      </c>
      <c r="D346" s="34" t="s">
        <v>1153</v>
      </c>
      <c r="E346" s="31">
        <v>3000</v>
      </c>
      <c r="F346" s="31">
        <v>65.798400000000001</v>
      </c>
      <c r="G346" s="32">
        <f t="shared" si="54"/>
        <v>197395.20000000001</v>
      </c>
      <c r="H346" s="33">
        <f t="shared" si="52"/>
        <v>1.0235041585439624E-3</v>
      </c>
      <c r="K346" t="str">
        <f xml:space="preserve"> B343 &amp; B346</f>
        <v>Z000062001Z040301012</v>
      </c>
    </row>
    <row r="347" spans="1:11" outlineLevel="1" x14ac:dyDescent="0.2">
      <c r="A347" s="29"/>
      <c r="B347" s="30" t="s">
        <v>1835</v>
      </c>
      <c r="C347" s="30" t="s">
        <v>2390</v>
      </c>
      <c r="D347" s="34" t="s">
        <v>1153</v>
      </c>
      <c r="E347" s="31">
        <v>0</v>
      </c>
      <c r="F347" s="31">
        <v>0</v>
      </c>
      <c r="G347" s="32">
        <f t="shared" si="54"/>
        <v>0</v>
      </c>
      <c r="H347" s="33">
        <f t="shared" si="52"/>
        <v>0</v>
      </c>
      <c r="K347" t="str">
        <f xml:space="preserve"> B343 &amp; B347</f>
        <v>Z000062001Z040301013</v>
      </c>
    </row>
    <row r="348" spans="1:11" outlineLevel="1" x14ac:dyDescent="0.2">
      <c r="A348" s="29"/>
      <c r="B348" s="30" t="s">
        <v>1838</v>
      </c>
      <c r="C348" s="30" t="s">
        <v>2392</v>
      </c>
      <c r="D348" s="34" t="s">
        <v>1153</v>
      </c>
      <c r="E348" s="31">
        <v>30115.4601</v>
      </c>
      <c r="F348" s="31">
        <v>14.7065</v>
      </c>
      <c r="G348" s="32">
        <f t="shared" si="54"/>
        <v>442893.01396065002</v>
      </c>
      <c r="H348" s="33">
        <f t="shared" si="52"/>
        <v>2.2964228186845197E-3</v>
      </c>
      <c r="K348" t="str">
        <f xml:space="preserve"> B343 &amp; B348</f>
        <v>Z000062001Z040301014</v>
      </c>
    </row>
    <row r="349" spans="1:11" outlineLevel="1" x14ac:dyDescent="0.2">
      <c r="A349" s="11" t="s">
        <v>851</v>
      </c>
      <c r="B349" s="11" t="s">
        <v>79</v>
      </c>
      <c r="C349" s="11" t="s">
        <v>1811</v>
      </c>
      <c r="D349" s="12" t="s">
        <v>1153</v>
      </c>
      <c r="E349" s="13">
        <v>1500</v>
      </c>
      <c r="F349" s="14">
        <v>48.333300000000001</v>
      </c>
      <c r="G349" s="15">
        <f>SUM(G350:G350)</f>
        <v>72499.95</v>
      </c>
      <c r="H349" s="16">
        <f t="shared" si="52"/>
        <v>3.7591593067728773E-4</v>
      </c>
    </row>
    <row r="350" spans="1:11" outlineLevel="1" x14ac:dyDescent="0.2">
      <c r="A350" s="29"/>
      <c r="B350" s="30" t="s">
        <v>732</v>
      </c>
      <c r="C350" s="30" t="s">
        <v>2394</v>
      </c>
      <c r="D350" s="34" t="s">
        <v>1153</v>
      </c>
      <c r="E350" s="31">
        <v>1500</v>
      </c>
      <c r="F350" s="31">
        <v>48.333300000000001</v>
      </c>
      <c r="G350" s="32">
        <f>F350*E350</f>
        <v>72499.95</v>
      </c>
      <c r="H350" s="33">
        <f t="shared" si="52"/>
        <v>3.7591593067728773E-4</v>
      </c>
      <c r="K350" t="str">
        <f xml:space="preserve"> B349 &amp; B350</f>
        <v>Z000063001Z011201001</v>
      </c>
    </row>
    <row r="351" spans="1:11" outlineLevel="1" x14ac:dyDescent="0.2">
      <c r="A351" s="11" t="s">
        <v>854</v>
      </c>
      <c r="B351" s="11" t="s">
        <v>83</v>
      </c>
      <c r="C351" s="11" t="s">
        <v>1769</v>
      </c>
      <c r="D351" s="12" t="s">
        <v>1153</v>
      </c>
      <c r="E351" s="13">
        <v>2937.3924000000002</v>
      </c>
      <c r="F351" s="14">
        <v>95.5672</v>
      </c>
      <c r="G351" s="15">
        <f>SUM(G352:G352)</f>
        <v>280718.36696928</v>
      </c>
      <c r="H351" s="16">
        <f t="shared" si="52"/>
        <v>1.4555390200609144E-3</v>
      </c>
    </row>
    <row r="352" spans="1:11" outlineLevel="1" x14ac:dyDescent="0.2">
      <c r="A352" s="29"/>
      <c r="B352" s="30" t="s">
        <v>619</v>
      </c>
      <c r="C352" s="30" t="s">
        <v>2396</v>
      </c>
      <c r="D352" s="34" t="s">
        <v>1153</v>
      </c>
      <c r="E352" s="31">
        <v>2937.3924000000002</v>
      </c>
      <c r="F352" s="31">
        <v>95.5672</v>
      </c>
      <c r="G352" s="32">
        <f>F352*E352</f>
        <v>280718.36696928</v>
      </c>
      <c r="H352" s="33">
        <f t="shared" si="52"/>
        <v>1.4555390200609144E-3</v>
      </c>
      <c r="K352" t="str">
        <f xml:space="preserve"> B351 &amp; B352</f>
        <v>Z000063002Z011202002</v>
      </c>
    </row>
    <row r="353" spans="1:11" ht="18.75" x14ac:dyDescent="0.2">
      <c r="A353" s="5">
        <v>7</v>
      </c>
      <c r="B353" s="5" t="s">
        <v>328</v>
      </c>
      <c r="C353" s="5" t="s">
        <v>103</v>
      </c>
      <c r="D353" s="6"/>
      <c r="E353" s="7"/>
      <c r="F353" s="8"/>
      <c r="G353" s="9">
        <f>SUM(G354,G373,G405,G442,G478)-2.36</f>
        <v>2716035.095380696</v>
      </c>
      <c r="H353" s="10">
        <f t="shared" si="52"/>
        <v>1.4082780203740972E-2</v>
      </c>
    </row>
    <row r="354" spans="1:11" ht="15" x14ac:dyDescent="0.2">
      <c r="A354" s="17" t="s">
        <v>2007</v>
      </c>
      <c r="B354" s="17" t="s">
        <v>328</v>
      </c>
      <c r="C354" s="17" t="s">
        <v>1037</v>
      </c>
      <c r="D354" s="18"/>
      <c r="E354" s="19"/>
      <c r="F354" s="20"/>
      <c r="G354" s="21">
        <f>SUM(G355,G357,G359,G361,G363,G365,G367,G369)</f>
        <v>1161197.2</v>
      </c>
      <c r="H354" s="22">
        <f t="shared" si="52"/>
        <v>6.0208665818095135E-3</v>
      </c>
    </row>
    <row r="355" spans="1:11" outlineLevel="1" x14ac:dyDescent="0.2">
      <c r="A355" s="11" t="s">
        <v>367</v>
      </c>
      <c r="B355" s="11" t="s">
        <v>1652</v>
      </c>
      <c r="C355" s="11" t="s">
        <v>2464</v>
      </c>
      <c r="D355" s="12" t="s">
        <v>153</v>
      </c>
      <c r="E355" s="13">
        <v>352</v>
      </c>
      <c r="F355" s="14">
        <v>80</v>
      </c>
      <c r="G355" s="15">
        <f>SUM(G356:G356)</f>
        <v>28160</v>
      </c>
      <c r="H355" s="16">
        <f t="shared" si="52"/>
        <v>1.4601103321964254E-4</v>
      </c>
    </row>
    <row r="356" spans="1:11" outlineLevel="1" x14ac:dyDescent="0.2">
      <c r="A356" s="29"/>
      <c r="B356" s="30" t="s">
        <v>1714</v>
      </c>
      <c r="C356" s="30" t="s">
        <v>1092</v>
      </c>
      <c r="D356" s="34" t="s">
        <v>153</v>
      </c>
      <c r="E356" s="31">
        <v>352</v>
      </c>
      <c r="F356" s="31">
        <v>80</v>
      </c>
      <c r="G356" s="32">
        <f>F356*E356</f>
        <v>28160</v>
      </c>
      <c r="H356" s="33">
        <f t="shared" si="52"/>
        <v>1.4601103321964254E-4</v>
      </c>
      <c r="K356" t="str">
        <f xml:space="preserve"> B355 &amp; B356</f>
        <v>Z000075001Z040302015</v>
      </c>
    </row>
    <row r="357" spans="1:11" outlineLevel="1" x14ac:dyDescent="0.2">
      <c r="A357" s="11" t="s">
        <v>371</v>
      </c>
      <c r="B357" s="11" t="s">
        <v>1653</v>
      </c>
      <c r="C357" s="11" t="s">
        <v>2466</v>
      </c>
      <c r="D357" s="12" t="s">
        <v>153</v>
      </c>
      <c r="E357" s="13">
        <v>264</v>
      </c>
      <c r="F357" s="14">
        <v>120</v>
      </c>
      <c r="G357" s="15">
        <f>SUM(G358:G358)</f>
        <v>31680</v>
      </c>
      <c r="H357" s="16">
        <f t="shared" si="52"/>
        <v>1.6426241237209785E-4</v>
      </c>
    </row>
    <row r="358" spans="1:11" outlineLevel="1" x14ac:dyDescent="0.2">
      <c r="A358" s="29"/>
      <c r="B358" s="30" t="s">
        <v>1720</v>
      </c>
      <c r="C358" s="30" t="s">
        <v>901</v>
      </c>
      <c r="D358" s="34" t="s">
        <v>153</v>
      </c>
      <c r="E358" s="31">
        <v>264</v>
      </c>
      <c r="F358" s="31">
        <v>120</v>
      </c>
      <c r="G358" s="32">
        <f>F358*E358</f>
        <v>31680</v>
      </c>
      <c r="H358" s="33">
        <f t="shared" si="52"/>
        <v>1.6426241237209785E-4</v>
      </c>
      <c r="K358" t="str">
        <f xml:space="preserve"> B357 &amp; B358</f>
        <v>Z000075002Z040302016</v>
      </c>
    </row>
    <row r="359" spans="1:11" outlineLevel="1" x14ac:dyDescent="0.2">
      <c r="A359" s="11" t="s">
        <v>373</v>
      </c>
      <c r="B359" s="11" t="s">
        <v>1656</v>
      </c>
      <c r="C359" s="11" t="s">
        <v>2468</v>
      </c>
      <c r="D359" s="12" t="s">
        <v>153</v>
      </c>
      <c r="E359" s="13">
        <v>264</v>
      </c>
      <c r="F359" s="14">
        <v>210</v>
      </c>
      <c r="G359" s="15">
        <f>SUM(G360:G360)</f>
        <v>55440</v>
      </c>
      <c r="H359" s="16">
        <f t="shared" si="52"/>
        <v>2.8745922165117121E-4</v>
      </c>
    </row>
    <row r="360" spans="1:11" outlineLevel="1" x14ac:dyDescent="0.2">
      <c r="A360" s="29"/>
      <c r="B360" s="30" t="s">
        <v>1724</v>
      </c>
      <c r="C360" s="30" t="s">
        <v>582</v>
      </c>
      <c r="D360" s="34" t="s">
        <v>153</v>
      </c>
      <c r="E360" s="31">
        <v>264</v>
      </c>
      <c r="F360" s="31">
        <v>210</v>
      </c>
      <c r="G360" s="32">
        <f>F360*E360</f>
        <v>55440</v>
      </c>
      <c r="H360" s="33">
        <f t="shared" si="52"/>
        <v>2.8745922165117121E-4</v>
      </c>
      <c r="K360" t="str">
        <f xml:space="preserve"> B359 &amp; B360</f>
        <v>Z000075003Z040302017</v>
      </c>
    </row>
    <row r="361" spans="1:11" outlineLevel="1" x14ac:dyDescent="0.2">
      <c r="A361" s="11" t="s">
        <v>374</v>
      </c>
      <c r="B361" s="11" t="s">
        <v>1657</v>
      </c>
      <c r="C361" s="11" t="s">
        <v>2470</v>
      </c>
      <c r="D361" s="12" t="s">
        <v>153</v>
      </c>
      <c r="E361" s="13">
        <v>176</v>
      </c>
      <c r="F361" s="14">
        <v>260</v>
      </c>
      <c r="G361" s="15">
        <f>SUM(G362:G362)</f>
        <v>45760</v>
      </c>
      <c r="H361" s="16">
        <f t="shared" si="52"/>
        <v>2.372679289819191E-4</v>
      </c>
    </row>
    <row r="362" spans="1:11" outlineLevel="1" x14ac:dyDescent="0.2">
      <c r="A362" s="29"/>
      <c r="B362" s="30" t="s">
        <v>1728</v>
      </c>
      <c r="C362" s="30" t="s">
        <v>460</v>
      </c>
      <c r="D362" s="34" t="s">
        <v>153</v>
      </c>
      <c r="E362" s="31">
        <v>176</v>
      </c>
      <c r="F362" s="31">
        <v>260</v>
      </c>
      <c r="G362" s="32">
        <f>F362*E362</f>
        <v>45760</v>
      </c>
      <c r="H362" s="33">
        <f t="shared" si="52"/>
        <v>2.372679289819191E-4</v>
      </c>
      <c r="K362" t="str">
        <f xml:space="preserve"> B361 &amp; B362</f>
        <v>Z000075004Z040302018</v>
      </c>
    </row>
    <row r="363" spans="1:11" outlineLevel="1" x14ac:dyDescent="0.2">
      <c r="A363" s="11" t="s">
        <v>377</v>
      </c>
      <c r="B363" s="11" t="s">
        <v>1508</v>
      </c>
      <c r="C363" s="11" t="s">
        <v>34</v>
      </c>
      <c r="D363" s="12" t="s">
        <v>153</v>
      </c>
      <c r="E363" s="13">
        <v>473.6</v>
      </c>
      <c r="F363" s="14">
        <v>235</v>
      </c>
      <c r="G363" s="15">
        <f>SUM(G364:G364)</f>
        <v>111296</v>
      </c>
      <c r="H363" s="16">
        <f t="shared" si="52"/>
        <v>5.7707542447490534E-4</v>
      </c>
    </row>
    <row r="364" spans="1:11" outlineLevel="1" x14ac:dyDescent="0.2">
      <c r="A364" s="29"/>
      <c r="B364" s="30" t="s">
        <v>1732</v>
      </c>
      <c r="C364" s="30" t="s">
        <v>1079</v>
      </c>
      <c r="D364" s="34" t="s">
        <v>153</v>
      </c>
      <c r="E364" s="31">
        <v>473.6</v>
      </c>
      <c r="F364" s="31">
        <v>235</v>
      </c>
      <c r="G364" s="32">
        <f>F364*E364</f>
        <v>111296</v>
      </c>
      <c r="H364" s="33">
        <f t="shared" si="52"/>
        <v>5.7707542447490534E-4</v>
      </c>
      <c r="K364" t="str">
        <f xml:space="preserve"> B363 &amp; B364</f>
        <v>Z000076001Z040302019</v>
      </c>
    </row>
    <row r="365" spans="1:11" outlineLevel="1" x14ac:dyDescent="0.2">
      <c r="A365" s="11" t="s">
        <v>379</v>
      </c>
      <c r="B365" s="11" t="s">
        <v>1510</v>
      </c>
      <c r="C365" s="11" t="s">
        <v>861</v>
      </c>
      <c r="D365" s="12" t="s">
        <v>153</v>
      </c>
      <c r="E365" s="13">
        <v>1723.8</v>
      </c>
      <c r="F365" s="14">
        <v>260</v>
      </c>
      <c r="G365" s="15">
        <f>SUM(G366:G366)</f>
        <v>448188</v>
      </c>
      <c r="H365" s="16">
        <f t="shared" si="52"/>
        <v>2.3238775907899554E-3</v>
      </c>
    </row>
    <row r="366" spans="1:11" outlineLevel="1" x14ac:dyDescent="0.2">
      <c r="A366" s="29"/>
      <c r="B366" s="30" t="s">
        <v>1786</v>
      </c>
      <c r="C366" s="30" t="s">
        <v>455</v>
      </c>
      <c r="D366" s="34" t="s">
        <v>153</v>
      </c>
      <c r="E366" s="31">
        <v>1723.8</v>
      </c>
      <c r="F366" s="31">
        <v>260</v>
      </c>
      <c r="G366" s="32">
        <f>F366*E366</f>
        <v>448188</v>
      </c>
      <c r="H366" s="33">
        <f t="shared" si="52"/>
        <v>2.3238775907899554E-3</v>
      </c>
      <c r="K366" t="str">
        <f xml:space="preserve"> B365 &amp; B366</f>
        <v>Z000076002Z040302020</v>
      </c>
    </row>
    <row r="367" spans="1:11" outlineLevel="1" x14ac:dyDescent="0.2">
      <c r="A367" s="11" t="s">
        <v>380</v>
      </c>
      <c r="B367" s="11" t="s">
        <v>1515</v>
      </c>
      <c r="C367" s="11" t="s">
        <v>93</v>
      </c>
      <c r="D367" s="12" t="s">
        <v>153</v>
      </c>
      <c r="E367" s="13">
        <v>1019.92</v>
      </c>
      <c r="F367" s="14">
        <v>335</v>
      </c>
      <c r="G367" s="15">
        <f>SUM(G368:G368)</f>
        <v>341673.2</v>
      </c>
      <c r="H367" s="16">
        <f t="shared" si="52"/>
        <v>1.7715929316570159E-3</v>
      </c>
    </row>
    <row r="368" spans="1:11" outlineLevel="1" x14ac:dyDescent="0.2">
      <c r="A368" s="29"/>
      <c r="B368" s="30" t="s">
        <v>1789</v>
      </c>
      <c r="C368" s="30" t="s">
        <v>747</v>
      </c>
      <c r="D368" s="34" t="s">
        <v>153</v>
      </c>
      <c r="E368" s="31">
        <v>1019.92</v>
      </c>
      <c r="F368" s="31">
        <v>335</v>
      </c>
      <c r="G368" s="32">
        <f>F368*E368</f>
        <v>341673.2</v>
      </c>
      <c r="H368" s="33">
        <f t="shared" si="52"/>
        <v>1.7715929316570159E-3</v>
      </c>
      <c r="K368" t="str">
        <f xml:space="preserve"> B367 &amp; B368</f>
        <v>Z000076003Z040302021</v>
      </c>
    </row>
    <row r="369" spans="1:11" outlineLevel="1" x14ac:dyDescent="0.2">
      <c r="A369" s="11" t="s">
        <v>380</v>
      </c>
      <c r="B369" s="11" t="s">
        <v>4845</v>
      </c>
      <c r="C369" s="11" t="s">
        <v>4850</v>
      </c>
      <c r="D369" s="12" t="s">
        <v>153</v>
      </c>
      <c r="E369" s="13">
        <v>1</v>
      </c>
      <c r="F369" s="14">
        <v>99000</v>
      </c>
      <c r="G369" s="15">
        <f>SUM(G370:G372)</f>
        <v>99000</v>
      </c>
      <c r="H369" s="16">
        <f t="shared" ref="H369:H370" si="55">G369/$F$2</f>
        <v>5.1332003866280576E-4</v>
      </c>
    </row>
    <row r="370" spans="1:11" outlineLevel="1" x14ac:dyDescent="0.2">
      <c r="A370" s="29"/>
      <c r="B370" s="30" t="s">
        <v>4846</v>
      </c>
      <c r="C370" s="30" t="s">
        <v>4847</v>
      </c>
      <c r="D370" s="34" t="s">
        <v>153</v>
      </c>
      <c r="E370" s="31">
        <v>1</v>
      </c>
      <c r="F370" s="31">
        <v>50000</v>
      </c>
      <c r="G370" s="32">
        <f>F370*E370</f>
        <v>50000</v>
      </c>
      <c r="H370" s="33">
        <f t="shared" si="55"/>
        <v>2.5925254477919486E-4</v>
      </c>
      <c r="K370" t="str">
        <f xml:space="preserve"> B369 &amp; B370</f>
        <v>Z000077001Z040302001</v>
      </c>
    </row>
    <row r="371" spans="1:11" outlineLevel="1" x14ac:dyDescent="0.2">
      <c r="A371" s="29"/>
      <c r="B371" s="30" t="s">
        <v>4854</v>
      </c>
      <c r="C371" s="30" t="s">
        <v>4855</v>
      </c>
      <c r="D371" s="34" t="s">
        <v>153</v>
      </c>
      <c r="E371" s="31">
        <v>1</v>
      </c>
      <c r="F371" s="31">
        <v>23500</v>
      </c>
      <c r="G371" s="32">
        <f t="shared" ref="G371:G372" si="56">F371*E371</f>
        <v>23500</v>
      </c>
      <c r="H371" s="33">
        <f t="shared" ref="H371:H372" si="57">G371/$F$2</f>
        <v>1.2184869604622157E-4</v>
      </c>
      <c r="K371" t="str">
        <f xml:space="preserve"> B369 &amp; B371</f>
        <v>Z000077001Z040302002</v>
      </c>
    </row>
    <row r="372" spans="1:11" outlineLevel="1" x14ac:dyDescent="0.2">
      <c r="A372" s="29"/>
      <c r="B372" s="30" t="s">
        <v>4851</v>
      </c>
      <c r="C372" s="30" t="s">
        <v>4852</v>
      </c>
      <c r="D372" s="34" t="s">
        <v>153</v>
      </c>
      <c r="E372" s="31">
        <v>3</v>
      </c>
      <c r="F372" s="31">
        <v>8500</v>
      </c>
      <c r="G372" s="32">
        <f t="shared" si="56"/>
        <v>25500</v>
      </c>
      <c r="H372" s="33">
        <f t="shared" si="57"/>
        <v>1.3221879783738936E-4</v>
      </c>
      <c r="K372" t="str">
        <f xml:space="preserve"> B369 &amp; B372</f>
        <v>Z000077001Z040302003</v>
      </c>
    </row>
    <row r="373" spans="1:11" ht="15" x14ac:dyDescent="0.2">
      <c r="A373" s="17" t="s">
        <v>2008</v>
      </c>
      <c r="B373" s="17" t="s">
        <v>328</v>
      </c>
      <c r="C373" s="17" t="s">
        <v>906</v>
      </c>
      <c r="D373" s="18"/>
      <c r="E373" s="19"/>
      <c r="F373" s="20"/>
      <c r="G373" s="21">
        <f>SUM(G374,G381,G390)</f>
        <v>268642.730293767</v>
      </c>
      <c r="H373" s="22">
        <f t="shared" si="52"/>
        <v>1.3929262293017998E-3</v>
      </c>
    </row>
    <row r="374" spans="1:11" outlineLevel="1" x14ac:dyDescent="0.2">
      <c r="A374" s="11" t="s">
        <v>251</v>
      </c>
      <c r="B374" s="11" t="s">
        <v>1254</v>
      </c>
      <c r="C374" s="11" t="s">
        <v>2475</v>
      </c>
      <c r="D374" s="12" t="s">
        <v>1153</v>
      </c>
      <c r="E374" s="13">
        <v>1454.25</v>
      </c>
      <c r="F374" s="14">
        <v>45.51</v>
      </c>
      <c r="G374" s="15">
        <f>SUM(G375:G380)</f>
        <v>66182.917499999996</v>
      </c>
      <c r="H374" s="16">
        <f t="shared" si="52"/>
        <v>3.4316179565573013E-4</v>
      </c>
    </row>
    <row r="375" spans="1:11" outlineLevel="1" x14ac:dyDescent="0.2">
      <c r="A375" s="29"/>
      <c r="B375" s="30" t="s">
        <v>1009</v>
      </c>
      <c r="C375" s="30" t="s">
        <v>672</v>
      </c>
      <c r="D375" s="34" t="s">
        <v>151</v>
      </c>
      <c r="E375" s="31">
        <v>0</v>
      </c>
      <c r="F375" s="31">
        <v>16.489999999999998</v>
      </c>
      <c r="G375" s="32">
        <f t="shared" ref="G375:G380" si="58">F375*E375</f>
        <v>0</v>
      </c>
      <c r="H375" s="33">
        <f t="shared" si="52"/>
        <v>0</v>
      </c>
      <c r="K375" t="str">
        <f xml:space="preserve"> B374 &amp; B375</f>
        <v>Z000078001Z040201013</v>
      </c>
    </row>
    <row r="376" spans="1:11" outlineLevel="1" x14ac:dyDescent="0.2">
      <c r="A376" s="29"/>
      <c r="B376" s="30" t="s">
        <v>801</v>
      </c>
      <c r="C376" s="30" t="s">
        <v>402</v>
      </c>
      <c r="D376" s="34" t="s">
        <v>151</v>
      </c>
      <c r="E376" s="31">
        <v>0</v>
      </c>
      <c r="F376" s="31">
        <v>10.3</v>
      </c>
      <c r="G376" s="32">
        <f t="shared" si="58"/>
        <v>0</v>
      </c>
      <c r="H376" s="33">
        <f t="shared" si="52"/>
        <v>0</v>
      </c>
      <c r="K376" t="str">
        <f xml:space="preserve"> B374 &amp; B376</f>
        <v>Z000078001Z040202006</v>
      </c>
    </row>
    <row r="377" spans="1:11" outlineLevel="1" x14ac:dyDescent="0.2">
      <c r="A377" s="29"/>
      <c r="B377" s="30" t="s">
        <v>1580</v>
      </c>
      <c r="C377" s="30" t="s">
        <v>2477</v>
      </c>
      <c r="D377" s="34" t="s">
        <v>1153</v>
      </c>
      <c r="E377" s="31">
        <v>1454.25</v>
      </c>
      <c r="F377" s="31">
        <v>45.51</v>
      </c>
      <c r="G377" s="32">
        <f t="shared" si="58"/>
        <v>66182.917499999996</v>
      </c>
      <c r="H377" s="33">
        <f t="shared" si="52"/>
        <v>3.4316179565573013E-4</v>
      </c>
      <c r="K377" t="str">
        <f xml:space="preserve"> B374 &amp; B377</f>
        <v>Z000078001Z040303018</v>
      </c>
    </row>
    <row r="378" spans="1:11" outlineLevel="1" x14ac:dyDescent="0.2">
      <c r="A378" s="29"/>
      <c r="B378" s="30" t="s">
        <v>498</v>
      </c>
      <c r="C378" s="30" t="s">
        <v>773</v>
      </c>
      <c r="D378" s="34" t="s">
        <v>84</v>
      </c>
      <c r="E378" s="31">
        <v>1745.1</v>
      </c>
      <c r="F378" s="31">
        <v>0</v>
      </c>
      <c r="G378" s="32">
        <f t="shared" si="58"/>
        <v>0</v>
      </c>
      <c r="H378" s="33">
        <f t="shared" si="52"/>
        <v>0</v>
      </c>
      <c r="K378" t="str">
        <f xml:space="preserve"> B374 &amp; B378</f>
        <v>Z000078001Z040401001</v>
      </c>
    </row>
    <row r="379" spans="1:11" outlineLevel="1" x14ac:dyDescent="0.2">
      <c r="A379" s="29"/>
      <c r="B379" s="30" t="s">
        <v>242</v>
      </c>
      <c r="C379" s="30" t="s">
        <v>1949</v>
      </c>
      <c r="D379" s="34" t="s">
        <v>764</v>
      </c>
      <c r="E379" s="31">
        <v>0</v>
      </c>
      <c r="F379" s="31">
        <v>114.16</v>
      </c>
      <c r="G379" s="32">
        <f t="shared" si="58"/>
        <v>0</v>
      </c>
      <c r="H379" s="33">
        <f t="shared" si="52"/>
        <v>0</v>
      </c>
      <c r="K379" t="str">
        <f xml:space="preserve"> B374 &amp; B379</f>
        <v>Z000078001Z050101007</v>
      </c>
    </row>
    <row r="380" spans="1:11" outlineLevel="1" x14ac:dyDescent="0.2">
      <c r="A380" s="29"/>
      <c r="B380" s="30" t="s">
        <v>244</v>
      </c>
      <c r="C380" s="30" t="s">
        <v>1940</v>
      </c>
      <c r="D380" s="34" t="s">
        <v>742</v>
      </c>
      <c r="E380" s="31">
        <v>0</v>
      </c>
      <c r="F380" s="31">
        <v>62.61</v>
      </c>
      <c r="G380" s="32">
        <f t="shared" si="58"/>
        <v>0</v>
      </c>
      <c r="H380" s="33">
        <f t="shared" si="52"/>
        <v>0</v>
      </c>
      <c r="K380" t="str">
        <f xml:space="preserve"> B374 &amp; B380</f>
        <v>Z000078001Z050101008</v>
      </c>
    </row>
    <row r="381" spans="1:11" outlineLevel="1" x14ac:dyDescent="0.2">
      <c r="A381" s="11" t="s">
        <v>254</v>
      </c>
      <c r="B381" s="11" t="s">
        <v>1257</v>
      </c>
      <c r="C381" s="11" t="s">
        <v>1493</v>
      </c>
      <c r="D381" s="12" t="s">
        <v>1153</v>
      </c>
      <c r="E381" s="13">
        <v>1249.8699999999999</v>
      </c>
      <c r="F381" s="14">
        <v>60</v>
      </c>
      <c r="G381" s="15">
        <f>SUM(G382:G389)</f>
        <v>74992.2</v>
      </c>
      <c r="H381" s="16">
        <f t="shared" si="52"/>
        <v>3.8883837377180671E-4</v>
      </c>
    </row>
    <row r="382" spans="1:11" outlineLevel="1" x14ac:dyDescent="0.2">
      <c r="A382" s="29"/>
      <c r="B382" s="30" t="s">
        <v>801</v>
      </c>
      <c r="C382" s="30" t="s">
        <v>402</v>
      </c>
      <c r="D382" s="34" t="s">
        <v>151</v>
      </c>
      <c r="E382" s="31">
        <v>0</v>
      </c>
      <c r="F382" s="31">
        <v>10.3</v>
      </c>
      <c r="G382" s="32">
        <f t="shared" ref="G382:G389" si="59">F382*E382</f>
        <v>0</v>
      </c>
      <c r="H382" s="33">
        <f t="shared" si="52"/>
        <v>0</v>
      </c>
      <c r="K382" t="str">
        <f xml:space="preserve"> B381 &amp; B382</f>
        <v>Z000078002Z040202006</v>
      </c>
    </row>
    <row r="383" spans="1:11" outlineLevel="1" x14ac:dyDescent="0.2">
      <c r="A383" s="29"/>
      <c r="B383" s="30" t="s">
        <v>1584</v>
      </c>
      <c r="C383" s="30" t="s">
        <v>2483</v>
      </c>
      <c r="D383" s="34" t="s">
        <v>1153</v>
      </c>
      <c r="E383" s="31">
        <v>1249.8699999999999</v>
      </c>
      <c r="F383" s="31">
        <v>60</v>
      </c>
      <c r="G383" s="32">
        <f t="shared" si="59"/>
        <v>74992.2</v>
      </c>
      <c r="H383" s="33">
        <f t="shared" si="52"/>
        <v>3.8883837377180671E-4</v>
      </c>
      <c r="K383" t="str">
        <f xml:space="preserve"> B381 &amp; B383</f>
        <v>Z000078002Z040303019</v>
      </c>
    </row>
    <row r="384" spans="1:11" outlineLevel="1" x14ac:dyDescent="0.2">
      <c r="A384" s="29"/>
      <c r="B384" s="30" t="s">
        <v>498</v>
      </c>
      <c r="C384" s="30" t="s">
        <v>773</v>
      </c>
      <c r="D384" s="34" t="s">
        <v>84</v>
      </c>
      <c r="E384" s="31">
        <v>1499.8439999999998</v>
      </c>
      <c r="F384" s="31">
        <v>0</v>
      </c>
      <c r="G384" s="32">
        <f t="shared" si="59"/>
        <v>0</v>
      </c>
      <c r="H384" s="33">
        <f t="shared" si="52"/>
        <v>0</v>
      </c>
      <c r="K384" t="str">
        <f xml:space="preserve"> B381 &amp; B384</f>
        <v>Z000078002Z040401001</v>
      </c>
    </row>
    <row r="385" spans="1:11" outlineLevel="1" x14ac:dyDescent="0.2">
      <c r="A385" s="29"/>
      <c r="B385" s="30" t="s">
        <v>233</v>
      </c>
      <c r="C385" s="30" t="s">
        <v>420</v>
      </c>
      <c r="D385" s="34" t="s">
        <v>764</v>
      </c>
      <c r="E385" s="31">
        <v>0</v>
      </c>
      <c r="F385" s="31">
        <v>327.60000000000002</v>
      </c>
      <c r="G385" s="32">
        <f t="shared" si="59"/>
        <v>0</v>
      </c>
      <c r="H385" s="33">
        <f t="shared" si="52"/>
        <v>0</v>
      </c>
      <c r="K385" t="str">
        <f xml:space="preserve"> B381 &amp; B385</f>
        <v>Z000078002Z050101001</v>
      </c>
    </row>
    <row r="386" spans="1:11" outlineLevel="1" x14ac:dyDescent="0.2">
      <c r="A386" s="29"/>
      <c r="B386" s="30" t="s">
        <v>235</v>
      </c>
      <c r="C386" s="30" t="s">
        <v>413</v>
      </c>
      <c r="D386" s="34" t="s">
        <v>742</v>
      </c>
      <c r="E386" s="31">
        <v>0</v>
      </c>
      <c r="F386" s="31">
        <v>72.41</v>
      </c>
      <c r="G386" s="32">
        <f t="shared" si="59"/>
        <v>0</v>
      </c>
      <c r="H386" s="33">
        <f t="shared" si="52"/>
        <v>0</v>
      </c>
      <c r="K386" t="str">
        <f xml:space="preserve"> B381 &amp; B386</f>
        <v>Z000078002Z050101002</v>
      </c>
    </row>
    <row r="387" spans="1:11" outlineLevel="1" x14ac:dyDescent="0.2">
      <c r="A387" s="29"/>
      <c r="B387" s="30" t="s">
        <v>238</v>
      </c>
      <c r="C387" s="30" t="s">
        <v>2376</v>
      </c>
      <c r="D387" s="34" t="s">
        <v>764</v>
      </c>
      <c r="E387" s="31">
        <v>0</v>
      </c>
      <c r="F387" s="31">
        <v>138.31</v>
      </c>
      <c r="G387" s="32">
        <f t="shared" si="59"/>
        <v>0</v>
      </c>
      <c r="H387" s="33">
        <f t="shared" si="52"/>
        <v>0</v>
      </c>
      <c r="K387" t="str">
        <f xml:space="preserve"> B381 &amp; B387</f>
        <v>Z000078002Z050101005</v>
      </c>
    </row>
    <row r="388" spans="1:11" outlineLevel="1" x14ac:dyDescent="0.2">
      <c r="A388" s="29"/>
      <c r="B388" s="30" t="s">
        <v>239</v>
      </c>
      <c r="C388" s="30" t="s">
        <v>2378</v>
      </c>
      <c r="D388" s="34" t="s">
        <v>742</v>
      </c>
      <c r="E388" s="31">
        <v>0</v>
      </c>
      <c r="F388" s="31">
        <v>65.73</v>
      </c>
      <c r="G388" s="32">
        <f t="shared" si="59"/>
        <v>0</v>
      </c>
      <c r="H388" s="33">
        <f t="shared" si="52"/>
        <v>0</v>
      </c>
      <c r="K388" t="str">
        <f xml:space="preserve"> B381 &amp; B388</f>
        <v>Z000078002Z050101006</v>
      </c>
    </row>
    <row r="389" spans="1:11" outlineLevel="1" x14ac:dyDescent="0.2">
      <c r="A389" s="29"/>
      <c r="B389" s="30" t="s">
        <v>61</v>
      </c>
      <c r="C389" s="30" t="s">
        <v>2490</v>
      </c>
      <c r="D389" s="34" t="s">
        <v>764</v>
      </c>
      <c r="E389" s="31">
        <v>0</v>
      </c>
      <c r="F389" s="31">
        <v>36.880000000000003</v>
      </c>
      <c r="G389" s="32">
        <f t="shared" si="59"/>
        <v>0</v>
      </c>
      <c r="H389" s="33">
        <f t="shared" si="52"/>
        <v>0</v>
      </c>
      <c r="K389" t="str">
        <f xml:space="preserve"> B381 &amp; B389</f>
        <v>Z000078002Z050103017</v>
      </c>
    </row>
    <row r="390" spans="1:11" outlineLevel="1" x14ac:dyDescent="0.2">
      <c r="A390" s="11" t="s">
        <v>256</v>
      </c>
      <c r="B390" s="11" t="s">
        <v>4857</v>
      </c>
      <c r="C390" s="11" t="s">
        <v>4860</v>
      </c>
      <c r="D390" s="12" t="s">
        <v>1152</v>
      </c>
      <c r="E390" s="13">
        <v>1417.11</v>
      </c>
      <c r="F390" s="14">
        <v>89.948989700000013</v>
      </c>
      <c r="G390" s="15">
        <f>SUM(G391:G404)</f>
        <v>127467.61279376701</v>
      </c>
      <c r="H390" s="16">
        <f t="shared" si="52"/>
        <v>6.6092605987426304E-4</v>
      </c>
    </row>
    <row r="391" spans="1:11" outlineLevel="1" x14ac:dyDescent="0.2">
      <c r="A391" s="29"/>
      <c r="B391" s="30" t="s">
        <v>82</v>
      </c>
      <c r="C391" s="30" t="s">
        <v>2688</v>
      </c>
      <c r="D391" s="34" t="s">
        <v>1152</v>
      </c>
      <c r="E391" s="31">
        <v>7653.8111099999987</v>
      </c>
      <c r="F391" s="31">
        <v>2.04</v>
      </c>
      <c r="G391" s="32">
        <f t="shared" ref="G391:G395" si="60">F391*E391</f>
        <v>15613.774664399998</v>
      </c>
      <c r="H391" s="33">
        <f t="shared" si="52"/>
        <v>8.0958216307092361E-5</v>
      </c>
      <c r="K391" t="str">
        <f xml:space="preserve"> B390 &amp; B391</f>
        <v>Z000078014Z010404002</v>
      </c>
    </row>
    <row r="392" spans="1:11" outlineLevel="1" x14ac:dyDescent="0.2">
      <c r="A392" s="29"/>
      <c r="B392" s="30" t="s">
        <v>423</v>
      </c>
      <c r="C392" s="30" t="s">
        <v>2683</v>
      </c>
      <c r="D392" s="34" t="s">
        <v>151</v>
      </c>
      <c r="E392" s="31">
        <v>476.14895999999999</v>
      </c>
      <c r="F392" s="31">
        <v>55.495800000000003</v>
      </c>
      <c r="G392" s="32">
        <f t="shared" si="60"/>
        <v>26424.267454368</v>
      </c>
      <c r="H392" s="33">
        <f t="shared" si="52"/>
        <v>1.3701117162941921E-4</v>
      </c>
      <c r="K392" t="str">
        <f xml:space="preserve"> B390 &amp; B392</f>
        <v>Z000078014Z010401001</v>
      </c>
    </row>
    <row r="393" spans="1:11" outlineLevel="1" x14ac:dyDescent="0.2">
      <c r="A393" s="29"/>
      <c r="B393" s="30" t="s">
        <v>1971</v>
      </c>
      <c r="C393" s="30" t="s">
        <v>1147</v>
      </c>
      <c r="D393" s="34" t="s">
        <v>151</v>
      </c>
      <c r="E393" s="31">
        <v>0</v>
      </c>
      <c r="F393" s="31">
        <v>28.81</v>
      </c>
      <c r="G393" s="32">
        <f t="shared" si="60"/>
        <v>0</v>
      </c>
      <c r="H393" s="33">
        <f t="shared" si="52"/>
        <v>0</v>
      </c>
      <c r="K393" t="str">
        <f xml:space="preserve"> B390 &amp; B393</f>
        <v>Z000078014Z050103008</v>
      </c>
    </row>
    <row r="394" spans="1:11" outlineLevel="1" x14ac:dyDescent="0.2">
      <c r="A394" s="29"/>
      <c r="B394" s="30" t="s">
        <v>794</v>
      </c>
      <c r="C394" s="30" t="s">
        <v>446</v>
      </c>
      <c r="D394" s="34" t="s">
        <v>1153</v>
      </c>
      <c r="E394" s="31">
        <v>0</v>
      </c>
      <c r="F394" s="31">
        <v>11.1343</v>
      </c>
      <c r="G394" s="32">
        <f t="shared" si="60"/>
        <v>0</v>
      </c>
      <c r="H394" s="33">
        <f t="shared" si="52"/>
        <v>0</v>
      </c>
      <c r="K394" t="str">
        <f xml:space="preserve"> B390 &amp; B394</f>
        <v>Z000078014Z040202002</v>
      </c>
    </row>
    <row r="395" spans="1:11" outlineLevel="1" x14ac:dyDescent="0.2">
      <c r="A395" s="29"/>
      <c r="B395" s="30" t="s">
        <v>1051</v>
      </c>
      <c r="C395" s="30" t="s">
        <v>1130</v>
      </c>
      <c r="D395" s="34" t="s">
        <v>84</v>
      </c>
      <c r="E395" s="31">
        <v>77.94104999999999</v>
      </c>
      <c r="F395" s="31">
        <v>11.57</v>
      </c>
      <c r="G395" s="32">
        <f t="shared" si="60"/>
        <v>901.77794849999987</v>
      </c>
      <c r="H395" s="33">
        <f t="shared" si="52"/>
        <v>4.6757645594877335E-6</v>
      </c>
      <c r="K395" t="str">
        <f xml:space="preserve"> B390 &amp; B395</f>
        <v>Z000078014Z010109005</v>
      </c>
    </row>
    <row r="396" spans="1:11" outlineLevel="1" x14ac:dyDescent="0.2">
      <c r="A396" s="29"/>
      <c r="B396" s="30" t="s">
        <v>1043</v>
      </c>
      <c r="C396" s="30" t="s">
        <v>1497</v>
      </c>
      <c r="D396" s="34" t="s">
        <v>84</v>
      </c>
      <c r="E396" s="31">
        <v>31.176419999999997</v>
      </c>
      <c r="F396" s="31">
        <v>12.1</v>
      </c>
      <c r="G396" s="32">
        <f t="shared" ref="G396:G404" si="61">F396*E396</f>
        <v>377.23468199999996</v>
      </c>
      <c r="H396" s="33">
        <f t="shared" ref="H396:H404" si="62">G396/$F$2</f>
        <v>1.9559810257494061E-6</v>
      </c>
      <c r="K396" t="str">
        <f xml:space="preserve"> $B$390 &amp; B396</f>
        <v>Z000078014Z010109003</v>
      </c>
    </row>
    <row r="397" spans="1:11" outlineLevel="1" x14ac:dyDescent="0.2">
      <c r="A397" s="29"/>
      <c r="B397" s="30" t="s">
        <v>1129</v>
      </c>
      <c r="C397" s="30" t="s">
        <v>2681</v>
      </c>
      <c r="D397" s="34" t="s">
        <v>84</v>
      </c>
      <c r="E397" s="31">
        <v>13.462544999999999</v>
      </c>
      <c r="F397" s="31">
        <v>19.722200000000001</v>
      </c>
      <c r="G397" s="32">
        <f t="shared" si="61"/>
        <v>265.51100499899997</v>
      </c>
      <c r="H397" s="33">
        <f t="shared" si="62"/>
        <v>1.3766880742574453E-6</v>
      </c>
      <c r="K397" t="str">
        <f t="shared" ref="K397:K404" si="63" xml:space="preserve"> $B$390 &amp; B397</f>
        <v>Z000078014Z010305001</v>
      </c>
    </row>
    <row r="398" spans="1:11" outlineLevel="1" x14ac:dyDescent="0.2">
      <c r="A398" s="29"/>
      <c r="B398" s="30" t="s">
        <v>944</v>
      </c>
      <c r="C398" s="30" t="s">
        <v>1601</v>
      </c>
      <c r="D398" s="34" t="s">
        <v>84</v>
      </c>
      <c r="E398" s="31">
        <v>0</v>
      </c>
      <c r="F398" s="31">
        <v>19.170000000000002</v>
      </c>
      <c r="G398" s="32">
        <f t="shared" si="61"/>
        <v>0</v>
      </c>
      <c r="H398" s="33">
        <f t="shared" si="62"/>
        <v>0</v>
      </c>
      <c r="K398" t="str">
        <f t="shared" si="63"/>
        <v>Z000078014Z040201005</v>
      </c>
    </row>
    <row r="399" spans="1:11" outlineLevel="1" x14ac:dyDescent="0.2">
      <c r="A399" s="29"/>
      <c r="B399" s="30" t="s">
        <v>498</v>
      </c>
      <c r="C399" s="30" t="s">
        <v>773</v>
      </c>
      <c r="D399" s="34" t="s">
        <v>84</v>
      </c>
      <c r="E399" s="31">
        <v>1700.5319999999999</v>
      </c>
      <c r="F399" s="31">
        <v>0</v>
      </c>
      <c r="G399" s="32">
        <f t="shared" si="61"/>
        <v>0</v>
      </c>
      <c r="H399" s="33">
        <f t="shared" si="62"/>
        <v>0</v>
      </c>
      <c r="K399" t="str">
        <f t="shared" si="63"/>
        <v>Z000078014Z040401001</v>
      </c>
    </row>
    <row r="400" spans="1:11" outlineLevel="1" x14ac:dyDescent="0.2">
      <c r="A400" s="29"/>
      <c r="B400" s="30" t="s">
        <v>1065</v>
      </c>
      <c r="C400" s="30" t="s">
        <v>1026</v>
      </c>
      <c r="D400" s="34" t="s">
        <v>84</v>
      </c>
      <c r="E400" s="31">
        <v>168.63608999999997</v>
      </c>
      <c r="F400" s="31">
        <v>14.2</v>
      </c>
      <c r="G400" s="32">
        <f t="shared" si="61"/>
        <v>2394.6324779999995</v>
      </c>
      <c r="H400" s="33">
        <f t="shared" si="62"/>
        <v>1.2416291274648184E-5</v>
      </c>
      <c r="K400" t="str">
        <f t="shared" si="63"/>
        <v>Z000078014Z010109008</v>
      </c>
    </row>
    <row r="401" spans="1:11" outlineLevel="1" x14ac:dyDescent="0.2">
      <c r="A401" s="29"/>
      <c r="B401" s="30" t="s">
        <v>4870</v>
      </c>
      <c r="C401" s="30" t="s">
        <v>4871</v>
      </c>
      <c r="D401" s="34" t="s">
        <v>84</v>
      </c>
      <c r="E401" s="31">
        <v>7.0855499999999996</v>
      </c>
      <c r="F401" s="31">
        <v>1</v>
      </c>
      <c r="G401" s="32">
        <f t="shared" si="61"/>
        <v>7.0855499999999996</v>
      </c>
      <c r="H401" s="33">
        <f t="shared" si="62"/>
        <v>3.6738937373204476E-8</v>
      </c>
      <c r="K401" t="str">
        <f t="shared" si="63"/>
        <v>Z000078014Z010109010</v>
      </c>
    </row>
    <row r="402" spans="1:11" outlineLevel="1" x14ac:dyDescent="0.2">
      <c r="A402" s="29"/>
      <c r="B402" s="30" t="s">
        <v>189</v>
      </c>
      <c r="C402" s="30" t="s">
        <v>2685</v>
      </c>
      <c r="D402" s="34" t="s">
        <v>84</v>
      </c>
      <c r="E402" s="31">
        <v>1038.74163</v>
      </c>
      <c r="F402" s="31">
        <v>11.05</v>
      </c>
      <c r="G402" s="32">
        <f t="shared" si="61"/>
        <v>11478.095011500001</v>
      </c>
      <c r="H402" s="33">
        <f t="shared" si="62"/>
        <v>5.9514506818975141E-5</v>
      </c>
      <c r="K402" t="str">
        <f t="shared" si="63"/>
        <v>Z000078014Z010403001</v>
      </c>
    </row>
    <row r="403" spans="1:11" outlineLevel="1" x14ac:dyDescent="0.2">
      <c r="A403" s="29"/>
      <c r="B403" s="30" t="s">
        <v>1568</v>
      </c>
      <c r="C403" s="30" t="s">
        <v>2692</v>
      </c>
      <c r="D403" s="34" t="s">
        <v>84</v>
      </c>
      <c r="E403" s="31">
        <v>1417.11</v>
      </c>
      <c r="F403" s="31">
        <v>49.4</v>
      </c>
      <c r="G403" s="32">
        <f t="shared" si="61"/>
        <v>70005.233999999997</v>
      </c>
      <c r="H403" s="33">
        <f t="shared" si="62"/>
        <v>3.6298070124726024E-4</v>
      </c>
      <c r="K403" t="str">
        <f t="shared" si="63"/>
        <v>Z000078014Z040303016</v>
      </c>
    </row>
    <row r="404" spans="1:11" outlineLevel="1" x14ac:dyDescent="0.2">
      <c r="A404" s="29"/>
      <c r="B404" s="30" t="s">
        <v>1970</v>
      </c>
      <c r="C404" s="30" t="s">
        <v>1166</v>
      </c>
      <c r="D404" s="34" t="s">
        <v>84</v>
      </c>
      <c r="E404" s="31">
        <v>0</v>
      </c>
      <c r="F404" s="31">
        <v>30.29</v>
      </c>
      <c r="G404" s="32">
        <f t="shared" si="61"/>
        <v>0</v>
      </c>
      <c r="H404" s="33">
        <f t="shared" si="62"/>
        <v>0</v>
      </c>
      <c r="K404" t="str">
        <f t="shared" si="63"/>
        <v>Z000078014Z050103007</v>
      </c>
    </row>
    <row r="405" spans="1:11" ht="15" x14ac:dyDescent="0.2">
      <c r="A405" s="17" t="s">
        <v>2009</v>
      </c>
      <c r="B405" s="17" t="s">
        <v>328</v>
      </c>
      <c r="C405" s="17" t="s">
        <v>445</v>
      </c>
      <c r="D405" s="18"/>
      <c r="E405" s="19"/>
      <c r="F405" s="20"/>
      <c r="G405" s="21">
        <f>SUM(G406,G415,G424,G433)</f>
        <v>426560.53898173501</v>
      </c>
      <c r="H405" s="22">
        <f t="shared" si="52"/>
        <v>2.2117381046679947E-3</v>
      </c>
    </row>
    <row r="406" spans="1:11" outlineLevel="1" x14ac:dyDescent="0.2">
      <c r="A406" s="11" t="s">
        <v>137</v>
      </c>
      <c r="B406" s="11" t="s">
        <v>169</v>
      </c>
      <c r="C406" s="11" t="s">
        <v>2404</v>
      </c>
      <c r="D406" s="12" t="s">
        <v>1052</v>
      </c>
      <c r="E406" s="13">
        <v>4122.7299999999996</v>
      </c>
      <c r="F406" s="14">
        <v>9.2460664999999995</v>
      </c>
      <c r="G406" s="15">
        <f>SUM(G407:G414)</f>
        <v>38119.035741544991</v>
      </c>
      <c r="H406" s="16">
        <f t="shared" si="52"/>
        <v>1.9764914041049241E-4</v>
      </c>
    </row>
    <row r="407" spans="1:11" outlineLevel="1" x14ac:dyDescent="0.2">
      <c r="A407" s="29"/>
      <c r="B407" s="30" t="s">
        <v>102</v>
      </c>
      <c r="C407" s="30" t="s">
        <v>759</v>
      </c>
      <c r="D407" s="34" t="s">
        <v>1052</v>
      </c>
      <c r="E407" s="31">
        <v>4143.3436499999989</v>
      </c>
      <c r="F407" s="31">
        <v>5.5869</v>
      </c>
      <c r="G407" s="32">
        <f t="shared" ref="G407:G414" si="64">F407*E407</f>
        <v>23148.446638184992</v>
      </c>
      <c r="H407" s="33">
        <f t="shared" si="52"/>
        <v>1.2002587397269714E-4</v>
      </c>
      <c r="K407" t="str">
        <f xml:space="preserve"> B406 &amp; B407</f>
        <v>Z000071003Z010101002</v>
      </c>
    </row>
    <row r="408" spans="1:11" outlineLevel="1" x14ac:dyDescent="0.2">
      <c r="A408" s="29"/>
      <c r="B408" s="30" t="s">
        <v>1561</v>
      </c>
      <c r="C408" s="30" t="s">
        <v>1939</v>
      </c>
      <c r="D408" s="34" t="s">
        <v>1052</v>
      </c>
      <c r="E408" s="31">
        <v>82.454599999999999</v>
      </c>
      <c r="F408" s="31">
        <v>9.8886000000000003</v>
      </c>
      <c r="G408" s="32">
        <f t="shared" si="64"/>
        <v>815.36055755999996</v>
      </c>
      <c r="H408" s="33">
        <f t="shared" si="52"/>
        <v>4.2276859892002632E-6</v>
      </c>
      <c r="K408" t="str">
        <f xml:space="preserve"> B406 &amp; B408</f>
        <v>Z000071003Z010105001</v>
      </c>
    </row>
    <row r="409" spans="1:11" outlineLevel="1" x14ac:dyDescent="0.2">
      <c r="A409" s="29"/>
      <c r="B409" s="30" t="s">
        <v>1371</v>
      </c>
      <c r="C409" s="30" t="s">
        <v>2406</v>
      </c>
      <c r="D409" s="34" t="s">
        <v>1781</v>
      </c>
      <c r="E409" s="31">
        <v>3063.1883899999998</v>
      </c>
      <c r="F409" s="31">
        <v>0.22</v>
      </c>
      <c r="G409" s="32">
        <f t="shared" si="64"/>
        <v>673.90144579999992</v>
      </c>
      <c r="H409" s="33">
        <f t="shared" si="52"/>
        <v>3.4942132950805723E-6</v>
      </c>
      <c r="K409" t="str">
        <f xml:space="preserve"> B406 &amp; B409</f>
        <v>Z000071003Z030107001</v>
      </c>
    </row>
    <row r="410" spans="1:11" outlineLevel="1" x14ac:dyDescent="0.2">
      <c r="A410" s="29"/>
      <c r="B410" s="30" t="s">
        <v>935</v>
      </c>
      <c r="C410" s="30" t="s">
        <v>1352</v>
      </c>
      <c r="D410" s="34" t="s">
        <v>151</v>
      </c>
      <c r="E410" s="31">
        <v>0</v>
      </c>
      <c r="F410" s="31">
        <v>15.1457</v>
      </c>
      <c r="G410" s="32">
        <f t="shared" si="64"/>
        <v>0</v>
      </c>
      <c r="H410" s="33">
        <f t="shared" si="52"/>
        <v>0</v>
      </c>
      <c r="K410" t="str">
        <f xml:space="preserve"> B406 &amp; B410</f>
        <v>Z000071003Z040201001</v>
      </c>
    </row>
    <row r="411" spans="1:11" outlineLevel="1" x14ac:dyDescent="0.2">
      <c r="A411" s="29"/>
      <c r="B411" s="30" t="s">
        <v>792</v>
      </c>
      <c r="C411" s="30" t="s">
        <v>335</v>
      </c>
      <c r="D411" s="34" t="s">
        <v>151</v>
      </c>
      <c r="E411" s="31">
        <v>0</v>
      </c>
      <c r="F411" s="31">
        <v>11.1343</v>
      </c>
      <c r="G411" s="32">
        <f t="shared" si="64"/>
        <v>0</v>
      </c>
      <c r="H411" s="33">
        <f t="shared" si="52"/>
        <v>0</v>
      </c>
      <c r="K411" t="str">
        <f xml:space="preserve"> B406 &amp; B411</f>
        <v>Z000071003Z040202001</v>
      </c>
    </row>
    <row r="412" spans="1:11" outlineLevel="1" x14ac:dyDescent="0.2">
      <c r="A412" s="29"/>
      <c r="B412" s="30" t="s">
        <v>1501</v>
      </c>
      <c r="C412" s="30" t="s">
        <v>453</v>
      </c>
      <c r="D412" s="34" t="s">
        <v>1052</v>
      </c>
      <c r="E412" s="31">
        <v>4122.7299999999996</v>
      </c>
      <c r="F412" s="31">
        <v>0.87</v>
      </c>
      <c r="G412" s="32">
        <f t="shared" si="64"/>
        <v>3586.7750999999994</v>
      </c>
      <c r="H412" s="33">
        <f t="shared" si="52"/>
        <v>1.8597611444513017E-5</v>
      </c>
      <c r="K412" t="str">
        <f xml:space="preserve"> B406 &amp; B412</f>
        <v>Z000071003Z040303008</v>
      </c>
    </row>
    <row r="413" spans="1:11" outlineLevel="1" x14ac:dyDescent="0.2">
      <c r="A413" s="29"/>
      <c r="B413" s="30" t="s">
        <v>1550</v>
      </c>
      <c r="C413" s="30" t="s">
        <v>1200</v>
      </c>
      <c r="D413" s="34" t="s">
        <v>1052</v>
      </c>
      <c r="E413" s="31">
        <v>4122.7299999999996</v>
      </c>
      <c r="F413" s="31">
        <v>2.4</v>
      </c>
      <c r="G413" s="32">
        <f t="shared" si="64"/>
        <v>9894.5519999999979</v>
      </c>
      <c r="H413" s="33">
        <f t="shared" si="52"/>
        <v>5.1303755709001426E-5</v>
      </c>
      <c r="K413" t="str">
        <f xml:space="preserve"> B406 &amp; B413</f>
        <v>Z000071003Z040303011</v>
      </c>
    </row>
    <row r="414" spans="1:11" outlineLevel="1" x14ac:dyDescent="0.2">
      <c r="A414" s="29"/>
      <c r="B414" s="30" t="s">
        <v>498</v>
      </c>
      <c r="C414" s="30" t="s">
        <v>773</v>
      </c>
      <c r="D414" s="34" t="s">
        <v>84</v>
      </c>
      <c r="E414" s="31">
        <v>4947.2759999999989</v>
      </c>
      <c r="F414" s="31">
        <v>0</v>
      </c>
      <c r="G414" s="32">
        <f t="shared" si="64"/>
        <v>0</v>
      </c>
      <c r="H414" s="33">
        <f t="shared" si="52"/>
        <v>0</v>
      </c>
      <c r="K414" t="str">
        <f xml:space="preserve"> B406 &amp; B414</f>
        <v>Z000071003Z040401001</v>
      </c>
    </row>
    <row r="415" spans="1:11" outlineLevel="1" x14ac:dyDescent="0.2">
      <c r="A415" s="11" t="s">
        <v>140</v>
      </c>
      <c r="B415" s="11" t="s">
        <v>172</v>
      </c>
      <c r="C415" s="11" t="s">
        <v>2414</v>
      </c>
      <c r="D415" s="12" t="s">
        <v>1052</v>
      </c>
      <c r="E415" s="13">
        <v>32484.06</v>
      </c>
      <c r="F415" s="14">
        <v>9.5229049999999997</v>
      </c>
      <c r="G415" s="15">
        <f>SUM(G416:G423)</f>
        <v>309342.6173943</v>
      </c>
      <c r="H415" s="16">
        <f t="shared" ref="H415:H478" si="65">G415/$F$2</f>
        <v>1.603957215362582E-3</v>
      </c>
    </row>
    <row r="416" spans="1:11" outlineLevel="1" x14ac:dyDescent="0.2">
      <c r="A416" s="29"/>
      <c r="B416" s="30" t="s">
        <v>112</v>
      </c>
      <c r="C416" s="30" t="s">
        <v>1303</v>
      </c>
      <c r="D416" s="34" t="s">
        <v>1052</v>
      </c>
      <c r="E416" s="31">
        <v>32646.480299999999</v>
      </c>
      <c r="F416" s="31">
        <v>5.9786000000000001</v>
      </c>
      <c r="G416" s="32">
        <f t="shared" ref="G416:G423" si="66">F416*E416</f>
        <v>195180.24712158</v>
      </c>
      <c r="H416" s="33">
        <f t="shared" si="65"/>
        <v>1.0120195151380347E-3</v>
      </c>
      <c r="K416" t="str">
        <f xml:space="preserve"> B415 &amp; B416</f>
        <v>Z000071006Z010101006</v>
      </c>
    </row>
    <row r="417" spans="1:11" outlineLevel="1" x14ac:dyDescent="0.2">
      <c r="A417" s="29"/>
      <c r="B417" s="30" t="s">
        <v>1561</v>
      </c>
      <c r="C417" s="30" t="s">
        <v>1939</v>
      </c>
      <c r="D417" s="34" t="s">
        <v>1052</v>
      </c>
      <c r="E417" s="31">
        <v>649.68119999999999</v>
      </c>
      <c r="F417" s="31">
        <v>9.8886000000000003</v>
      </c>
      <c r="G417" s="32">
        <f t="shared" si="66"/>
        <v>6424.4375143200004</v>
      </c>
      <c r="H417" s="33">
        <f t="shared" si="65"/>
        <v>3.3311035487247703E-5</v>
      </c>
      <c r="K417" t="str">
        <f xml:space="preserve"> B415 &amp; B417</f>
        <v>Z000071006Z010105001</v>
      </c>
    </row>
    <row r="418" spans="1:11" outlineLevel="1" x14ac:dyDescent="0.2">
      <c r="A418" s="29"/>
      <c r="B418" s="30" t="s">
        <v>1371</v>
      </c>
      <c r="C418" s="30" t="s">
        <v>2406</v>
      </c>
      <c r="D418" s="34" t="s">
        <v>1781</v>
      </c>
      <c r="E418" s="31">
        <v>6886.6207199999999</v>
      </c>
      <c r="F418" s="31">
        <v>0.22</v>
      </c>
      <c r="G418" s="32">
        <f t="shared" si="66"/>
        <v>1515.0565584000001</v>
      </c>
      <c r="H418" s="33">
        <f t="shared" si="65"/>
        <v>7.8556453649921767E-6</v>
      </c>
      <c r="K418" t="str">
        <f xml:space="preserve"> B415 &amp; B418</f>
        <v>Z000071006Z030107001</v>
      </c>
    </row>
    <row r="419" spans="1:11" outlineLevel="1" x14ac:dyDescent="0.2">
      <c r="A419" s="29"/>
      <c r="B419" s="30" t="s">
        <v>935</v>
      </c>
      <c r="C419" s="30" t="s">
        <v>1352</v>
      </c>
      <c r="D419" s="34" t="s">
        <v>151</v>
      </c>
      <c r="E419" s="31">
        <v>0</v>
      </c>
      <c r="F419" s="31">
        <v>15.1457</v>
      </c>
      <c r="G419" s="32">
        <f t="shared" si="66"/>
        <v>0</v>
      </c>
      <c r="H419" s="33">
        <f t="shared" si="65"/>
        <v>0</v>
      </c>
      <c r="K419" t="str">
        <f xml:space="preserve"> B415 &amp; B419</f>
        <v>Z000071006Z040201001</v>
      </c>
    </row>
    <row r="420" spans="1:11" outlineLevel="1" x14ac:dyDescent="0.2">
      <c r="A420" s="29"/>
      <c r="B420" s="30" t="s">
        <v>792</v>
      </c>
      <c r="C420" s="30" t="s">
        <v>335</v>
      </c>
      <c r="D420" s="34" t="s">
        <v>151</v>
      </c>
      <c r="E420" s="31">
        <v>0</v>
      </c>
      <c r="F420" s="31">
        <v>11.1343</v>
      </c>
      <c r="G420" s="32">
        <f t="shared" si="66"/>
        <v>0</v>
      </c>
      <c r="H420" s="33">
        <f t="shared" si="65"/>
        <v>0</v>
      </c>
      <c r="K420" t="str">
        <f xml:space="preserve"> B415 &amp; B420</f>
        <v>Z000071006Z040202001</v>
      </c>
    </row>
    <row r="421" spans="1:11" outlineLevel="1" x14ac:dyDescent="0.2">
      <c r="A421" s="29"/>
      <c r="B421" s="30" t="s">
        <v>1501</v>
      </c>
      <c r="C421" s="30" t="s">
        <v>453</v>
      </c>
      <c r="D421" s="34" t="s">
        <v>1052</v>
      </c>
      <c r="E421" s="31">
        <v>32484.06</v>
      </c>
      <c r="F421" s="31">
        <v>0.87</v>
      </c>
      <c r="G421" s="32">
        <f t="shared" si="66"/>
        <v>28261.1322</v>
      </c>
      <c r="H421" s="33">
        <f t="shared" si="65"/>
        <v>1.4653540882382491E-4</v>
      </c>
      <c r="K421" t="str">
        <f xml:space="preserve"> B415 &amp; B421</f>
        <v>Z000071006Z040303008</v>
      </c>
    </row>
    <row r="422" spans="1:11" outlineLevel="1" x14ac:dyDescent="0.2">
      <c r="A422" s="29"/>
      <c r="B422" s="30" t="s">
        <v>1550</v>
      </c>
      <c r="C422" s="30" t="s">
        <v>1200</v>
      </c>
      <c r="D422" s="34" t="s">
        <v>1052</v>
      </c>
      <c r="E422" s="31">
        <v>32484.06</v>
      </c>
      <c r="F422" s="31">
        <v>2.4</v>
      </c>
      <c r="G422" s="32">
        <f t="shared" si="66"/>
        <v>77961.744000000006</v>
      </c>
      <c r="H422" s="33">
        <f t="shared" si="65"/>
        <v>4.0423561054848251E-4</v>
      </c>
      <c r="K422" t="str">
        <f xml:space="preserve"> B415 &amp; B422</f>
        <v>Z000071006Z040303011</v>
      </c>
    </row>
    <row r="423" spans="1:11" outlineLevel="1" x14ac:dyDescent="0.2">
      <c r="A423" s="29"/>
      <c r="B423" s="30" t="s">
        <v>498</v>
      </c>
      <c r="C423" s="30" t="s">
        <v>773</v>
      </c>
      <c r="D423" s="34" t="s">
        <v>84</v>
      </c>
      <c r="E423" s="31">
        <v>38980.872000000003</v>
      </c>
      <c r="F423" s="31">
        <v>0</v>
      </c>
      <c r="G423" s="32">
        <f t="shared" si="66"/>
        <v>0</v>
      </c>
      <c r="H423" s="33">
        <f t="shared" si="65"/>
        <v>0</v>
      </c>
      <c r="K423" t="str">
        <f xml:space="preserve"> B415 &amp; B423</f>
        <v>Z000071006Z040401001</v>
      </c>
    </row>
    <row r="424" spans="1:11" outlineLevel="1" x14ac:dyDescent="0.2">
      <c r="A424" s="11" t="s">
        <v>143</v>
      </c>
      <c r="B424" s="11" t="s">
        <v>1266</v>
      </c>
      <c r="C424" s="11" t="s">
        <v>2506</v>
      </c>
      <c r="D424" s="12" t="s">
        <v>1052</v>
      </c>
      <c r="E424" s="13">
        <v>31.82</v>
      </c>
      <c r="F424" s="14">
        <v>10.503849499999998</v>
      </c>
      <c r="G424" s="15">
        <f>SUM(G425:G432)</f>
        <v>334.23249108999994</v>
      </c>
      <c r="H424" s="16">
        <f t="shared" si="65"/>
        <v>1.7330124772594409E-6</v>
      </c>
    </row>
    <row r="425" spans="1:11" outlineLevel="1" x14ac:dyDescent="0.2">
      <c r="A425" s="29"/>
      <c r="B425" s="30" t="s">
        <v>102</v>
      </c>
      <c r="C425" s="30" t="s">
        <v>759</v>
      </c>
      <c r="D425" s="34" t="s">
        <v>1052</v>
      </c>
      <c r="E425" s="31">
        <v>31.979099999999995</v>
      </c>
      <c r="F425" s="31">
        <v>5.5869</v>
      </c>
      <c r="G425" s="32">
        <f t="shared" ref="G425:G432" si="67">F425*E425</f>
        <v>178.66403378999996</v>
      </c>
      <c r="H425" s="33">
        <f t="shared" si="65"/>
        <v>9.2638210841147086E-7</v>
      </c>
      <c r="K425" t="str">
        <f xml:space="preserve"> B424 &amp; B425</f>
        <v>Z000078006Z010101002</v>
      </c>
    </row>
    <row r="426" spans="1:11" outlineLevel="1" x14ac:dyDescent="0.2">
      <c r="A426" s="29"/>
      <c r="B426" s="30" t="s">
        <v>1561</v>
      </c>
      <c r="C426" s="30" t="s">
        <v>1939</v>
      </c>
      <c r="D426" s="34" t="s">
        <v>1052</v>
      </c>
      <c r="E426" s="31">
        <v>0.7955000000000001</v>
      </c>
      <c r="F426" s="31">
        <v>9.8886000000000003</v>
      </c>
      <c r="G426" s="32">
        <f t="shared" si="67"/>
        <v>7.8663813000000014</v>
      </c>
      <c r="H426" s="33">
        <f t="shared" si="65"/>
        <v>4.0787587404569424E-8</v>
      </c>
      <c r="K426" t="str">
        <f xml:space="preserve"> B424 &amp; B426</f>
        <v>Z000078006Z010105001</v>
      </c>
    </row>
    <row r="427" spans="1:11" outlineLevel="1" x14ac:dyDescent="0.2">
      <c r="A427" s="29"/>
      <c r="B427" s="30" t="s">
        <v>1371</v>
      </c>
      <c r="C427" s="30" t="s">
        <v>2406</v>
      </c>
      <c r="D427" s="34" t="s">
        <v>1781</v>
      </c>
      <c r="E427" s="31">
        <v>37.8658</v>
      </c>
      <c r="F427" s="31">
        <v>0.22</v>
      </c>
      <c r="G427" s="32">
        <f t="shared" si="67"/>
        <v>8.3304760000000009</v>
      </c>
      <c r="H427" s="33">
        <f t="shared" si="65"/>
        <v>4.3193942044440163E-8</v>
      </c>
      <c r="K427" t="str">
        <f xml:space="preserve"> B424 &amp; B427</f>
        <v>Z000078006Z030107001</v>
      </c>
    </row>
    <row r="428" spans="1:11" outlineLevel="1" x14ac:dyDescent="0.2">
      <c r="A428" s="29"/>
      <c r="B428" s="30" t="s">
        <v>935</v>
      </c>
      <c r="C428" s="30" t="s">
        <v>1352</v>
      </c>
      <c r="D428" s="34" t="s">
        <v>151</v>
      </c>
      <c r="E428" s="31">
        <v>0</v>
      </c>
      <c r="F428" s="31">
        <v>15.1457</v>
      </c>
      <c r="G428" s="32">
        <f t="shared" si="67"/>
        <v>0</v>
      </c>
      <c r="H428" s="33">
        <f t="shared" si="65"/>
        <v>0</v>
      </c>
      <c r="K428" t="str">
        <f xml:space="preserve"> B424 &amp; B428</f>
        <v>Z000078006Z040201001</v>
      </c>
    </row>
    <row r="429" spans="1:11" outlineLevel="1" x14ac:dyDescent="0.2">
      <c r="A429" s="29"/>
      <c r="B429" s="30" t="s">
        <v>792</v>
      </c>
      <c r="C429" s="30" t="s">
        <v>335</v>
      </c>
      <c r="D429" s="34" t="s">
        <v>151</v>
      </c>
      <c r="E429" s="31">
        <v>0</v>
      </c>
      <c r="F429" s="31">
        <v>11.1343</v>
      </c>
      <c r="G429" s="32">
        <f t="shared" si="67"/>
        <v>0</v>
      </c>
      <c r="H429" s="33">
        <f t="shared" si="65"/>
        <v>0</v>
      </c>
      <c r="K429" t="str">
        <f xml:space="preserve"> B424 &amp; B429</f>
        <v>Z000078006Z040202001</v>
      </c>
    </row>
    <row r="430" spans="1:11" outlineLevel="1" x14ac:dyDescent="0.2">
      <c r="A430" s="29"/>
      <c r="B430" s="30" t="s">
        <v>1547</v>
      </c>
      <c r="C430" s="30" t="s">
        <v>1483</v>
      </c>
      <c r="D430" s="34" t="s">
        <v>1052</v>
      </c>
      <c r="E430" s="31">
        <v>31.82</v>
      </c>
      <c r="F430" s="31">
        <v>0.87</v>
      </c>
      <c r="G430" s="32">
        <f t="shared" si="67"/>
        <v>27.683399999999999</v>
      </c>
      <c r="H430" s="33">
        <f t="shared" si="65"/>
        <v>1.4353983796280725E-7</v>
      </c>
      <c r="K430" t="str">
        <f xml:space="preserve"> B424 &amp; B430</f>
        <v>Z000078006Z040303010</v>
      </c>
    </row>
    <row r="431" spans="1:11" outlineLevel="1" x14ac:dyDescent="0.2">
      <c r="A431" s="29"/>
      <c r="B431" s="30" t="s">
        <v>1555</v>
      </c>
      <c r="C431" s="30" t="s">
        <v>177</v>
      </c>
      <c r="D431" s="34" t="s">
        <v>1052</v>
      </c>
      <c r="E431" s="31">
        <v>31.82</v>
      </c>
      <c r="F431" s="31">
        <v>3.51</v>
      </c>
      <c r="G431" s="32">
        <f t="shared" si="67"/>
        <v>111.68819999999999</v>
      </c>
      <c r="H431" s="33">
        <f t="shared" si="65"/>
        <v>5.7910900143615339E-7</v>
      </c>
      <c r="K431" t="str">
        <f xml:space="preserve"> B424 &amp; B431</f>
        <v>Z000078006Z040303013</v>
      </c>
    </row>
    <row r="432" spans="1:11" outlineLevel="1" x14ac:dyDescent="0.2">
      <c r="A432" s="29"/>
      <c r="B432" s="30" t="s">
        <v>498</v>
      </c>
      <c r="C432" s="30" t="s">
        <v>773</v>
      </c>
      <c r="D432" s="34" t="s">
        <v>84</v>
      </c>
      <c r="E432" s="31">
        <v>38.183999999999997</v>
      </c>
      <c r="F432" s="31">
        <v>0</v>
      </c>
      <c r="G432" s="32">
        <f t="shared" si="67"/>
        <v>0</v>
      </c>
      <c r="H432" s="33">
        <f t="shared" si="65"/>
        <v>0</v>
      </c>
      <c r="K432" t="str">
        <f xml:space="preserve"> B424 &amp; B432</f>
        <v>Z000078006Z040401001</v>
      </c>
    </row>
    <row r="433" spans="1:11" outlineLevel="1" x14ac:dyDescent="0.2">
      <c r="A433" s="11" t="s">
        <v>145</v>
      </c>
      <c r="B433" s="11" t="s">
        <v>1270</v>
      </c>
      <c r="C433" s="11" t="s">
        <v>2515</v>
      </c>
      <c r="D433" s="12" t="s">
        <v>1052</v>
      </c>
      <c r="E433" s="13">
        <v>7359.1</v>
      </c>
      <c r="F433" s="14">
        <v>10.703028</v>
      </c>
      <c r="G433" s="15">
        <f>SUM(G434:G441)</f>
        <v>78764.653354800001</v>
      </c>
      <c r="H433" s="16">
        <f t="shared" si="65"/>
        <v>4.0839873641766093E-4</v>
      </c>
    </row>
    <row r="434" spans="1:11" outlineLevel="1" x14ac:dyDescent="0.2">
      <c r="A434" s="29"/>
      <c r="B434" s="30" t="s">
        <v>110</v>
      </c>
      <c r="C434" s="30" t="s">
        <v>1544</v>
      </c>
      <c r="D434" s="34" t="s">
        <v>1052</v>
      </c>
      <c r="E434" s="31">
        <v>7395.8954999999996</v>
      </c>
      <c r="F434" s="31">
        <v>5.9786000000000001</v>
      </c>
      <c r="G434" s="32">
        <f t="shared" ref="G434:G441" si="68">F434*E434</f>
        <v>44217.1008363</v>
      </c>
      <c r="H434" s="33">
        <f t="shared" si="65"/>
        <v>2.2926791829138077E-4</v>
      </c>
      <c r="K434" t="str">
        <f xml:space="preserve"> B433 &amp; B434</f>
        <v>Z000078009Z010101005</v>
      </c>
    </row>
    <row r="435" spans="1:11" outlineLevel="1" x14ac:dyDescent="0.2">
      <c r="A435" s="29"/>
      <c r="B435" s="30" t="s">
        <v>1561</v>
      </c>
      <c r="C435" s="30" t="s">
        <v>1939</v>
      </c>
      <c r="D435" s="34" t="s">
        <v>1052</v>
      </c>
      <c r="E435" s="31">
        <v>183.97750000000002</v>
      </c>
      <c r="F435" s="31">
        <v>9.8886000000000003</v>
      </c>
      <c r="G435" s="32">
        <f t="shared" si="68"/>
        <v>1819.2799065000002</v>
      </c>
      <c r="H435" s="33">
        <f t="shared" si="65"/>
        <v>9.4330589085156143E-6</v>
      </c>
      <c r="K435" t="str">
        <f xml:space="preserve"> B433 &amp; B435</f>
        <v>Z000078009Z010105001</v>
      </c>
    </row>
    <row r="436" spans="1:11" outlineLevel="1" x14ac:dyDescent="0.2">
      <c r="A436" s="29"/>
      <c r="B436" s="30" t="s">
        <v>1371</v>
      </c>
      <c r="C436" s="30" t="s">
        <v>2406</v>
      </c>
      <c r="D436" s="34" t="s">
        <v>1781</v>
      </c>
      <c r="E436" s="31">
        <v>2251.8845999999999</v>
      </c>
      <c r="F436" s="31">
        <v>0.22</v>
      </c>
      <c r="G436" s="32">
        <f t="shared" si="68"/>
        <v>495.41461199999998</v>
      </c>
      <c r="H436" s="33">
        <f t="shared" si="65"/>
        <v>2.5687499776359485E-6</v>
      </c>
      <c r="K436" t="str">
        <f xml:space="preserve"> B433 &amp; B436</f>
        <v>Z000078009Z030107001</v>
      </c>
    </row>
    <row r="437" spans="1:11" outlineLevel="1" x14ac:dyDescent="0.2">
      <c r="A437" s="29"/>
      <c r="B437" s="30" t="s">
        <v>935</v>
      </c>
      <c r="C437" s="30" t="s">
        <v>1352</v>
      </c>
      <c r="D437" s="34" t="s">
        <v>151</v>
      </c>
      <c r="E437" s="31">
        <v>0</v>
      </c>
      <c r="F437" s="31">
        <v>15.1457</v>
      </c>
      <c r="G437" s="32">
        <f t="shared" si="68"/>
        <v>0</v>
      </c>
      <c r="H437" s="33">
        <f t="shared" si="65"/>
        <v>0</v>
      </c>
      <c r="K437" t="str">
        <f xml:space="preserve"> B433 &amp; B437</f>
        <v>Z000078009Z040201001</v>
      </c>
    </row>
    <row r="438" spans="1:11" outlineLevel="1" x14ac:dyDescent="0.2">
      <c r="A438" s="29"/>
      <c r="B438" s="30" t="s">
        <v>792</v>
      </c>
      <c r="C438" s="30" t="s">
        <v>335</v>
      </c>
      <c r="D438" s="34" t="s">
        <v>151</v>
      </c>
      <c r="E438" s="31">
        <v>0</v>
      </c>
      <c r="F438" s="31">
        <v>11.1343</v>
      </c>
      <c r="G438" s="32">
        <f t="shared" si="68"/>
        <v>0</v>
      </c>
      <c r="H438" s="33">
        <f t="shared" si="65"/>
        <v>0</v>
      </c>
      <c r="K438" t="str">
        <f xml:space="preserve"> B433 &amp; B438</f>
        <v>Z000078009Z040202001</v>
      </c>
    </row>
    <row r="439" spans="1:11" outlineLevel="1" x14ac:dyDescent="0.2">
      <c r="A439" s="29"/>
      <c r="B439" s="30" t="s">
        <v>1547</v>
      </c>
      <c r="C439" s="30" t="s">
        <v>1483</v>
      </c>
      <c r="D439" s="34" t="s">
        <v>1052</v>
      </c>
      <c r="E439" s="31">
        <v>7359.1</v>
      </c>
      <c r="F439" s="31">
        <v>0.87</v>
      </c>
      <c r="G439" s="32">
        <f t="shared" si="68"/>
        <v>6402.4170000000004</v>
      </c>
      <c r="H439" s="33">
        <f t="shared" si="65"/>
        <v>3.3196857999751568E-5</v>
      </c>
      <c r="K439" t="str">
        <f xml:space="preserve"> B433 &amp; B439</f>
        <v>Z000078009Z040303010</v>
      </c>
    </row>
    <row r="440" spans="1:11" outlineLevel="1" x14ac:dyDescent="0.2">
      <c r="A440" s="29"/>
      <c r="B440" s="30" t="s">
        <v>1555</v>
      </c>
      <c r="C440" s="30" t="s">
        <v>177</v>
      </c>
      <c r="D440" s="34" t="s">
        <v>1052</v>
      </c>
      <c r="E440" s="31">
        <v>7359.1</v>
      </c>
      <c r="F440" s="31">
        <v>3.51</v>
      </c>
      <c r="G440" s="32">
        <f t="shared" si="68"/>
        <v>25830.440999999999</v>
      </c>
      <c r="H440" s="33">
        <f t="shared" si="65"/>
        <v>1.3393215124037701E-4</v>
      </c>
      <c r="K440" t="str">
        <f xml:space="preserve"> B433 &amp; B440</f>
        <v>Z000078009Z040303013</v>
      </c>
    </row>
    <row r="441" spans="1:11" outlineLevel="1" x14ac:dyDescent="0.2">
      <c r="A441" s="29"/>
      <c r="B441" s="30" t="s">
        <v>498</v>
      </c>
      <c r="C441" s="30" t="s">
        <v>773</v>
      </c>
      <c r="D441" s="34" t="s">
        <v>84</v>
      </c>
      <c r="E441" s="31">
        <v>8830.92</v>
      </c>
      <c r="F441" s="31">
        <v>0</v>
      </c>
      <c r="G441" s="32">
        <f t="shared" si="68"/>
        <v>0</v>
      </c>
      <c r="H441" s="33">
        <f t="shared" si="65"/>
        <v>0</v>
      </c>
      <c r="K441" t="str">
        <f xml:space="preserve"> B433 &amp; B441</f>
        <v>Z000078009Z040401001</v>
      </c>
    </row>
    <row r="442" spans="1:11" ht="15" x14ac:dyDescent="0.2">
      <c r="A442" s="17" t="s">
        <v>2010</v>
      </c>
      <c r="B442" s="17" t="s">
        <v>328</v>
      </c>
      <c r="C442" s="17" t="s">
        <v>279</v>
      </c>
      <c r="D442" s="18"/>
      <c r="E442" s="19"/>
      <c r="F442" s="20"/>
      <c r="G442" s="21">
        <f>SUM(G443,G450,G457,G467)</f>
        <v>821236.98610519408</v>
      </c>
      <c r="H442" s="22">
        <f t="shared" si="65"/>
        <v>4.2581555702913571E-3</v>
      </c>
    </row>
    <row r="443" spans="1:11" outlineLevel="1" x14ac:dyDescent="0.2">
      <c r="A443" s="11" t="s">
        <v>0</v>
      </c>
      <c r="B443" s="11" t="s">
        <v>51</v>
      </c>
      <c r="C443" s="11" t="s">
        <v>2432</v>
      </c>
      <c r="D443" s="12" t="s">
        <v>1153</v>
      </c>
      <c r="E443" s="13">
        <v>176.47</v>
      </c>
      <c r="F443" s="14">
        <v>838.07</v>
      </c>
      <c r="G443" s="15">
        <f>SUM(G444:G449)</f>
        <v>147894.21290000001</v>
      </c>
      <c r="H443" s="16">
        <f t="shared" si="65"/>
        <v>7.6683902104882052E-4</v>
      </c>
    </row>
    <row r="444" spans="1:11" outlineLevel="1" x14ac:dyDescent="0.2">
      <c r="A444" s="29"/>
      <c r="B444" s="30" t="s">
        <v>814</v>
      </c>
      <c r="C444" s="30" t="s">
        <v>1959</v>
      </c>
      <c r="D444" s="34" t="s">
        <v>1153</v>
      </c>
      <c r="E444" s="31">
        <v>206.4699</v>
      </c>
      <c r="F444" s="31">
        <v>55</v>
      </c>
      <c r="G444" s="32">
        <f t="shared" ref="G444:G449" si="69">F444*E444</f>
        <v>11355.844499999999</v>
      </c>
      <c r="H444" s="33">
        <f t="shared" si="65"/>
        <v>5.8880631694836466E-5</v>
      </c>
      <c r="K444" t="str">
        <f xml:space="preserve"> B443 &amp; B444</f>
        <v>Z000072003Z010201001</v>
      </c>
    </row>
    <row r="445" spans="1:11" outlineLevel="1" x14ac:dyDescent="0.2">
      <c r="A445" s="29"/>
      <c r="B445" s="30" t="s">
        <v>818</v>
      </c>
      <c r="C445" s="30" t="s">
        <v>2424</v>
      </c>
      <c r="D445" s="34" t="s">
        <v>1153</v>
      </c>
      <c r="E445" s="31">
        <v>22.941100000000002</v>
      </c>
      <c r="F445" s="31">
        <v>100</v>
      </c>
      <c r="G445" s="32">
        <f t="shared" si="69"/>
        <v>2294.11</v>
      </c>
      <c r="H445" s="33">
        <f t="shared" si="65"/>
        <v>1.1895077110067974E-5</v>
      </c>
      <c r="K445" t="str">
        <f xml:space="preserve"> B443 &amp; B445</f>
        <v>Z000072003Z010201002</v>
      </c>
    </row>
    <row r="446" spans="1:11" outlineLevel="1" x14ac:dyDescent="0.2">
      <c r="A446" s="29"/>
      <c r="B446" s="30" t="s">
        <v>563</v>
      </c>
      <c r="C446" s="30" t="s">
        <v>1758</v>
      </c>
      <c r="D446" s="34" t="s">
        <v>1153</v>
      </c>
      <c r="E446" s="31">
        <v>229.411</v>
      </c>
      <c r="F446" s="31">
        <v>511</v>
      </c>
      <c r="G446" s="32">
        <f t="shared" si="69"/>
        <v>117229.02100000001</v>
      </c>
      <c r="H446" s="33">
        <f t="shared" si="65"/>
        <v>6.0783844032447347E-4</v>
      </c>
      <c r="K446" t="str">
        <f xml:space="preserve"> B443 &amp; B446</f>
        <v>Z000072003Z010203001</v>
      </c>
    </row>
    <row r="447" spans="1:11" outlineLevel="1" x14ac:dyDescent="0.2">
      <c r="A447" s="29"/>
      <c r="B447" s="30" t="s">
        <v>801</v>
      </c>
      <c r="C447" s="30" t="s">
        <v>402</v>
      </c>
      <c r="D447" s="34" t="s">
        <v>151</v>
      </c>
      <c r="E447" s="31">
        <v>0</v>
      </c>
      <c r="F447" s="31">
        <v>10.3</v>
      </c>
      <c r="G447" s="32">
        <f t="shared" si="69"/>
        <v>0</v>
      </c>
      <c r="H447" s="33">
        <f t="shared" si="65"/>
        <v>0</v>
      </c>
      <c r="K447" t="str">
        <f xml:space="preserve"> B443 &amp; B447</f>
        <v>Z000072003Z040202006</v>
      </c>
    </row>
    <row r="448" spans="1:11" outlineLevel="1" x14ac:dyDescent="0.2">
      <c r="A448" s="29"/>
      <c r="B448" s="30" t="s">
        <v>1575</v>
      </c>
      <c r="C448" s="30" t="s">
        <v>2428</v>
      </c>
      <c r="D448" s="34" t="s">
        <v>1153</v>
      </c>
      <c r="E448" s="31">
        <v>176.47</v>
      </c>
      <c r="F448" s="31">
        <v>96.42</v>
      </c>
      <c r="G448" s="32">
        <f t="shared" si="69"/>
        <v>17015.237400000002</v>
      </c>
      <c r="H448" s="33">
        <f t="shared" si="65"/>
        <v>8.8224871919442626E-5</v>
      </c>
      <c r="K448" t="str">
        <f xml:space="preserve"> B443 &amp; B448</f>
        <v>Z000072003Z040303017</v>
      </c>
    </row>
    <row r="449" spans="1:11" outlineLevel="1" x14ac:dyDescent="0.2">
      <c r="A449" s="29"/>
      <c r="B449" s="30" t="s">
        <v>498</v>
      </c>
      <c r="C449" s="30" t="s">
        <v>773</v>
      </c>
      <c r="D449" s="34" t="s">
        <v>84</v>
      </c>
      <c r="E449" s="31">
        <v>211.76399999999998</v>
      </c>
      <c r="F449" s="31">
        <v>0</v>
      </c>
      <c r="G449" s="32">
        <f t="shared" si="69"/>
        <v>0</v>
      </c>
      <c r="H449" s="33">
        <f t="shared" si="65"/>
        <v>0</v>
      </c>
      <c r="K449" t="str">
        <f xml:space="preserve"> B443 &amp; B449</f>
        <v>Z000072003Z040401001</v>
      </c>
    </row>
    <row r="450" spans="1:11" outlineLevel="1" x14ac:dyDescent="0.2">
      <c r="A450" s="11" t="s">
        <v>4</v>
      </c>
      <c r="B450" s="11" t="s">
        <v>45</v>
      </c>
      <c r="C450" s="11" t="s">
        <v>2423</v>
      </c>
      <c r="D450" s="12" t="s">
        <v>1153</v>
      </c>
      <c r="E450" s="13">
        <v>388.41</v>
      </c>
      <c r="F450" s="14">
        <v>838.06999999999994</v>
      </c>
      <c r="G450" s="15">
        <f>SUM(G451:G456)</f>
        <v>325514.76870000002</v>
      </c>
      <c r="H450" s="16">
        <f t="shared" si="65"/>
        <v>1.6878106429737201E-3</v>
      </c>
    </row>
    <row r="451" spans="1:11" outlineLevel="1" x14ac:dyDescent="0.2">
      <c r="A451" s="29"/>
      <c r="B451" s="30" t="s">
        <v>814</v>
      </c>
      <c r="C451" s="30" t="s">
        <v>1959</v>
      </c>
      <c r="D451" s="34" t="s">
        <v>1153</v>
      </c>
      <c r="E451" s="31">
        <v>454.43970000000002</v>
      </c>
      <c r="F451" s="31">
        <v>55</v>
      </c>
      <c r="G451" s="32">
        <f t="shared" ref="G451:G456" si="70">F451*E451</f>
        <v>24994.183499999999</v>
      </c>
      <c r="H451" s="33">
        <f t="shared" si="65"/>
        <v>1.2959611354106324E-4</v>
      </c>
      <c r="K451" t="str">
        <f xml:space="preserve"> B450 &amp; B451</f>
        <v>Z000072001Z010201001</v>
      </c>
    </row>
    <row r="452" spans="1:11" outlineLevel="1" x14ac:dyDescent="0.2">
      <c r="A452" s="29"/>
      <c r="B452" s="30" t="s">
        <v>818</v>
      </c>
      <c r="C452" s="30" t="s">
        <v>2424</v>
      </c>
      <c r="D452" s="34" t="s">
        <v>1153</v>
      </c>
      <c r="E452" s="31">
        <v>50.493300000000005</v>
      </c>
      <c r="F452" s="31">
        <v>100</v>
      </c>
      <c r="G452" s="32">
        <f t="shared" si="70"/>
        <v>5049.3300000000008</v>
      </c>
      <c r="H452" s="33">
        <f t="shared" si="65"/>
        <v>2.6181033038598643E-5</v>
      </c>
      <c r="K452" t="str">
        <f xml:space="preserve"> B450 &amp; B452</f>
        <v>Z000072001Z010201002</v>
      </c>
    </row>
    <row r="453" spans="1:11" outlineLevel="1" x14ac:dyDescent="0.2">
      <c r="A453" s="29"/>
      <c r="B453" s="30" t="s">
        <v>683</v>
      </c>
      <c r="C453" s="30" t="s">
        <v>410</v>
      </c>
      <c r="D453" s="34" t="s">
        <v>1153</v>
      </c>
      <c r="E453" s="31">
        <v>504.93300000000005</v>
      </c>
      <c r="F453" s="31">
        <v>511</v>
      </c>
      <c r="G453" s="32">
        <f t="shared" si="70"/>
        <v>258020.76300000004</v>
      </c>
      <c r="H453" s="33">
        <f t="shared" si="65"/>
        <v>1.3378507882723905E-3</v>
      </c>
      <c r="K453" t="str">
        <f xml:space="preserve"> B450 &amp; B453</f>
        <v>Z000072001Z010202003</v>
      </c>
    </row>
    <row r="454" spans="1:11" outlineLevel="1" x14ac:dyDescent="0.2">
      <c r="A454" s="29"/>
      <c r="B454" s="30" t="s">
        <v>801</v>
      </c>
      <c r="C454" s="30" t="s">
        <v>402</v>
      </c>
      <c r="D454" s="34" t="s">
        <v>151</v>
      </c>
      <c r="E454" s="31">
        <v>0</v>
      </c>
      <c r="F454" s="31">
        <v>10.3</v>
      </c>
      <c r="G454" s="32">
        <f t="shared" si="70"/>
        <v>0</v>
      </c>
      <c r="H454" s="33">
        <f t="shared" si="65"/>
        <v>0</v>
      </c>
      <c r="K454" t="str">
        <f xml:space="preserve"> B450 &amp; B454</f>
        <v>Z000072001Z040202006</v>
      </c>
    </row>
    <row r="455" spans="1:11" outlineLevel="1" x14ac:dyDescent="0.2">
      <c r="A455" s="29"/>
      <c r="B455" s="30" t="s">
        <v>1575</v>
      </c>
      <c r="C455" s="30" t="s">
        <v>2428</v>
      </c>
      <c r="D455" s="34" t="s">
        <v>1153</v>
      </c>
      <c r="E455" s="31">
        <v>388.41</v>
      </c>
      <c r="F455" s="31">
        <v>96.42</v>
      </c>
      <c r="G455" s="32">
        <f t="shared" si="70"/>
        <v>37450.492200000001</v>
      </c>
      <c r="H455" s="33">
        <f t="shared" si="65"/>
        <v>1.9418270812166774E-4</v>
      </c>
      <c r="K455" t="str">
        <f xml:space="preserve"> B450 &amp; B455</f>
        <v>Z000072001Z040303017</v>
      </c>
    </row>
    <row r="456" spans="1:11" outlineLevel="1" x14ac:dyDescent="0.2">
      <c r="A456" s="29"/>
      <c r="B456" s="30" t="s">
        <v>498</v>
      </c>
      <c r="C456" s="30" t="s">
        <v>773</v>
      </c>
      <c r="D456" s="34" t="s">
        <v>84</v>
      </c>
      <c r="E456" s="31">
        <v>466.09199999999998</v>
      </c>
      <c r="F456" s="31">
        <v>0</v>
      </c>
      <c r="G456" s="32">
        <f t="shared" si="70"/>
        <v>0</v>
      </c>
      <c r="H456" s="33">
        <f t="shared" si="65"/>
        <v>0</v>
      </c>
      <c r="K456" t="str">
        <f xml:space="preserve"> B450 &amp; B456</f>
        <v>Z000072001Z040401001</v>
      </c>
    </row>
    <row r="457" spans="1:11" outlineLevel="1" x14ac:dyDescent="0.2">
      <c r="A457" s="11" t="s">
        <v>7</v>
      </c>
      <c r="B457" s="11" t="s">
        <v>1261</v>
      </c>
      <c r="C457" s="11" t="s">
        <v>2493</v>
      </c>
      <c r="D457" s="12" t="s">
        <v>1153</v>
      </c>
      <c r="E457" s="13">
        <v>454.29</v>
      </c>
      <c r="F457" s="14">
        <v>752.49499999999989</v>
      </c>
      <c r="G457" s="15">
        <f>SUM(G458:G466)</f>
        <v>341850.95354999998</v>
      </c>
      <c r="H457" s="16">
        <f t="shared" si="65"/>
        <v>1.7725145928606364E-3</v>
      </c>
    </row>
    <row r="458" spans="1:11" outlineLevel="1" x14ac:dyDescent="0.2">
      <c r="A458" s="29"/>
      <c r="B458" s="30" t="s">
        <v>814</v>
      </c>
      <c r="C458" s="30" t="s">
        <v>1959</v>
      </c>
      <c r="D458" s="34" t="s">
        <v>1153</v>
      </c>
      <c r="E458" s="31">
        <v>470.19014999999996</v>
      </c>
      <c r="F458" s="31">
        <v>55</v>
      </c>
      <c r="G458" s="32">
        <f t="shared" ref="G458:G466" si="71">F458*E458</f>
        <v>25860.458249999996</v>
      </c>
      <c r="H458" s="33">
        <f t="shared" si="65"/>
        <v>1.3408779220937245E-4</v>
      </c>
      <c r="K458" t="str">
        <f xml:space="preserve"> B457 &amp; B458</f>
        <v>Z000078003Z010201001</v>
      </c>
    </row>
    <row r="459" spans="1:11" outlineLevel="1" x14ac:dyDescent="0.2">
      <c r="A459" s="29"/>
      <c r="B459" s="30" t="s">
        <v>818</v>
      </c>
      <c r="C459" s="30" t="s">
        <v>2424</v>
      </c>
      <c r="D459" s="34" t="s">
        <v>1153</v>
      </c>
      <c r="E459" s="31">
        <v>52.243350000000007</v>
      </c>
      <c r="F459" s="31">
        <v>100</v>
      </c>
      <c r="G459" s="32">
        <f t="shared" si="71"/>
        <v>5224.3350000000009</v>
      </c>
      <c r="H459" s="33">
        <f t="shared" si="65"/>
        <v>2.7088442870580302E-5</v>
      </c>
      <c r="K459" t="str">
        <f xml:space="preserve"> B457 &amp; B459</f>
        <v>Z000078003Z010201002</v>
      </c>
    </row>
    <row r="460" spans="1:11" outlineLevel="1" x14ac:dyDescent="0.2">
      <c r="A460" s="29"/>
      <c r="B460" s="30" t="s">
        <v>683</v>
      </c>
      <c r="C460" s="30" t="s">
        <v>410</v>
      </c>
      <c r="D460" s="34" t="s">
        <v>1153</v>
      </c>
      <c r="E460" s="31">
        <v>522.43349999999998</v>
      </c>
      <c r="F460" s="31">
        <v>511</v>
      </c>
      <c r="G460" s="32">
        <f t="shared" si="71"/>
        <v>266963.51850000001</v>
      </c>
      <c r="H460" s="33">
        <f t="shared" si="65"/>
        <v>1.3842194306866531E-3</v>
      </c>
      <c r="K460" t="str">
        <f xml:space="preserve"> B457 &amp; B460</f>
        <v>Z000078003Z010202003</v>
      </c>
    </row>
    <row r="461" spans="1:11" outlineLevel="1" x14ac:dyDescent="0.2">
      <c r="A461" s="29"/>
      <c r="B461" s="30" t="s">
        <v>1009</v>
      </c>
      <c r="C461" s="30" t="s">
        <v>672</v>
      </c>
      <c r="D461" s="34" t="s">
        <v>151</v>
      </c>
      <c r="E461" s="31">
        <v>0</v>
      </c>
      <c r="F461" s="31">
        <v>16.489999999999998</v>
      </c>
      <c r="G461" s="32">
        <f t="shared" si="71"/>
        <v>0</v>
      </c>
      <c r="H461" s="33">
        <f t="shared" si="65"/>
        <v>0</v>
      </c>
      <c r="K461" t="str">
        <f xml:space="preserve"> B457 &amp; B461</f>
        <v>Z000078003Z040201013</v>
      </c>
    </row>
    <row r="462" spans="1:11" outlineLevel="1" x14ac:dyDescent="0.2">
      <c r="A462" s="29"/>
      <c r="B462" s="30" t="s">
        <v>801</v>
      </c>
      <c r="C462" s="30" t="s">
        <v>402</v>
      </c>
      <c r="D462" s="34" t="s">
        <v>151</v>
      </c>
      <c r="E462" s="31">
        <v>0</v>
      </c>
      <c r="F462" s="31">
        <v>10.3</v>
      </c>
      <c r="G462" s="32">
        <f t="shared" si="71"/>
        <v>0</v>
      </c>
      <c r="H462" s="33">
        <f t="shared" si="65"/>
        <v>0</v>
      </c>
      <c r="K462" t="str">
        <f xml:space="preserve"> B457 &amp; B462</f>
        <v>Z000078003Z040202006</v>
      </c>
    </row>
    <row r="463" spans="1:11" outlineLevel="1" x14ac:dyDescent="0.2">
      <c r="A463" s="29"/>
      <c r="B463" s="30" t="s">
        <v>1575</v>
      </c>
      <c r="C463" s="30" t="s">
        <v>2428</v>
      </c>
      <c r="D463" s="34" t="s">
        <v>1153</v>
      </c>
      <c r="E463" s="31">
        <v>454.29</v>
      </c>
      <c r="F463" s="31">
        <v>96.42</v>
      </c>
      <c r="G463" s="32">
        <f t="shared" si="71"/>
        <v>43802.641800000005</v>
      </c>
      <c r="H463" s="33">
        <f t="shared" si="65"/>
        <v>2.2711892709403067E-4</v>
      </c>
      <c r="K463" t="str">
        <f xml:space="preserve"> B457 &amp; B463</f>
        <v>Z000078003Z040303017</v>
      </c>
    </row>
    <row r="464" spans="1:11" outlineLevel="1" x14ac:dyDescent="0.2">
      <c r="A464" s="29"/>
      <c r="B464" s="30" t="s">
        <v>498</v>
      </c>
      <c r="C464" s="30" t="s">
        <v>773</v>
      </c>
      <c r="D464" s="34" t="s">
        <v>84</v>
      </c>
      <c r="E464" s="31">
        <v>545.14800000000002</v>
      </c>
      <c r="F464" s="31">
        <v>0</v>
      </c>
      <c r="G464" s="32">
        <f t="shared" si="71"/>
        <v>0</v>
      </c>
      <c r="H464" s="33">
        <f t="shared" si="65"/>
        <v>0</v>
      </c>
      <c r="K464" t="str">
        <f xml:space="preserve"> B457 &amp; B464</f>
        <v>Z000078003Z040401001</v>
      </c>
    </row>
    <row r="465" spans="1:11" outlineLevel="1" x14ac:dyDescent="0.2">
      <c r="A465" s="29"/>
      <c r="B465" s="30" t="s">
        <v>1968</v>
      </c>
      <c r="C465" s="30" t="s">
        <v>2500</v>
      </c>
      <c r="D465" s="34" t="s">
        <v>764</v>
      </c>
      <c r="E465" s="31">
        <v>0</v>
      </c>
      <c r="F465" s="31">
        <v>1.39</v>
      </c>
      <c r="G465" s="32">
        <f t="shared" si="71"/>
        <v>0</v>
      </c>
      <c r="H465" s="33">
        <f t="shared" si="65"/>
        <v>0</v>
      </c>
      <c r="K465" t="str">
        <f xml:space="preserve"> B457 &amp; B465</f>
        <v>Z000078003Z050103005</v>
      </c>
    </row>
    <row r="466" spans="1:11" outlineLevel="1" x14ac:dyDescent="0.2">
      <c r="A466" s="29"/>
      <c r="B466" s="30" t="s">
        <v>1969</v>
      </c>
      <c r="C466" s="30" t="s">
        <v>2502</v>
      </c>
      <c r="D466" s="34" t="s">
        <v>742</v>
      </c>
      <c r="E466" s="31">
        <v>0</v>
      </c>
      <c r="F466" s="31">
        <v>0.53</v>
      </c>
      <c r="G466" s="32">
        <f t="shared" si="71"/>
        <v>0</v>
      </c>
      <c r="H466" s="33">
        <f t="shared" si="65"/>
        <v>0</v>
      </c>
      <c r="K466" t="str">
        <f xml:space="preserve"> B457 &amp; B466</f>
        <v>Z000078003Z050103006</v>
      </c>
    </row>
    <row r="467" spans="1:11" outlineLevel="1" x14ac:dyDescent="0.2">
      <c r="A467" s="11" t="s">
        <v>9</v>
      </c>
      <c r="B467" s="11" t="s">
        <v>1311</v>
      </c>
      <c r="C467" s="11" t="s">
        <v>2524</v>
      </c>
      <c r="D467" s="12" t="s">
        <v>1152</v>
      </c>
      <c r="E467" s="13">
        <v>452.1</v>
      </c>
      <c r="F467" s="14">
        <v>13.220639139999999</v>
      </c>
      <c r="G467" s="15">
        <f>SUM(G468:G477)</f>
        <v>5977.0509551940004</v>
      </c>
      <c r="H467" s="16">
        <f t="shared" si="65"/>
        <v>3.0991313408179239E-5</v>
      </c>
    </row>
    <row r="468" spans="1:11" outlineLevel="1" x14ac:dyDescent="0.2">
      <c r="A468" s="29"/>
      <c r="B468" s="30" t="s">
        <v>1654</v>
      </c>
      <c r="C468" s="30" t="s">
        <v>1551</v>
      </c>
      <c r="D468" s="34" t="s">
        <v>1052</v>
      </c>
      <c r="E468" s="31">
        <v>3271.4408100000005</v>
      </c>
      <c r="F468" s="31">
        <v>0.7974</v>
      </c>
      <c r="G468" s="32">
        <f t="shared" ref="G468:G477" si="72">F468*E468</f>
        <v>2608.6469018940006</v>
      </c>
      <c r="H468" s="33">
        <f t="shared" si="65"/>
        <v>1.3525966954927646E-5</v>
      </c>
      <c r="K468" t="str">
        <f xml:space="preserve"> B467 &amp; B468</f>
        <v>Z000078013Z010301001</v>
      </c>
    </row>
    <row r="469" spans="1:11" outlineLevel="1" x14ac:dyDescent="0.2">
      <c r="A469" s="29"/>
      <c r="B469" s="30" t="s">
        <v>1379</v>
      </c>
      <c r="C469" s="30" t="s">
        <v>1626</v>
      </c>
      <c r="D469" s="34" t="s">
        <v>1153</v>
      </c>
      <c r="E469" s="31">
        <v>8.906369999999999</v>
      </c>
      <c r="F469" s="31">
        <v>116.09</v>
      </c>
      <c r="G469" s="32">
        <f t="shared" si="72"/>
        <v>1033.9404932999998</v>
      </c>
      <c r="H469" s="33">
        <f t="shared" si="65"/>
        <v>5.3610340807656203E-6</v>
      </c>
      <c r="K469" t="str">
        <f xml:space="preserve"> B467 &amp; B469</f>
        <v>Z000078013Z010303003</v>
      </c>
    </row>
    <row r="470" spans="1:11" outlineLevel="1" x14ac:dyDescent="0.2">
      <c r="A470" s="29"/>
      <c r="B470" s="30" t="s">
        <v>1258</v>
      </c>
      <c r="C470" s="30" t="s">
        <v>1526</v>
      </c>
      <c r="D470" s="34" t="s">
        <v>1153</v>
      </c>
      <c r="E470" s="31">
        <v>12.749220000000001</v>
      </c>
      <c r="F470" s="31">
        <v>148</v>
      </c>
      <c r="G470" s="32">
        <f t="shared" si="72"/>
        <v>1886.8845600000002</v>
      </c>
      <c r="H470" s="33">
        <f t="shared" si="65"/>
        <v>9.7835924776914274E-6</v>
      </c>
      <c r="K470" t="str">
        <f xml:space="preserve"> B467 &amp; B470</f>
        <v>Z000078013Z010304001</v>
      </c>
    </row>
    <row r="471" spans="1:11" outlineLevel="1" x14ac:dyDescent="0.2">
      <c r="A471" s="29"/>
      <c r="B471" s="30" t="s">
        <v>1009</v>
      </c>
      <c r="C471" s="30" t="s">
        <v>672</v>
      </c>
      <c r="D471" s="34" t="s">
        <v>151</v>
      </c>
      <c r="E471" s="31">
        <v>0</v>
      </c>
      <c r="F471" s="31">
        <v>16.489999999999998</v>
      </c>
      <c r="G471" s="32">
        <f t="shared" si="72"/>
        <v>0</v>
      </c>
      <c r="H471" s="33">
        <f t="shared" si="65"/>
        <v>0</v>
      </c>
      <c r="K471" t="str">
        <f xml:space="preserve"> B467 &amp; B471</f>
        <v>Z000078013Z040201013</v>
      </c>
    </row>
    <row r="472" spans="1:11" outlineLevel="1" x14ac:dyDescent="0.2">
      <c r="A472" s="29"/>
      <c r="B472" s="30" t="s">
        <v>801</v>
      </c>
      <c r="C472" s="30" t="s">
        <v>402</v>
      </c>
      <c r="D472" s="34" t="s">
        <v>151</v>
      </c>
      <c r="E472" s="31">
        <v>0</v>
      </c>
      <c r="F472" s="31">
        <v>10.3</v>
      </c>
      <c r="G472" s="32">
        <f t="shared" si="72"/>
        <v>0</v>
      </c>
      <c r="H472" s="33">
        <f t="shared" si="65"/>
        <v>0</v>
      </c>
      <c r="K472" t="str">
        <f xml:space="preserve"> B467 &amp; B472</f>
        <v>Z000078013Z040202006</v>
      </c>
    </row>
    <row r="473" spans="1:11" outlineLevel="1" x14ac:dyDescent="0.2">
      <c r="A473" s="29"/>
      <c r="B473" s="30" t="s">
        <v>547</v>
      </c>
      <c r="C473" s="30" t="s">
        <v>2320</v>
      </c>
      <c r="D473" s="34" t="s">
        <v>151</v>
      </c>
      <c r="E473" s="31">
        <v>0</v>
      </c>
      <c r="F473" s="31">
        <v>13.51</v>
      </c>
      <c r="G473" s="32">
        <f t="shared" si="72"/>
        <v>0</v>
      </c>
      <c r="H473" s="33">
        <f t="shared" si="65"/>
        <v>0</v>
      </c>
      <c r="K473" t="str">
        <f xml:space="preserve"> B467 &amp; B473</f>
        <v>Z000078013Z040204001</v>
      </c>
    </row>
    <row r="474" spans="1:11" outlineLevel="1" x14ac:dyDescent="0.2">
      <c r="A474" s="29"/>
      <c r="B474" s="30" t="s">
        <v>1636</v>
      </c>
      <c r="C474" s="30" t="s">
        <v>2530</v>
      </c>
      <c r="D474" s="34" t="s">
        <v>1153</v>
      </c>
      <c r="E474" s="31">
        <v>13.563000000000001</v>
      </c>
      <c r="F474" s="31">
        <v>33</v>
      </c>
      <c r="G474" s="32">
        <f t="shared" si="72"/>
        <v>447.57900000000001</v>
      </c>
      <c r="H474" s="33">
        <f t="shared" si="65"/>
        <v>2.3207198947945449E-6</v>
      </c>
      <c r="K474" t="str">
        <f xml:space="preserve"> B467 &amp; B474</f>
        <v>Z000078013Z040303020</v>
      </c>
    </row>
    <row r="475" spans="1:11" outlineLevel="1" x14ac:dyDescent="0.2">
      <c r="A475" s="29"/>
      <c r="B475" s="30" t="s">
        <v>498</v>
      </c>
      <c r="C475" s="30" t="s">
        <v>773</v>
      </c>
      <c r="D475" s="34" t="s">
        <v>84</v>
      </c>
      <c r="E475" s="31">
        <v>542.52</v>
      </c>
      <c r="F475" s="31">
        <v>0</v>
      </c>
      <c r="G475" s="32">
        <f t="shared" si="72"/>
        <v>0</v>
      </c>
      <c r="H475" s="33">
        <f t="shared" si="65"/>
        <v>0</v>
      </c>
      <c r="K475" t="str">
        <f xml:space="preserve"> B467 &amp; B475</f>
        <v>Z000078013Z040401001</v>
      </c>
    </row>
    <row r="476" spans="1:11" outlineLevel="1" x14ac:dyDescent="0.2">
      <c r="A476" s="29"/>
      <c r="B476" s="30" t="s">
        <v>66</v>
      </c>
      <c r="C476" s="30" t="s">
        <v>617</v>
      </c>
      <c r="D476" s="34" t="s">
        <v>764</v>
      </c>
      <c r="E476" s="31">
        <v>0</v>
      </c>
      <c r="F476" s="31">
        <v>5.45</v>
      </c>
      <c r="G476" s="32">
        <f t="shared" si="72"/>
        <v>0</v>
      </c>
      <c r="H476" s="33">
        <f t="shared" si="65"/>
        <v>0</v>
      </c>
      <c r="K476" t="str">
        <f xml:space="preserve"> B467 &amp; B476</f>
        <v>Z000078013Z050103019</v>
      </c>
    </row>
    <row r="477" spans="1:11" outlineLevel="1" x14ac:dyDescent="0.2">
      <c r="A477" s="29"/>
      <c r="B477" s="30" t="s">
        <v>120</v>
      </c>
      <c r="C477" s="30" t="s">
        <v>597</v>
      </c>
      <c r="D477" s="34" t="s">
        <v>742</v>
      </c>
      <c r="E477" s="31">
        <v>0</v>
      </c>
      <c r="F477" s="31">
        <v>1.52</v>
      </c>
      <c r="G477" s="32">
        <f t="shared" si="72"/>
        <v>0</v>
      </c>
      <c r="H477" s="33">
        <f t="shared" si="65"/>
        <v>0</v>
      </c>
      <c r="K477" t="str">
        <f xml:space="preserve"> B467 &amp; B477</f>
        <v>Z000078013Z050103020</v>
      </c>
    </row>
    <row r="478" spans="1:11" ht="15" x14ac:dyDescent="0.2">
      <c r="A478" s="17" t="s">
        <v>2011</v>
      </c>
      <c r="B478" s="17" t="s">
        <v>328</v>
      </c>
      <c r="C478" s="17" t="s">
        <v>1116</v>
      </c>
      <c r="D478" s="18"/>
      <c r="E478" s="19"/>
      <c r="F478" s="20"/>
      <c r="G478" s="21">
        <f>SUM(G479,G485,G491,G497)</f>
        <v>38400</v>
      </c>
      <c r="H478" s="22">
        <f t="shared" si="65"/>
        <v>1.9910595439042163E-4</v>
      </c>
    </row>
    <row r="479" spans="1:11" outlineLevel="1" x14ac:dyDescent="0.2">
      <c r="A479" s="11" t="s">
        <v>1872</v>
      </c>
      <c r="B479" s="11" t="s">
        <v>1915</v>
      </c>
      <c r="C479" s="11" t="s">
        <v>2439</v>
      </c>
      <c r="D479" s="12" t="s">
        <v>1781</v>
      </c>
      <c r="E479" s="13">
        <v>376</v>
      </c>
      <c r="F479" s="14">
        <v>60</v>
      </c>
      <c r="G479" s="15">
        <f>SUM(G480:G484)</f>
        <v>22560</v>
      </c>
      <c r="H479" s="16">
        <f t="shared" ref="H479:H542" si="73">G479/$F$2</f>
        <v>1.1697474820437271E-4</v>
      </c>
    </row>
    <row r="480" spans="1:11" outlineLevel="1" x14ac:dyDescent="0.2">
      <c r="A480" s="29"/>
      <c r="B480" s="30" t="s">
        <v>801</v>
      </c>
      <c r="C480" s="30" t="s">
        <v>402</v>
      </c>
      <c r="D480" s="34" t="s">
        <v>151</v>
      </c>
      <c r="E480" s="31">
        <v>0</v>
      </c>
      <c r="F480" s="31">
        <v>10.3</v>
      </c>
      <c r="G480" s="32">
        <f t="shared" ref="G480:G484" si="74">F480*E480</f>
        <v>0</v>
      </c>
      <c r="H480" s="33">
        <f t="shared" si="73"/>
        <v>0</v>
      </c>
      <c r="K480" t="str">
        <f xml:space="preserve"> B479 &amp; B480</f>
        <v>Z000073001Z040202006</v>
      </c>
    </row>
    <row r="481" spans="1:11" outlineLevel="1" x14ac:dyDescent="0.2">
      <c r="A481" s="29"/>
      <c r="B481" s="30" t="s">
        <v>1560</v>
      </c>
      <c r="C481" s="30" t="s">
        <v>2440</v>
      </c>
      <c r="D481" s="34" t="s">
        <v>1781</v>
      </c>
      <c r="E481" s="31">
        <v>376</v>
      </c>
      <c r="F481" s="31">
        <v>60</v>
      </c>
      <c r="G481" s="32">
        <f t="shared" si="74"/>
        <v>22560</v>
      </c>
      <c r="H481" s="33">
        <f t="shared" si="73"/>
        <v>1.1697474820437271E-4</v>
      </c>
      <c r="K481" t="str">
        <f xml:space="preserve"> B479 &amp; B481</f>
        <v>Z000073001Z040303015</v>
      </c>
    </row>
    <row r="482" spans="1:11" outlineLevel="1" x14ac:dyDescent="0.2">
      <c r="A482" s="29"/>
      <c r="B482" s="30" t="s">
        <v>498</v>
      </c>
      <c r="C482" s="30" t="s">
        <v>773</v>
      </c>
      <c r="D482" s="34" t="s">
        <v>84</v>
      </c>
      <c r="E482" s="31">
        <v>451.2</v>
      </c>
      <c r="F482" s="31">
        <v>0</v>
      </c>
      <c r="G482" s="32">
        <f t="shared" si="74"/>
        <v>0</v>
      </c>
      <c r="H482" s="33">
        <f t="shared" si="73"/>
        <v>0</v>
      </c>
      <c r="K482" t="str">
        <f xml:space="preserve"> B479 &amp; B482</f>
        <v>Z000073001Z040401001</v>
      </c>
    </row>
    <row r="483" spans="1:11" outlineLevel="1" x14ac:dyDescent="0.2">
      <c r="A483" s="29"/>
      <c r="B483" s="30" t="s">
        <v>54</v>
      </c>
      <c r="C483" s="30" t="s">
        <v>682</v>
      </c>
      <c r="D483" s="34" t="s">
        <v>764</v>
      </c>
      <c r="E483" s="31">
        <v>0</v>
      </c>
      <c r="F483" s="31">
        <v>31.84</v>
      </c>
      <c r="G483" s="32">
        <f t="shared" si="74"/>
        <v>0</v>
      </c>
      <c r="H483" s="33">
        <f t="shared" si="73"/>
        <v>0</v>
      </c>
      <c r="K483" t="str">
        <f xml:space="preserve"> B479 &amp; B483</f>
        <v>Z000073001Z050103013</v>
      </c>
    </row>
    <row r="484" spans="1:11" outlineLevel="1" x14ac:dyDescent="0.2">
      <c r="A484" s="29"/>
      <c r="B484" s="30" t="s">
        <v>56</v>
      </c>
      <c r="C484" s="30" t="s">
        <v>674</v>
      </c>
      <c r="D484" s="34" t="s">
        <v>742</v>
      </c>
      <c r="E484" s="31">
        <v>0</v>
      </c>
      <c r="F484" s="31">
        <v>29.63</v>
      </c>
      <c r="G484" s="32">
        <f t="shared" si="74"/>
        <v>0</v>
      </c>
      <c r="H484" s="33">
        <f t="shared" si="73"/>
        <v>0</v>
      </c>
      <c r="K484" t="str">
        <f xml:space="preserve"> B479 &amp; B484</f>
        <v>Z000073001Z050103014</v>
      </c>
    </row>
    <row r="485" spans="1:11" outlineLevel="1" x14ac:dyDescent="0.2">
      <c r="A485" s="11" t="s">
        <v>1875</v>
      </c>
      <c r="B485" s="11" t="s">
        <v>1918</v>
      </c>
      <c r="C485" s="11" t="s">
        <v>2446</v>
      </c>
      <c r="D485" s="12" t="s">
        <v>1781</v>
      </c>
      <c r="E485" s="13">
        <v>154</v>
      </c>
      <c r="F485" s="14">
        <v>60</v>
      </c>
      <c r="G485" s="15">
        <f>SUM(G486:G490)</f>
        <v>9240</v>
      </c>
      <c r="H485" s="16">
        <f t="shared" si="73"/>
        <v>4.7909870275195209E-5</v>
      </c>
    </row>
    <row r="486" spans="1:11" outlineLevel="1" x14ac:dyDescent="0.2">
      <c r="A486" s="29"/>
      <c r="B486" s="30" t="s">
        <v>801</v>
      </c>
      <c r="C486" s="30" t="s">
        <v>402</v>
      </c>
      <c r="D486" s="34" t="s">
        <v>151</v>
      </c>
      <c r="E486" s="31">
        <v>0</v>
      </c>
      <c r="F486" s="31">
        <v>10.3</v>
      </c>
      <c r="G486" s="32">
        <f t="shared" ref="G486:G490" si="75">F486*E486</f>
        <v>0</v>
      </c>
      <c r="H486" s="33">
        <f t="shared" si="73"/>
        <v>0</v>
      </c>
      <c r="K486" t="str">
        <f xml:space="preserve"> B485 &amp; B486</f>
        <v>Z000073002Z040202006</v>
      </c>
    </row>
    <row r="487" spans="1:11" outlineLevel="1" x14ac:dyDescent="0.2">
      <c r="A487" s="29"/>
      <c r="B487" s="30" t="s">
        <v>1560</v>
      </c>
      <c r="C487" s="30" t="s">
        <v>2440</v>
      </c>
      <c r="D487" s="34" t="s">
        <v>1781</v>
      </c>
      <c r="E487" s="31">
        <v>154</v>
      </c>
      <c r="F487" s="31">
        <v>60</v>
      </c>
      <c r="G487" s="32">
        <f t="shared" si="75"/>
        <v>9240</v>
      </c>
      <c r="H487" s="33">
        <f t="shared" si="73"/>
        <v>4.7909870275195209E-5</v>
      </c>
      <c r="K487" t="str">
        <f xml:space="preserve"> B485 &amp; B487</f>
        <v>Z000073002Z040303015</v>
      </c>
    </row>
    <row r="488" spans="1:11" outlineLevel="1" x14ac:dyDescent="0.2">
      <c r="A488" s="29"/>
      <c r="B488" s="30" t="s">
        <v>498</v>
      </c>
      <c r="C488" s="30" t="s">
        <v>773</v>
      </c>
      <c r="D488" s="34" t="s">
        <v>84</v>
      </c>
      <c r="E488" s="31">
        <v>184.79999999999998</v>
      </c>
      <c r="F488" s="31">
        <v>0</v>
      </c>
      <c r="G488" s="32">
        <f t="shared" si="75"/>
        <v>0</v>
      </c>
      <c r="H488" s="33">
        <f t="shared" si="73"/>
        <v>0</v>
      </c>
      <c r="K488" t="str">
        <f xml:space="preserve"> B485 &amp; B488</f>
        <v>Z000073002Z040401001</v>
      </c>
    </row>
    <row r="489" spans="1:11" outlineLevel="1" x14ac:dyDescent="0.2">
      <c r="A489" s="29"/>
      <c r="B489" s="30" t="s">
        <v>54</v>
      </c>
      <c r="C489" s="30" t="s">
        <v>682</v>
      </c>
      <c r="D489" s="34" t="s">
        <v>764</v>
      </c>
      <c r="E489" s="31">
        <v>0</v>
      </c>
      <c r="F489" s="31">
        <v>31.84</v>
      </c>
      <c r="G489" s="32">
        <f t="shared" si="75"/>
        <v>0</v>
      </c>
      <c r="H489" s="33">
        <f t="shared" si="73"/>
        <v>0</v>
      </c>
      <c r="K489" t="str">
        <f xml:space="preserve"> B485 &amp; B489</f>
        <v>Z000073002Z050103013</v>
      </c>
    </row>
    <row r="490" spans="1:11" outlineLevel="1" x14ac:dyDescent="0.2">
      <c r="A490" s="29"/>
      <c r="B490" s="30" t="s">
        <v>56</v>
      </c>
      <c r="C490" s="30" t="s">
        <v>674</v>
      </c>
      <c r="D490" s="34" t="s">
        <v>742</v>
      </c>
      <c r="E490" s="31">
        <v>0</v>
      </c>
      <c r="F490" s="31">
        <v>29.63</v>
      </c>
      <c r="G490" s="32">
        <f t="shared" si="75"/>
        <v>0</v>
      </c>
      <c r="H490" s="33">
        <f t="shared" si="73"/>
        <v>0</v>
      </c>
      <c r="K490" t="str">
        <f xml:space="preserve"> B485 &amp; B490</f>
        <v>Z000073002Z050103014</v>
      </c>
    </row>
    <row r="491" spans="1:11" outlineLevel="1" x14ac:dyDescent="0.2">
      <c r="A491" s="11" t="s">
        <v>1879</v>
      </c>
      <c r="B491" s="11" t="s">
        <v>1919</v>
      </c>
      <c r="C491" s="11" t="s">
        <v>2452</v>
      </c>
      <c r="D491" s="12" t="s">
        <v>1781</v>
      </c>
      <c r="E491" s="13">
        <v>66</v>
      </c>
      <c r="F491" s="14">
        <v>60</v>
      </c>
      <c r="G491" s="15">
        <f>SUM(G492:G496)</f>
        <v>3960</v>
      </c>
      <c r="H491" s="16">
        <f t="shared" si="73"/>
        <v>2.0532801546512231E-5</v>
      </c>
    </row>
    <row r="492" spans="1:11" outlineLevel="1" x14ac:dyDescent="0.2">
      <c r="A492" s="29"/>
      <c r="B492" s="30" t="s">
        <v>801</v>
      </c>
      <c r="C492" s="30" t="s">
        <v>402</v>
      </c>
      <c r="D492" s="34" t="s">
        <v>151</v>
      </c>
      <c r="E492" s="31">
        <v>0</v>
      </c>
      <c r="F492" s="31">
        <v>10.3</v>
      </c>
      <c r="G492" s="32">
        <f t="shared" ref="G492:G496" si="76">F492*E492</f>
        <v>0</v>
      </c>
      <c r="H492" s="33">
        <f t="shared" si="73"/>
        <v>0</v>
      </c>
      <c r="K492" t="str">
        <f xml:space="preserve"> B491 &amp; B492</f>
        <v>Z000073003Z040202006</v>
      </c>
    </row>
    <row r="493" spans="1:11" outlineLevel="1" x14ac:dyDescent="0.2">
      <c r="A493" s="29"/>
      <c r="B493" s="30" t="s">
        <v>1560</v>
      </c>
      <c r="C493" s="30" t="s">
        <v>2440</v>
      </c>
      <c r="D493" s="34" t="s">
        <v>1781</v>
      </c>
      <c r="E493" s="31">
        <v>66</v>
      </c>
      <c r="F493" s="31">
        <v>60</v>
      </c>
      <c r="G493" s="32">
        <f t="shared" si="76"/>
        <v>3960</v>
      </c>
      <c r="H493" s="33">
        <f t="shared" si="73"/>
        <v>2.0532801546512231E-5</v>
      </c>
      <c r="K493" t="str">
        <f xml:space="preserve"> B491 &amp; B493</f>
        <v>Z000073003Z040303015</v>
      </c>
    </row>
    <row r="494" spans="1:11" outlineLevel="1" x14ac:dyDescent="0.2">
      <c r="A494" s="29"/>
      <c r="B494" s="30" t="s">
        <v>498</v>
      </c>
      <c r="C494" s="30" t="s">
        <v>773</v>
      </c>
      <c r="D494" s="34" t="s">
        <v>84</v>
      </c>
      <c r="E494" s="31">
        <v>79.2</v>
      </c>
      <c r="F494" s="31">
        <v>0</v>
      </c>
      <c r="G494" s="32">
        <f t="shared" si="76"/>
        <v>0</v>
      </c>
      <c r="H494" s="33">
        <f t="shared" si="73"/>
        <v>0</v>
      </c>
      <c r="K494" t="str">
        <f xml:space="preserve"> B491 &amp; B494</f>
        <v>Z000073003Z040401001</v>
      </c>
    </row>
    <row r="495" spans="1:11" outlineLevel="1" x14ac:dyDescent="0.2">
      <c r="A495" s="29"/>
      <c r="B495" s="30" t="s">
        <v>54</v>
      </c>
      <c r="C495" s="30" t="s">
        <v>682</v>
      </c>
      <c r="D495" s="34" t="s">
        <v>764</v>
      </c>
      <c r="E495" s="31">
        <v>0</v>
      </c>
      <c r="F495" s="31">
        <v>31.84</v>
      </c>
      <c r="G495" s="32">
        <f t="shared" si="76"/>
        <v>0</v>
      </c>
      <c r="H495" s="33">
        <f t="shared" si="73"/>
        <v>0</v>
      </c>
      <c r="K495" t="str">
        <f xml:space="preserve"> B491 &amp; B495</f>
        <v>Z000073003Z050103013</v>
      </c>
    </row>
    <row r="496" spans="1:11" outlineLevel="1" x14ac:dyDescent="0.2">
      <c r="A496" s="29"/>
      <c r="B496" s="30" t="s">
        <v>56</v>
      </c>
      <c r="C496" s="30" t="s">
        <v>674</v>
      </c>
      <c r="D496" s="34" t="s">
        <v>742</v>
      </c>
      <c r="E496" s="31">
        <v>0</v>
      </c>
      <c r="F496" s="31">
        <v>29.63</v>
      </c>
      <c r="G496" s="32">
        <f t="shared" si="76"/>
        <v>0</v>
      </c>
      <c r="H496" s="33">
        <f t="shared" si="73"/>
        <v>0</v>
      </c>
      <c r="K496" t="str">
        <f xml:space="preserve"> B491 &amp; B496</f>
        <v>Z000073003Z050103014</v>
      </c>
    </row>
    <row r="497" spans="1:11" outlineLevel="1" x14ac:dyDescent="0.2">
      <c r="A497" s="11" t="s">
        <v>1881</v>
      </c>
      <c r="B497" s="11" t="s">
        <v>1920</v>
      </c>
      <c r="C497" s="11" t="s">
        <v>2458</v>
      </c>
      <c r="D497" s="12" t="s">
        <v>1781</v>
      </c>
      <c r="E497" s="13">
        <v>44</v>
      </c>
      <c r="F497" s="14">
        <v>60</v>
      </c>
      <c r="G497" s="15">
        <f>SUM(G498:G502)</f>
        <v>2640</v>
      </c>
      <c r="H497" s="16">
        <f t="shared" si="73"/>
        <v>1.3688534364341487E-5</v>
      </c>
    </row>
    <row r="498" spans="1:11" outlineLevel="1" x14ac:dyDescent="0.2">
      <c r="A498" s="29"/>
      <c r="B498" s="30" t="s">
        <v>801</v>
      </c>
      <c r="C498" s="30" t="s">
        <v>402</v>
      </c>
      <c r="D498" s="34" t="s">
        <v>151</v>
      </c>
      <c r="E498" s="31">
        <v>0</v>
      </c>
      <c r="F498" s="31">
        <v>10.3</v>
      </c>
      <c r="G498" s="32">
        <f t="shared" ref="G498:G502" si="77">F498*E498</f>
        <v>0</v>
      </c>
      <c r="H498" s="33">
        <f t="shared" si="73"/>
        <v>0</v>
      </c>
      <c r="K498" t="str">
        <f xml:space="preserve"> B497 &amp; B498</f>
        <v>Z000073004Z040202006</v>
      </c>
    </row>
    <row r="499" spans="1:11" outlineLevel="1" x14ac:dyDescent="0.2">
      <c r="A499" s="29"/>
      <c r="B499" s="30" t="s">
        <v>1560</v>
      </c>
      <c r="C499" s="30" t="s">
        <v>2440</v>
      </c>
      <c r="D499" s="34" t="s">
        <v>1781</v>
      </c>
      <c r="E499" s="31">
        <v>44</v>
      </c>
      <c r="F499" s="31">
        <v>60</v>
      </c>
      <c r="G499" s="32">
        <f t="shared" si="77"/>
        <v>2640</v>
      </c>
      <c r="H499" s="33">
        <f t="shared" si="73"/>
        <v>1.3688534364341487E-5</v>
      </c>
      <c r="K499" t="str">
        <f xml:space="preserve"> B497 &amp; B499</f>
        <v>Z000073004Z040303015</v>
      </c>
    </row>
    <row r="500" spans="1:11" outlineLevel="1" x14ac:dyDescent="0.2">
      <c r="A500" s="29"/>
      <c r="B500" s="30" t="s">
        <v>498</v>
      </c>
      <c r="C500" s="30" t="s">
        <v>773</v>
      </c>
      <c r="D500" s="34" t="s">
        <v>84</v>
      </c>
      <c r="E500" s="31">
        <v>52.8</v>
      </c>
      <c r="F500" s="31">
        <v>0</v>
      </c>
      <c r="G500" s="32">
        <f t="shared" si="77"/>
        <v>0</v>
      </c>
      <c r="H500" s="33">
        <f t="shared" si="73"/>
        <v>0</v>
      </c>
      <c r="K500" t="str">
        <f xml:space="preserve"> B497 &amp; B500</f>
        <v>Z000073004Z040401001</v>
      </c>
    </row>
    <row r="501" spans="1:11" outlineLevel="1" x14ac:dyDescent="0.2">
      <c r="A501" s="29"/>
      <c r="B501" s="30" t="s">
        <v>54</v>
      </c>
      <c r="C501" s="30" t="s">
        <v>682</v>
      </c>
      <c r="D501" s="34" t="s">
        <v>764</v>
      </c>
      <c r="E501" s="31">
        <v>0</v>
      </c>
      <c r="F501" s="31">
        <v>31.84</v>
      </c>
      <c r="G501" s="32">
        <f t="shared" si="77"/>
        <v>0</v>
      </c>
      <c r="H501" s="33">
        <f t="shared" si="73"/>
        <v>0</v>
      </c>
      <c r="K501" t="str">
        <f xml:space="preserve"> B497 &amp; B501</f>
        <v>Z000073004Z050103013</v>
      </c>
    </row>
    <row r="502" spans="1:11" outlineLevel="1" x14ac:dyDescent="0.2">
      <c r="A502" s="29"/>
      <c r="B502" s="30" t="s">
        <v>56</v>
      </c>
      <c r="C502" s="30" t="s">
        <v>674</v>
      </c>
      <c r="D502" s="34" t="s">
        <v>742</v>
      </c>
      <c r="E502" s="31">
        <v>0</v>
      </c>
      <c r="F502" s="31">
        <v>29.63</v>
      </c>
      <c r="G502" s="32">
        <f t="shared" si="77"/>
        <v>0</v>
      </c>
      <c r="H502" s="33">
        <f t="shared" si="73"/>
        <v>0</v>
      </c>
      <c r="K502" t="str">
        <f xml:space="preserve"> B497 &amp; B502</f>
        <v>Z000073004Z050103014</v>
      </c>
    </row>
    <row r="503" spans="1:11" ht="18.75" x14ac:dyDescent="0.2">
      <c r="A503" s="5">
        <v>8</v>
      </c>
      <c r="B503" s="5" t="s">
        <v>328</v>
      </c>
      <c r="C503" s="5" t="s">
        <v>370</v>
      </c>
      <c r="D503" s="6"/>
      <c r="E503" s="7"/>
      <c r="F503" s="8"/>
      <c r="G503" s="9">
        <f>SUM(G504,G528,G583,G615,G645,G652,G736,G797,G850,G853,G854,G855,G858,G859,G860,G861)</f>
        <v>38986850.65203879</v>
      </c>
      <c r="H503" s="10">
        <f t="shared" si="73"/>
        <v>0.20214880488934936</v>
      </c>
    </row>
    <row r="504" spans="1:11" ht="15" x14ac:dyDescent="0.2">
      <c r="A504" s="17" t="s">
        <v>2012</v>
      </c>
      <c r="B504" s="17" t="s">
        <v>328</v>
      </c>
      <c r="C504" s="17" t="s">
        <v>1211</v>
      </c>
      <c r="D504" s="18"/>
      <c r="E504" s="19"/>
      <c r="F504" s="20"/>
      <c r="G504" s="21">
        <f>SUM(G505,G512,G519)</f>
        <v>277354.51221000002</v>
      </c>
      <c r="H504" s="22">
        <f t="shared" si="73"/>
        <v>1.4380972619286955E-3</v>
      </c>
    </row>
    <row r="505" spans="1:11" outlineLevel="1" x14ac:dyDescent="0.2">
      <c r="A505" s="11" t="s">
        <v>313</v>
      </c>
      <c r="B505" s="11" t="s">
        <v>10</v>
      </c>
      <c r="C505" s="11" t="s">
        <v>2536</v>
      </c>
      <c r="D505" s="12" t="s">
        <v>1153</v>
      </c>
      <c r="E505" s="13">
        <v>1917.5309999999999</v>
      </c>
      <c r="F505" s="14">
        <v>45.51</v>
      </c>
      <c r="G505" s="15">
        <f>SUM(G506:G511)</f>
        <v>87266.83580999999</v>
      </c>
      <c r="H505" s="16">
        <f t="shared" si="73"/>
        <v>4.5248298517141334E-4</v>
      </c>
    </row>
    <row r="506" spans="1:11" outlineLevel="1" x14ac:dyDescent="0.2">
      <c r="A506" s="29"/>
      <c r="B506" s="30" t="s">
        <v>1009</v>
      </c>
      <c r="C506" s="30" t="s">
        <v>672</v>
      </c>
      <c r="D506" s="34" t="s">
        <v>151</v>
      </c>
      <c r="E506" s="31">
        <v>0</v>
      </c>
      <c r="F506" s="31">
        <v>16.489999999999998</v>
      </c>
      <c r="G506" s="32">
        <f t="shared" ref="G506:G511" si="78">F506*E506</f>
        <v>0</v>
      </c>
      <c r="H506" s="33">
        <f t="shared" si="73"/>
        <v>0</v>
      </c>
      <c r="K506" t="str">
        <f xml:space="preserve"> B505 &amp; B506</f>
        <v>Z000081001Z040201013</v>
      </c>
    </row>
    <row r="507" spans="1:11" outlineLevel="1" x14ac:dyDescent="0.2">
      <c r="A507" s="29"/>
      <c r="B507" s="30" t="s">
        <v>801</v>
      </c>
      <c r="C507" s="30" t="s">
        <v>402</v>
      </c>
      <c r="D507" s="34" t="s">
        <v>151</v>
      </c>
      <c r="E507" s="31">
        <v>0</v>
      </c>
      <c r="F507" s="31">
        <v>10.3</v>
      </c>
      <c r="G507" s="32">
        <f t="shared" si="78"/>
        <v>0</v>
      </c>
      <c r="H507" s="33">
        <f t="shared" si="73"/>
        <v>0</v>
      </c>
      <c r="K507" t="str">
        <f xml:space="preserve"> B505 &amp; B507</f>
        <v>Z000081001Z040202006</v>
      </c>
    </row>
    <row r="508" spans="1:11" outlineLevel="1" x14ac:dyDescent="0.2">
      <c r="A508" s="29"/>
      <c r="B508" s="30" t="s">
        <v>1580</v>
      </c>
      <c r="C508" s="30" t="s">
        <v>2477</v>
      </c>
      <c r="D508" s="34" t="s">
        <v>1153</v>
      </c>
      <c r="E508" s="31">
        <v>1917.5309999999999</v>
      </c>
      <c r="F508" s="31">
        <v>45.51</v>
      </c>
      <c r="G508" s="32">
        <f t="shared" si="78"/>
        <v>87266.83580999999</v>
      </c>
      <c r="H508" s="33">
        <f t="shared" si="73"/>
        <v>4.5248298517141334E-4</v>
      </c>
      <c r="K508" t="str">
        <f xml:space="preserve"> B505 &amp; B508</f>
        <v>Z000081001Z040303018</v>
      </c>
    </row>
    <row r="509" spans="1:11" outlineLevel="1" x14ac:dyDescent="0.2">
      <c r="A509" s="29"/>
      <c r="B509" s="30" t="s">
        <v>498</v>
      </c>
      <c r="C509" s="30" t="s">
        <v>773</v>
      </c>
      <c r="D509" s="34" t="s">
        <v>84</v>
      </c>
      <c r="E509" s="31">
        <v>2301.0371999999998</v>
      </c>
      <c r="F509" s="31">
        <v>0</v>
      </c>
      <c r="G509" s="32">
        <f t="shared" si="78"/>
        <v>0</v>
      </c>
      <c r="H509" s="33">
        <f t="shared" si="73"/>
        <v>0</v>
      </c>
      <c r="K509" t="str">
        <f xml:space="preserve"> B505 &amp; B509</f>
        <v>Z000081001Z040401001</v>
      </c>
    </row>
    <row r="510" spans="1:11" outlineLevel="1" x14ac:dyDescent="0.2">
      <c r="A510" s="29"/>
      <c r="B510" s="30" t="s">
        <v>238</v>
      </c>
      <c r="C510" s="30" t="s">
        <v>2376</v>
      </c>
      <c r="D510" s="34" t="s">
        <v>764</v>
      </c>
      <c r="E510" s="31">
        <v>0</v>
      </c>
      <c r="F510" s="31">
        <v>138.31</v>
      </c>
      <c r="G510" s="32">
        <f t="shared" si="78"/>
        <v>0</v>
      </c>
      <c r="H510" s="33">
        <f t="shared" si="73"/>
        <v>0</v>
      </c>
      <c r="K510" t="str">
        <f xml:space="preserve"> B505 &amp; B510</f>
        <v>Z000081001Z050101005</v>
      </c>
    </row>
    <row r="511" spans="1:11" outlineLevel="1" x14ac:dyDescent="0.2">
      <c r="A511" s="29"/>
      <c r="B511" s="30" t="s">
        <v>239</v>
      </c>
      <c r="C511" s="30" t="s">
        <v>2378</v>
      </c>
      <c r="D511" s="34" t="s">
        <v>742</v>
      </c>
      <c r="E511" s="31">
        <v>0</v>
      </c>
      <c r="F511" s="31">
        <v>65.73</v>
      </c>
      <c r="G511" s="32">
        <f t="shared" si="78"/>
        <v>0</v>
      </c>
      <c r="H511" s="33">
        <f t="shared" si="73"/>
        <v>0</v>
      </c>
      <c r="K511" t="str">
        <f xml:space="preserve"> B505 &amp; B511</f>
        <v>Z000081001Z050101006</v>
      </c>
    </row>
    <row r="512" spans="1:11" outlineLevel="1" x14ac:dyDescent="0.2">
      <c r="A512" s="11" t="s">
        <v>314</v>
      </c>
      <c r="B512" s="11" t="s">
        <v>13</v>
      </c>
      <c r="C512" s="11" t="s">
        <v>2543</v>
      </c>
      <c r="D512" s="12" t="s">
        <v>1153</v>
      </c>
      <c r="E512" s="13">
        <v>1065.6400000000001</v>
      </c>
      <c r="F512" s="14">
        <v>45.51</v>
      </c>
      <c r="G512" s="15">
        <f>SUM(G513:G518)</f>
        <v>48497.276400000002</v>
      </c>
      <c r="H512" s="16">
        <f t="shared" si="73"/>
        <v>2.5146084643119977E-4</v>
      </c>
    </row>
    <row r="513" spans="1:11" outlineLevel="1" x14ac:dyDescent="0.2">
      <c r="A513" s="29"/>
      <c r="B513" s="30" t="s">
        <v>1009</v>
      </c>
      <c r="C513" s="30" t="s">
        <v>672</v>
      </c>
      <c r="D513" s="34" t="s">
        <v>151</v>
      </c>
      <c r="E513" s="31">
        <v>0</v>
      </c>
      <c r="F513" s="31">
        <v>16.489999999999998</v>
      </c>
      <c r="G513" s="32">
        <f t="shared" ref="G513:G518" si="79">F513*E513</f>
        <v>0</v>
      </c>
      <c r="H513" s="33">
        <f t="shared" si="73"/>
        <v>0</v>
      </c>
      <c r="K513" t="str">
        <f xml:space="preserve"> B512 &amp; B513</f>
        <v>Z000081002Z040201013</v>
      </c>
    </row>
    <row r="514" spans="1:11" outlineLevel="1" x14ac:dyDescent="0.2">
      <c r="A514" s="29"/>
      <c r="B514" s="30" t="s">
        <v>801</v>
      </c>
      <c r="C514" s="30" t="s">
        <v>402</v>
      </c>
      <c r="D514" s="34" t="s">
        <v>151</v>
      </c>
      <c r="E514" s="31">
        <v>0</v>
      </c>
      <c r="F514" s="31">
        <v>10.3</v>
      </c>
      <c r="G514" s="32">
        <f t="shared" si="79"/>
        <v>0</v>
      </c>
      <c r="H514" s="33">
        <f t="shared" si="73"/>
        <v>0</v>
      </c>
      <c r="K514" t="str">
        <f xml:space="preserve"> B512 &amp; B514</f>
        <v>Z000081002Z040202006</v>
      </c>
    </row>
    <row r="515" spans="1:11" outlineLevel="1" x14ac:dyDescent="0.2">
      <c r="A515" s="29"/>
      <c r="B515" s="30" t="s">
        <v>1580</v>
      </c>
      <c r="C515" s="30" t="s">
        <v>2477</v>
      </c>
      <c r="D515" s="34" t="s">
        <v>1153</v>
      </c>
      <c r="E515" s="31">
        <v>1065.6400000000001</v>
      </c>
      <c r="F515" s="31">
        <v>45.51</v>
      </c>
      <c r="G515" s="32">
        <f t="shared" si="79"/>
        <v>48497.276400000002</v>
      </c>
      <c r="H515" s="33">
        <f t="shared" si="73"/>
        <v>2.5146084643119977E-4</v>
      </c>
      <c r="K515" t="str">
        <f xml:space="preserve"> B512 &amp; B515</f>
        <v>Z000081002Z040303018</v>
      </c>
    </row>
    <row r="516" spans="1:11" outlineLevel="1" x14ac:dyDescent="0.2">
      <c r="A516" s="29"/>
      <c r="B516" s="30" t="s">
        <v>498</v>
      </c>
      <c r="C516" s="30" t="s">
        <v>773</v>
      </c>
      <c r="D516" s="34" t="s">
        <v>84</v>
      </c>
      <c r="E516" s="31">
        <v>1278.768</v>
      </c>
      <c r="F516" s="31">
        <v>0</v>
      </c>
      <c r="G516" s="32">
        <f t="shared" si="79"/>
        <v>0</v>
      </c>
      <c r="H516" s="33">
        <f t="shared" si="73"/>
        <v>0</v>
      </c>
      <c r="K516" t="str">
        <f xml:space="preserve"> B512 &amp; B516</f>
        <v>Z000081002Z040401001</v>
      </c>
    </row>
    <row r="517" spans="1:11" outlineLevel="1" x14ac:dyDescent="0.2">
      <c r="A517" s="29"/>
      <c r="B517" s="30" t="s">
        <v>242</v>
      </c>
      <c r="C517" s="30" t="s">
        <v>1949</v>
      </c>
      <c r="D517" s="34" t="s">
        <v>764</v>
      </c>
      <c r="E517" s="31">
        <v>0</v>
      </c>
      <c r="F517" s="31">
        <v>114.16</v>
      </c>
      <c r="G517" s="32">
        <f t="shared" si="79"/>
        <v>0</v>
      </c>
      <c r="H517" s="33">
        <f t="shared" si="73"/>
        <v>0</v>
      </c>
      <c r="K517" t="str">
        <f xml:space="preserve"> B512 &amp; B517</f>
        <v>Z000081002Z050101007</v>
      </c>
    </row>
    <row r="518" spans="1:11" outlineLevel="1" x14ac:dyDescent="0.2">
      <c r="A518" s="29"/>
      <c r="B518" s="30" t="s">
        <v>244</v>
      </c>
      <c r="C518" s="30" t="s">
        <v>1940</v>
      </c>
      <c r="D518" s="34" t="s">
        <v>742</v>
      </c>
      <c r="E518" s="31">
        <v>0</v>
      </c>
      <c r="F518" s="31">
        <v>62.61</v>
      </c>
      <c r="G518" s="32">
        <f t="shared" si="79"/>
        <v>0</v>
      </c>
      <c r="H518" s="33">
        <f t="shared" si="73"/>
        <v>0</v>
      </c>
      <c r="K518" t="str">
        <f xml:space="preserve"> B512 &amp; B518</f>
        <v>Z000081002Z050101008</v>
      </c>
    </row>
    <row r="519" spans="1:11" outlineLevel="1" x14ac:dyDescent="0.2">
      <c r="A519" s="11" t="s">
        <v>316</v>
      </c>
      <c r="B519" s="11" t="s">
        <v>14</v>
      </c>
      <c r="C519" s="11" t="s">
        <v>2550</v>
      </c>
      <c r="D519" s="12" t="s">
        <v>1153</v>
      </c>
      <c r="E519" s="13">
        <v>2359.84</v>
      </c>
      <c r="F519" s="14">
        <v>60.000000000000007</v>
      </c>
      <c r="G519" s="15">
        <f>SUM(G520:G527)</f>
        <v>141590.40000000002</v>
      </c>
      <c r="H519" s="16">
        <f t="shared" si="73"/>
        <v>7.3415343032608225E-4</v>
      </c>
    </row>
    <row r="520" spans="1:11" outlineLevel="1" x14ac:dyDescent="0.2">
      <c r="A520" s="29"/>
      <c r="B520" s="30" t="s">
        <v>801</v>
      </c>
      <c r="C520" s="30" t="s">
        <v>402</v>
      </c>
      <c r="D520" s="34" t="s">
        <v>151</v>
      </c>
      <c r="E520" s="31">
        <v>0</v>
      </c>
      <c r="F520" s="31">
        <v>10.3</v>
      </c>
      <c r="G520" s="32">
        <f t="shared" ref="G520:G527" si="80">F520*E520</f>
        <v>0</v>
      </c>
      <c r="H520" s="33">
        <f t="shared" si="73"/>
        <v>0</v>
      </c>
      <c r="K520" t="str">
        <f xml:space="preserve"> B519 &amp; B520</f>
        <v>Z000081003Z040202006</v>
      </c>
    </row>
    <row r="521" spans="1:11" outlineLevel="1" x14ac:dyDescent="0.2">
      <c r="A521" s="29"/>
      <c r="B521" s="30" t="s">
        <v>1584</v>
      </c>
      <c r="C521" s="30" t="s">
        <v>2483</v>
      </c>
      <c r="D521" s="34" t="s">
        <v>1153</v>
      </c>
      <c r="E521" s="31">
        <v>2359.84</v>
      </c>
      <c r="F521" s="31">
        <v>60</v>
      </c>
      <c r="G521" s="32">
        <f t="shared" si="80"/>
        <v>141590.40000000002</v>
      </c>
      <c r="H521" s="33">
        <f t="shared" si="73"/>
        <v>7.3415343032608225E-4</v>
      </c>
      <c r="K521" t="str">
        <f xml:space="preserve"> B519 &amp; B521</f>
        <v>Z000081003Z040303019</v>
      </c>
    </row>
    <row r="522" spans="1:11" outlineLevel="1" x14ac:dyDescent="0.2">
      <c r="A522" s="29"/>
      <c r="B522" s="30" t="s">
        <v>498</v>
      </c>
      <c r="C522" s="30" t="s">
        <v>773</v>
      </c>
      <c r="D522" s="34" t="s">
        <v>84</v>
      </c>
      <c r="E522" s="31">
        <v>2831.808</v>
      </c>
      <c r="F522" s="31">
        <v>0</v>
      </c>
      <c r="G522" s="32">
        <f t="shared" si="80"/>
        <v>0</v>
      </c>
      <c r="H522" s="33">
        <f t="shared" si="73"/>
        <v>0</v>
      </c>
      <c r="K522" t="str">
        <f xml:space="preserve"> B519 &amp; B522</f>
        <v>Z000081003Z040401001</v>
      </c>
    </row>
    <row r="523" spans="1:11" outlineLevel="1" x14ac:dyDescent="0.2">
      <c r="A523" s="29"/>
      <c r="B523" s="30" t="s">
        <v>233</v>
      </c>
      <c r="C523" s="30" t="s">
        <v>420</v>
      </c>
      <c r="D523" s="34" t="s">
        <v>764</v>
      </c>
      <c r="E523" s="31">
        <v>0</v>
      </c>
      <c r="F523" s="31">
        <v>327.60000000000002</v>
      </c>
      <c r="G523" s="32">
        <f t="shared" si="80"/>
        <v>0</v>
      </c>
      <c r="H523" s="33">
        <f t="shared" si="73"/>
        <v>0</v>
      </c>
      <c r="K523" t="str">
        <f xml:space="preserve"> B519 &amp; B523</f>
        <v>Z000081003Z050101001</v>
      </c>
    </row>
    <row r="524" spans="1:11" outlineLevel="1" x14ac:dyDescent="0.2">
      <c r="A524" s="29"/>
      <c r="B524" s="30" t="s">
        <v>235</v>
      </c>
      <c r="C524" s="30" t="s">
        <v>413</v>
      </c>
      <c r="D524" s="34" t="s">
        <v>742</v>
      </c>
      <c r="E524" s="31">
        <v>0</v>
      </c>
      <c r="F524" s="31">
        <v>72.41</v>
      </c>
      <c r="G524" s="32">
        <f t="shared" si="80"/>
        <v>0</v>
      </c>
      <c r="H524" s="33">
        <f t="shared" si="73"/>
        <v>0</v>
      </c>
      <c r="K524" t="str">
        <f xml:space="preserve"> B519 &amp; B524</f>
        <v>Z000081003Z050101002</v>
      </c>
    </row>
    <row r="525" spans="1:11" outlineLevel="1" x14ac:dyDescent="0.2">
      <c r="A525" s="29"/>
      <c r="B525" s="30" t="s">
        <v>238</v>
      </c>
      <c r="C525" s="30" t="s">
        <v>2376</v>
      </c>
      <c r="D525" s="34" t="s">
        <v>764</v>
      </c>
      <c r="E525" s="31">
        <v>0</v>
      </c>
      <c r="F525" s="31">
        <v>138.31</v>
      </c>
      <c r="G525" s="32">
        <f t="shared" si="80"/>
        <v>0</v>
      </c>
      <c r="H525" s="33">
        <f t="shared" si="73"/>
        <v>0</v>
      </c>
      <c r="K525" t="str">
        <f xml:space="preserve"> B519 &amp; B525</f>
        <v>Z000081003Z050101005</v>
      </c>
    </row>
    <row r="526" spans="1:11" outlineLevel="1" x14ac:dyDescent="0.2">
      <c r="A526" s="29"/>
      <c r="B526" s="30" t="s">
        <v>239</v>
      </c>
      <c r="C526" s="30" t="s">
        <v>2378</v>
      </c>
      <c r="D526" s="34" t="s">
        <v>742</v>
      </c>
      <c r="E526" s="31">
        <v>0</v>
      </c>
      <c r="F526" s="31">
        <v>65.73</v>
      </c>
      <c r="G526" s="32">
        <f t="shared" si="80"/>
        <v>0</v>
      </c>
      <c r="H526" s="33">
        <f t="shared" si="73"/>
        <v>0</v>
      </c>
      <c r="K526" t="str">
        <f xml:space="preserve"> B519 &amp; B526</f>
        <v>Z000081003Z050101006</v>
      </c>
    </row>
    <row r="527" spans="1:11" outlineLevel="1" x14ac:dyDescent="0.2">
      <c r="A527" s="29"/>
      <c r="B527" s="30" t="s">
        <v>61</v>
      </c>
      <c r="C527" s="30" t="s">
        <v>2490</v>
      </c>
      <c r="D527" s="34" t="s">
        <v>764</v>
      </c>
      <c r="E527" s="31">
        <v>0</v>
      </c>
      <c r="F527" s="31">
        <v>36.880000000000003</v>
      </c>
      <c r="G527" s="32">
        <f t="shared" si="80"/>
        <v>0</v>
      </c>
      <c r="H527" s="33">
        <f t="shared" si="73"/>
        <v>0</v>
      </c>
      <c r="K527" t="str">
        <f xml:space="preserve"> B519 &amp; B527</f>
        <v>Z000081003Z050103017</v>
      </c>
    </row>
    <row r="528" spans="1:11" ht="15" x14ac:dyDescent="0.2">
      <c r="A528" s="17" t="s">
        <v>2013</v>
      </c>
      <c r="B528" s="17" t="s">
        <v>328</v>
      </c>
      <c r="C528" s="17" t="s">
        <v>1362</v>
      </c>
      <c r="D528" s="18"/>
      <c r="E528" s="19"/>
      <c r="F528" s="20"/>
      <c r="G528" s="21">
        <f>SUM(G529,G538,G547,G556,G565,G574)</f>
        <v>498961.15897018497</v>
      </c>
      <c r="H528" s="22">
        <f t="shared" si="73"/>
        <v>2.5871390041799368E-3</v>
      </c>
    </row>
    <row r="529" spans="1:11" outlineLevel="1" x14ac:dyDescent="0.2">
      <c r="A529" s="11" t="s">
        <v>180</v>
      </c>
      <c r="B529" s="11" t="s">
        <v>90</v>
      </c>
      <c r="C529" s="11" t="s">
        <v>2588</v>
      </c>
      <c r="D529" s="12" t="s">
        <v>1052</v>
      </c>
      <c r="E529" s="13">
        <v>3485.32</v>
      </c>
      <c r="F529" s="14">
        <v>11.033766</v>
      </c>
      <c r="G529" s="15">
        <f>SUM(G530:G537)</f>
        <v>38456.205315120002</v>
      </c>
      <c r="H529" s="16">
        <f t="shared" si="73"/>
        <v>1.9939738180992117E-4</v>
      </c>
    </row>
    <row r="530" spans="1:11" outlineLevel="1" x14ac:dyDescent="0.2">
      <c r="A530" s="29"/>
      <c r="B530" s="30" t="s">
        <v>98</v>
      </c>
      <c r="C530" s="30" t="s">
        <v>667</v>
      </c>
      <c r="D530" s="34" t="s">
        <v>1052</v>
      </c>
      <c r="E530" s="31">
        <v>3502.7465999999999</v>
      </c>
      <c r="F530" s="31">
        <v>5.9442000000000004</v>
      </c>
      <c r="G530" s="32">
        <f t="shared" ref="G530:G537" si="81">F530*E530</f>
        <v>20821.02633972</v>
      </c>
      <c r="H530" s="33">
        <f t="shared" si="73"/>
        <v>1.0795808126974108E-4</v>
      </c>
      <c r="K530" t="str">
        <f xml:space="preserve"> B529 &amp; B530</f>
        <v>Z000082032Z010101001</v>
      </c>
    </row>
    <row r="531" spans="1:11" outlineLevel="1" x14ac:dyDescent="0.2">
      <c r="A531" s="29"/>
      <c r="B531" s="30" t="s">
        <v>1561</v>
      </c>
      <c r="C531" s="30" t="s">
        <v>1939</v>
      </c>
      <c r="D531" s="34" t="s">
        <v>1052</v>
      </c>
      <c r="E531" s="31">
        <v>87.13300000000001</v>
      </c>
      <c r="F531" s="31">
        <v>9.8886000000000003</v>
      </c>
      <c r="G531" s="32">
        <f t="shared" si="81"/>
        <v>861.62338380000017</v>
      </c>
      <c r="H531" s="33">
        <f t="shared" si="73"/>
        <v>4.4675610978282187E-6</v>
      </c>
      <c r="K531" t="str">
        <f xml:space="preserve"> B529 &amp; B531</f>
        <v>Z000082032Z010105001</v>
      </c>
    </row>
    <row r="532" spans="1:11" outlineLevel="1" x14ac:dyDescent="0.2">
      <c r="A532" s="29"/>
      <c r="B532" s="30" t="s">
        <v>1371</v>
      </c>
      <c r="C532" s="30" t="s">
        <v>2406</v>
      </c>
      <c r="D532" s="34" t="s">
        <v>1781</v>
      </c>
      <c r="E532" s="31">
        <v>6853.8817799999997</v>
      </c>
      <c r="F532" s="31">
        <v>0.22</v>
      </c>
      <c r="G532" s="32">
        <f t="shared" si="81"/>
        <v>1507.8539916</v>
      </c>
      <c r="H532" s="33">
        <f t="shared" si="73"/>
        <v>7.8182996895553328E-6</v>
      </c>
      <c r="K532" t="str">
        <f xml:space="preserve"> B529 &amp; B532</f>
        <v>Z000082032Z030107001</v>
      </c>
    </row>
    <row r="533" spans="1:11" outlineLevel="1" x14ac:dyDescent="0.2">
      <c r="A533" s="29"/>
      <c r="B533" s="30" t="s">
        <v>935</v>
      </c>
      <c r="C533" s="30" t="s">
        <v>1352</v>
      </c>
      <c r="D533" s="34" t="s">
        <v>151</v>
      </c>
      <c r="E533" s="31">
        <v>0</v>
      </c>
      <c r="F533" s="31">
        <v>15.1457</v>
      </c>
      <c r="G533" s="32">
        <f t="shared" si="81"/>
        <v>0</v>
      </c>
      <c r="H533" s="33">
        <f t="shared" si="73"/>
        <v>0</v>
      </c>
      <c r="K533" t="str">
        <f xml:space="preserve"> B529 &amp; B533</f>
        <v>Z000082032Z040201001</v>
      </c>
    </row>
    <row r="534" spans="1:11" outlineLevel="1" x14ac:dyDescent="0.2">
      <c r="A534" s="29"/>
      <c r="B534" s="30" t="s">
        <v>792</v>
      </c>
      <c r="C534" s="30" t="s">
        <v>335</v>
      </c>
      <c r="D534" s="34" t="s">
        <v>151</v>
      </c>
      <c r="E534" s="31">
        <v>0</v>
      </c>
      <c r="F534" s="31">
        <v>11.1343</v>
      </c>
      <c r="G534" s="32">
        <f t="shared" si="81"/>
        <v>0</v>
      </c>
      <c r="H534" s="33">
        <f t="shared" si="73"/>
        <v>0</v>
      </c>
      <c r="K534" t="str">
        <f xml:space="preserve"> B529 &amp; B534</f>
        <v>Z000082032Z040202001</v>
      </c>
    </row>
    <row r="535" spans="1:11" outlineLevel="1" x14ac:dyDescent="0.2">
      <c r="A535" s="29"/>
      <c r="B535" s="30" t="s">
        <v>1547</v>
      </c>
      <c r="C535" s="30" t="s">
        <v>1483</v>
      </c>
      <c r="D535" s="34" t="s">
        <v>1052</v>
      </c>
      <c r="E535" s="31">
        <v>3485.32</v>
      </c>
      <c r="F535" s="31">
        <v>0.87</v>
      </c>
      <c r="G535" s="32">
        <f t="shared" si="81"/>
        <v>3032.2284</v>
      </c>
      <c r="H535" s="33">
        <f t="shared" si="73"/>
        <v>1.5722258581034927E-5</v>
      </c>
      <c r="K535" t="str">
        <f xml:space="preserve"> B529 &amp; B535</f>
        <v>Z000082032Z040303010</v>
      </c>
    </row>
    <row r="536" spans="1:11" outlineLevel="1" x14ac:dyDescent="0.2">
      <c r="A536" s="29"/>
      <c r="B536" s="30" t="s">
        <v>1555</v>
      </c>
      <c r="C536" s="30" t="s">
        <v>177</v>
      </c>
      <c r="D536" s="34" t="s">
        <v>1052</v>
      </c>
      <c r="E536" s="31">
        <v>3485.32</v>
      </c>
      <c r="F536" s="31">
        <v>3.51</v>
      </c>
      <c r="G536" s="32">
        <f t="shared" si="81"/>
        <v>12233.4732</v>
      </c>
      <c r="H536" s="33">
        <f t="shared" si="73"/>
        <v>6.3431181171761603E-5</v>
      </c>
      <c r="K536" t="str">
        <f xml:space="preserve"> B529 &amp; B536</f>
        <v>Z000082032Z040303013</v>
      </c>
    </row>
    <row r="537" spans="1:11" outlineLevel="1" x14ac:dyDescent="0.2">
      <c r="A537" s="29"/>
      <c r="B537" s="30" t="s">
        <v>498</v>
      </c>
      <c r="C537" s="30" t="s">
        <v>773</v>
      </c>
      <c r="D537" s="34" t="s">
        <v>84</v>
      </c>
      <c r="E537" s="31">
        <v>4182.384</v>
      </c>
      <c r="F537" s="31">
        <v>0</v>
      </c>
      <c r="G537" s="32">
        <f t="shared" si="81"/>
        <v>0</v>
      </c>
      <c r="H537" s="33">
        <f t="shared" si="73"/>
        <v>0</v>
      </c>
      <c r="K537" t="str">
        <f xml:space="preserve"> B529 &amp; B537</f>
        <v>Z000082032Z040401001</v>
      </c>
    </row>
    <row r="538" spans="1:11" outlineLevel="1" x14ac:dyDescent="0.2">
      <c r="A538" s="11" t="s">
        <v>182</v>
      </c>
      <c r="B538" s="11" t="s">
        <v>95</v>
      </c>
      <c r="C538" s="11" t="s">
        <v>2597</v>
      </c>
      <c r="D538" s="12" t="s">
        <v>1052</v>
      </c>
      <c r="E538" s="13">
        <v>5938.07</v>
      </c>
      <c r="F538" s="14">
        <v>10.918314499999999</v>
      </c>
      <c r="G538" s="15">
        <f>SUM(G539:G546)</f>
        <v>64833.715783014995</v>
      </c>
      <c r="H538" s="16">
        <f t="shared" si="73"/>
        <v>3.3616611608475373E-4</v>
      </c>
    </row>
    <row r="539" spans="1:11" outlineLevel="1" x14ac:dyDescent="0.2">
      <c r="A539" s="29"/>
      <c r="B539" s="30" t="s">
        <v>107</v>
      </c>
      <c r="C539" s="30" t="s">
        <v>564</v>
      </c>
      <c r="D539" s="34" t="s">
        <v>1052</v>
      </c>
      <c r="E539" s="31">
        <v>5967.7603499999987</v>
      </c>
      <c r="F539" s="31">
        <v>6.1578999999999997</v>
      </c>
      <c r="G539" s="32">
        <f t="shared" ref="G539:G546" si="82">F539*E539</f>
        <v>36748.871459264992</v>
      </c>
      <c r="H539" s="33">
        <f t="shared" si="73"/>
        <v>1.9054476887155945E-4</v>
      </c>
      <c r="K539" t="str">
        <f xml:space="preserve"> B538 &amp; B539</f>
        <v>Z000082035Z010101004</v>
      </c>
    </row>
    <row r="540" spans="1:11" outlineLevel="1" x14ac:dyDescent="0.2">
      <c r="A540" s="29"/>
      <c r="B540" s="30" t="s">
        <v>1561</v>
      </c>
      <c r="C540" s="30" t="s">
        <v>1939</v>
      </c>
      <c r="D540" s="34" t="s">
        <v>1052</v>
      </c>
      <c r="E540" s="31">
        <v>148.45175</v>
      </c>
      <c r="F540" s="31">
        <v>9.8886000000000003</v>
      </c>
      <c r="G540" s="32">
        <f t="shared" si="82"/>
        <v>1467.9799750500001</v>
      </c>
      <c r="H540" s="33">
        <f t="shared" si="73"/>
        <v>7.6115508843322294E-6</v>
      </c>
      <c r="K540" t="str">
        <f xml:space="preserve"> B538 &amp; B540</f>
        <v>Z000082035Z010105001</v>
      </c>
    </row>
    <row r="541" spans="1:11" outlineLevel="1" x14ac:dyDescent="0.2">
      <c r="A541" s="29"/>
      <c r="B541" s="30" t="s">
        <v>1371</v>
      </c>
      <c r="C541" s="30" t="s">
        <v>2406</v>
      </c>
      <c r="D541" s="34" t="s">
        <v>1781</v>
      </c>
      <c r="E541" s="31">
        <v>2764.1715850000001</v>
      </c>
      <c r="F541" s="31">
        <v>0.22</v>
      </c>
      <c r="G541" s="32">
        <f t="shared" si="82"/>
        <v>608.11774869999999</v>
      </c>
      <c r="H541" s="33">
        <f t="shared" si="73"/>
        <v>3.153121477517398E-6</v>
      </c>
      <c r="K541" t="str">
        <f xml:space="preserve"> B538 &amp; B541</f>
        <v>Z000082035Z030107001</v>
      </c>
    </row>
    <row r="542" spans="1:11" outlineLevel="1" x14ac:dyDescent="0.2">
      <c r="A542" s="29"/>
      <c r="B542" s="30" t="s">
        <v>935</v>
      </c>
      <c r="C542" s="30" t="s">
        <v>1352</v>
      </c>
      <c r="D542" s="34" t="s">
        <v>151</v>
      </c>
      <c r="E542" s="31">
        <v>0</v>
      </c>
      <c r="F542" s="31">
        <v>15.1457</v>
      </c>
      <c r="G542" s="32">
        <f t="shared" si="82"/>
        <v>0</v>
      </c>
      <c r="H542" s="33">
        <f t="shared" si="73"/>
        <v>0</v>
      </c>
      <c r="K542" t="str">
        <f xml:space="preserve"> B538 &amp; B542</f>
        <v>Z000082035Z040201001</v>
      </c>
    </row>
    <row r="543" spans="1:11" outlineLevel="1" x14ac:dyDescent="0.2">
      <c r="A543" s="29"/>
      <c r="B543" s="30" t="s">
        <v>792</v>
      </c>
      <c r="C543" s="30" t="s">
        <v>335</v>
      </c>
      <c r="D543" s="34" t="s">
        <v>151</v>
      </c>
      <c r="E543" s="31">
        <v>0</v>
      </c>
      <c r="F543" s="31">
        <v>11.1343</v>
      </c>
      <c r="G543" s="32">
        <f t="shared" si="82"/>
        <v>0</v>
      </c>
      <c r="H543" s="33">
        <f t="shared" ref="H543:H624" si="83">G543/$F$2</f>
        <v>0</v>
      </c>
      <c r="K543" t="str">
        <f xml:space="preserve"> B538 &amp; B543</f>
        <v>Z000082035Z040202001</v>
      </c>
    </row>
    <row r="544" spans="1:11" outlineLevel="1" x14ac:dyDescent="0.2">
      <c r="A544" s="29"/>
      <c r="B544" s="30" t="s">
        <v>1547</v>
      </c>
      <c r="C544" s="30" t="s">
        <v>1483</v>
      </c>
      <c r="D544" s="34" t="s">
        <v>1052</v>
      </c>
      <c r="E544" s="31">
        <v>5938.07</v>
      </c>
      <c r="F544" s="31">
        <v>0.87</v>
      </c>
      <c r="G544" s="32">
        <f t="shared" si="82"/>
        <v>5166.1208999999999</v>
      </c>
      <c r="H544" s="33">
        <f t="shared" si="83"/>
        <v>2.6786599799239685E-5</v>
      </c>
      <c r="K544" t="str">
        <f xml:space="preserve"> B538 &amp; B544</f>
        <v>Z000082035Z040303010</v>
      </c>
    </row>
    <row r="545" spans="1:11" outlineLevel="1" x14ac:dyDescent="0.2">
      <c r="A545" s="29"/>
      <c r="B545" s="30" t="s">
        <v>1555</v>
      </c>
      <c r="C545" s="30" t="s">
        <v>177</v>
      </c>
      <c r="D545" s="34" t="s">
        <v>1052</v>
      </c>
      <c r="E545" s="31">
        <v>5938.07</v>
      </c>
      <c r="F545" s="31">
        <v>3.51</v>
      </c>
      <c r="G545" s="32">
        <f t="shared" si="82"/>
        <v>20842.625699999997</v>
      </c>
      <c r="H545" s="33">
        <f t="shared" si="83"/>
        <v>1.0807007505210493E-4</v>
      </c>
      <c r="K545" t="str">
        <f xml:space="preserve"> B538 &amp; B545</f>
        <v>Z000082035Z040303013</v>
      </c>
    </row>
    <row r="546" spans="1:11" outlineLevel="1" x14ac:dyDescent="0.2">
      <c r="A546" s="29"/>
      <c r="B546" s="30" t="s">
        <v>498</v>
      </c>
      <c r="C546" s="30" t="s">
        <v>773</v>
      </c>
      <c r="D546" s="34" t="s">
        <v>84</v>
      </c>
      <c r="E546" s="31">
        <v>7125.6839999999993</v>
      </c>
      <c r="F546" s="31">
        <v>0</v>
      </c>
      <c r="G546" s="32">
        <f t="shared" si="82"/>
        <v>0</v>
      </c>
      <c r="H546" s="33">
        <f t="shared" si="83"/>
        <v>0</v>
      </c>
      <c r="K546" t="str">
        <f xml:space="preserve"> B538 &amp; B546</f>
        <v>Z000082035Z040401001</v>
      </c>
    </row>
    <row r="547" spans="1:11" outlineLevel="1" x14ac:dyDescent="0.2">
      <c r="A547" s="11" t="s">
        <v>183</v>
      </c>
      <c r="B547" s="11" t="s">
        <v>1889</v>
      </c>
      <c r="C547" s="11" t="s">
        <v>2559</v>
      </c>
      <c r="D547" s="12" t="s">
        <v>1052</v>
      </c>
      <c r="E547" s="13">
        <v>18208.66</v>
      </c>
      <c r="F547" s="14">
        <v>10.918314499999997</v>
      </c>
      <c r="G547" s="15">
        <f>SUM(G548:G555)</f>
        <v>198807.87650356995</v>
      </c>
      <c r="H547" s="16">
        <f t="shared" si="83"/>
        <v>1.0308289581139681E-3</v>
      </c>
    </row>
    <row r="548" spans="1:11" outlineLevel="1" x14ac:dyDescent="0.2">
      <c r="A548" s="29"/>
      <c r="B548" s="30" t="s">
        <v>107</v>
      </c>
      <c r="C548" s="30" t="s">
        <v>564</v>
      </c>
      <c r="D548" s="34" t="s">
        <v>1052</v>
      </c>
      <c r="E548" s="31">
        <v>18299.703299999997</v>
      </c>
      <c r="F548" s="31">
        <v>6.1578999999999997</v>
      </c>
      <c r="G548" s="32">
        <f t="shared" ref="G548:G555" si="84">F548*E548</f>
        <v>112687.74295106997</v>
      </c>
      <c r="H548" s="33">
        <f t="shared" si="83"/>
        <v>5.8429168250977333E-4</v>
      </c>
      <c r="K548" t="str">
        <f xml:space="preserve"> B547 &amp; B548</f>
        <v>Z000082004Z010101004</v>
      </c>
    </row>
    <row r="549" spans="1:11" outlineLevel="1" x14ac:dyDescent="0.2">
      <c r="A549" s="29"/>
      <c r="B549" s="30" t="s">
        <v>1561</v>
      </c>
      <c r="C549" s="30" t="s">
        <v>1939</v>
      </c>
      <c r="D549" s="34" t="s">
        <v>1052</v>
      </c>
      <c r="E549" s="31">
        <v>455.2165</v>
      </c>
      <c r="F549" s="31">
        <v>9.8886000000000003</v>
      </c>
      <c r="G549" s="32">
        <f t="shared" si="84"/>
        <v>4501.4538818999999</v>
      </c>
      <c r="H549" s="33">
        <f t="shared" si="83"/>
        <v>2.3340267481775204E-5</v>
      </c>
      <c r="K549" t="str">
        <f xml:space="preserve"> B547 &amp; B549</f>
        <v>Z000082004Z010105001</v>
      </c>
    </row>
    <row r="550" spans="1:11" outlineLevel="1" x14ac:dyDescent="0.2">
      <c r="A550" s="29"/>
      <c r="B550" s="30" t="s">
        <v>1371</v>
      </c>
      <c r="C550" s="30" t="s">
        <v>2406</v>
      </c>
      <c r="D550" s="34" t="s">
        <v>1781</v>
      </c>
      <c r="E550" s="31">
        <v>8476.1312300000009</v>
      </c>
      <c r="F550" s="31">
        <v>0.22</v>
      </c>
      <c r="G550" s="32">
        <f t="shared" si="84"/>
        <v>1864.7488706000001</v>
      </c>
      <c r="H550" s="33">
        <f t="shared" si="83"/>
        <v>9.6688178015435912E-6</v>
      </c>
      <c r="K550" t="str">
        <f xml:space="preserve"> B547 &amp; B550</f>
        <v>Z000082004Z030107001</v>
      </c>
    </row>
    <row r="551" spans="1:11" outlineLevel="1" x14ac:dyDescent="0.2">
      <c r="A551" s="29"/>
      <c r="B551" s="30" t="s">
        <v>935</v>
      </c>
      <c r="C551" s="30" t="s">
        <v>1352</v>
      </c>
      <c r="D551" s="34" t="s">
        <v>151</v>
      </c>
      <c r="E551" s="31">
        <v>0</v>
      </c>
      <c r="F551" s="31">
        <v>15.1457</v>
      </c>
      <c r="G551" s="32">
        <f t="shared" si="84"/>
        <v>0</v>
      </c>
      <c r="H551" s="33">
        <f t="shared" si="83"/>
        <v>0</v>
      </c>
      <c r="K551" t="str">
        <f xml:space="preserve"> B547 &amp; B551</f>
        <v>Z000082004Z040201001</v>
      </c>
    </row>
    <row r="552" spans="1:11" outlineLevel="1" x14ac:dyDescent="0.2">
      <c r="A552" s="29"/>
      <c r="B552" s="30" t="s">
        <v>792</v>
      </c>
      <c r="C552" s="30" t="s">
        <v>335</v>
      </c>
      <c r="D552" s="34" t="s">
        <v>151</v>
      </c>
      <c r="E552" s="31">
        <v>0</v>
      </c>
      <c r="F552" s="31">
        <v>11.1343</v>
      </c>
      <c r="G552" s="32">
        <f t="shared" si="84"/>
        <v>0</v>
      </c>
      <c r="H552" s="33">
        <f t="shared" si="83"/>
        <v>0</v>
      </c>
      <c r="K552" t="str">
        <f xml:space="preserve"> B547 &amp; B552</f>
        <v>Z000082004Z040202001</v>
      </c>
    </row>
    <row r="553" spans="1:11" outlineLevel="1" x14ac:dyDescent="0.2">
      <c r="A553" s="29"/>
      <c r="B553" s="30" t="s">
        <v>1505</v>
      </c>
      <c r="C553" s="30" t="s">
        <v>1976</v>
      </c>
      <c r="D553" s="34" t="s">
        <v>1052</v>
      </c>
      <c r="E553" s="31">
        <v>18208.66</v>
      </c>
      <c r="F553" s="31">
        <v>0.87</v>
      </c>
      <c r="G553" s="32">
        <f t="shared" si="84"/>
        <v>15841.5342</v>
      </c>
      <c r="H553" s="33">
        <f t="shared" si="83"/>
        <v>8.2139161091132927E-5</v>
      </c>
      <c r="K553" t="str">
        <f xml:space="preserve"> B547 &amp; B553</f>
        <v>Z000082004Z040303009</v>
      </c>
    </row>
    <row r="554" spans="1:11" outlineLevel="1" x14ac:dyDescent="0.2">
      <c r="A554" s="29"/>
      <c r="B554" s="30" t="s">
        <v>1553</v>
      </c>
      <c r="C554" s="30" t="s">
        <v>484</v>
      </c>
      <c r="D554" s="34" t="s">
        <v>1052</v>
      </c>
      <c r="E554" s="31">
        <v>18208.66</v>
      </c>
      <c r="F554" s="31">
        <v>3.51</v>
      </c>
      <c r="G554" s="32">
        <f t="shared" si="84"/>
        <v>63912.396599999993</v>
      </c>
      <c r="H554" s="33">
        <f t="shared" si="83"/>
        <v>3.3138902922974316E-4</v>
      </c>
      <c r="K554" t="str">
        <f xml:space="preserve"> B547 &amp; B554</f>
        <v>Z000082004Z040303012</v>
      </c>
    </row>
    <row r="555" spans="1:11" outlineLevel="1" x14ac:dyDescent="0.2">
      <c r="A555" s="29"/>
      <c r="B555" s="30" t="s">
        <v>498</v>
      </c>
      <c r="C555" s="30" t="s">
        <v>773</v>
      </c>
      <c r="D555" s="34" t="s">
        <v>84</v>
      </c>
      <c r="E555" s="31">
        <v>21850.392</v>
      </c>
      <c r="F555" s="31">
        <v>0</v>
      </c>
      <c r="G555" s="32">
        <f t="shared" si="84"/>
        <v>0</v>
      </c>
      <c r="H555" s="33">
        <f t="shared" si="83"/>
        <v>0</v>
      </c>
      <c r="K555" t="str">
        <f xml:space="preserve"> B547 &amp; B555</f>
        <v>Z000082004Z040401001</v>
      </c>
    </row>
    <row r="556" spans="1:11" outlineLevel="1" x14ac:dyDescent="0.2">
      <c r="A556" s="11" t="s">
        <v>186</v>
      </c>
      <c r="B556" s="11" t="s">
        <v>1891</v>
      </c>
      <c r="C556" s="11" t="s">
        <v>2568</v>
      </c>
      <c r="D556" s="12" t="s">
        <v>1052</v>
      </c>
      <c r="E556" s="13">
        <v>17642.66</v>
      </c>
      <c r="F556" s="14">
        <v>10.703028</v>
      </c>
      <c r="G556" s="15">
        <f>SUM(G557:G564)</f>
        <v>188829.88397448001</v>
      </c>
      <c r="H556" s="16">
        <f t="shared" si="83"/>
        <v>9.7909255901488081E-4</v>
      </c>
    </row>
    <row r="557" spans="1:11" outlineLevel="1" x14ac:dyDescent="0.2">
      <c r="A557" s="29"/>
      <c r="B557" s="30" t="s">
        <v>110</v>
      </c>
      <c r="C557" s="30" t="s">
        <v>1544</v>
      </c>
      <c r="D557" s="34" t="s">
        <v>1052</v>
      </c>
      <c r="E557" s="31">
        <v>17730.873299999999</v>
      </c>
      <c r="F557" s="31">
        <v>5.9786000000000001</v>
      </c>
      <c r="G557" s="32">
        <f t="shared" ref="G557:G564" si="85">F557*E557</f>
        <v>106005.79911137999</v>
      </c>
      <c r="H557" s="33">
        <f t="shared" si="83"/>
        <v>5.4964546361954746E-4</v>
      </c>
      <c r="K557" t="str">
        <f xml:space="preserve"> B556 &amp; B557</f>
        <v>Z000082005Z010101005</v>
      </c>
    </row>
    <row r="558" spans="1:11" outlineLevel="1" x14ac:dyDescent="0.2">
      <c r="A558" s="29"/>
      <c r="B558" s="30" t="s">
        <v>1561</v>
      </c>
      <c r="C558" s="30" t="s">
        <v>1939</v>
      </c>
      <c r="D558" s="34" t="s">
        <v>1052</v>
      </c>
      <c r="E558" s="31">
        <v>441.06650000000002</v>
      </c>
      <c r="F558" s="31">
        <v>9.8886000000000003</v>
      </c>
      <c r="G558" s="32">
        <f t="shared" si="85"/>
        <v>4361.5301919000003</v>
      </c>
      <c r="H558" s="33">
        <f t="shared" si="83"/>
        <v>2.2614756027627303E-5</v>
      </c>
      <c r="K558" t="str">
        <f xml:space="preserve"> B556 &amp; B558</f>
        <v>Z000082005Z010105001</v>
      </c>
    </row>
    <row r="559" spans="1:11" outlineLevel="1" x14ac:dyDescent="0.2">
      <c r="A559" s="29"/>
      <c r="B559" s="30" t="s">
        <v>1371</v>
      </c>
      <c r="C559" s="30" t="s">
        <v>2406</v>
      </c>
      <c r="D559" s="34" t="s">
        <v>1781</v>
      </c>
      <c r="E559" s="31">
        <v>5398.6539599999996</v>
      </c>
      <c r="F559" s="31">
        <v>0.22</v>
      </c>
      <c r="G559" s="32">
        <f t="shared" si="85"/>
        <v>1187.7038711999999</v>
      </c>
      <c r="H559" s="33">
        <f t="shared" si="83"/>
        <v>6.1583050210540207E-6</v>
      </c>
      <c r="K559" t="str">
        <f xml:space="preserve"> B556 &amp; B559</f>
        <v>Z000082005Z030107001</v>
      </c>
    </row>
    <row r="560" spans="1:11" outlineLevel="1" x14ac:dyDescent="0.2">
      <c r="A560" s="29"/>
      <c r="B560" s="30" t="s">
        <v>935</v>
      </c>
      <c r="C560" s="30" t="s">
        <v>1352</v>
      </c>
      <c r="D560" s="34" t="s">
        <v>151</v>
      </c>
      <c r="E560" s="31">
        <v>0</v>
      </c>
      <c r="F560" s="31">
        <v>15.1457</v>
      </c>
      <c r="G560" s="32">
        <f t="shared" si="85"/>
        <v>0</v>
      </c>
      <c r="H560" s="33">
        <f t="shared" si="83"/>
        <v>0</v>
      </c>
      <c r="K560" t="str">
        <f xml:space="preserve"> B556 &amp; B560</f>
        <v>Z000082005Z040201001</v>
      </c>
    </row>
    <row r="561" spans="1:11" outlineLevel="1" x14ac:dyDescent="0.2">
      <c r="A561" s="29"/>
      <c r="B561" s="30" t="s">
        <v>792</v>
      </c>
      <c r="C561" s="30" t="s">
        <v>335</v>
      </c>
      <c r="D561" s="34" t="s">
        <v>151</v>
      </c>
      <c r="E561" s="31">
        <v>0</v>
      </c>
      <c r="F561" s="31">
        <v>11.1343</v>
      </c>
      <c r="G561" s="32">
        <f t="shared" si="85"/>
        <v>0</v>
      </c>
      <c r="H561" s="33">
        <f t="shared" si="83"/>
        <v>0</v>
      </c>
      <c r="K561" t="str">
        <f xml:space="preserve"> B556 &amp; B561</f>
        <v>Z000082005Z040202001</v>
      </c>
    </row>
    <row r="562" spans="1:11" outlineLevel="1" x14ac:dyDescent="0.2">
      <c r="A562" s="29"/>
      <c r="B562" s="30" t="s">
        <v>1505</v>
      </c>
      <c r="C562" s="30" t="s">
        <v>1976</v>
      </c>
      <c r="D562" s="34" t="s">
        <v>1052</v>
      </c>
      <c r="E562" s="31">
        <v>17642.66</v>
      </c>
      <c r="F562" s="31">
        <v>0.87</v>
      </c>
      <c r="G562" s="32">
        <f t="shared" si="85"/>
        <v>15349.1142</v>
      </c>
      <c r="H562" s="33">
        <f t="shared" si="83"/>
        <v>7.9585938329129502E-5</v>
      </c>
      <c r="K562" t="str">
        <f xml:space="preserve"> B556 &amp; B562</f>
        <v>Z000082005Z040303009</v>
      </c>
    </row>
    <row r="563" spans="1:11" outlineLevel="1" x14ac:dyDescent="0.2">
      <c r="A563" s="29"/>
      <c r="B563" s="30" t="s">
        <v>1553</v>
      </c>
      <c r="C563" s="30" t="s">
        <v>484</v>
      </c>
      <c r="D563" s="34" t="s">
        <v>1052</v>
      </c>
      <c r="E563" s="31">
        <v>17642.66</v>
      </c>
      <c r="F563" s="31">
        <v>3.51</v>
      </c>
      <c r="G563" s="32">
        <f t="shared" si="85"/>
        <v>61925.736599999997</v>
      </c>
      <c r="H563" s="33">
        <f t="shared" si="83"/>
        <v>3.2108809601752246E-4</v>
      </c>
      <c r="K563" t="str">
        <f xml:space="preserve"> B556 &amp; B563</f>
        <v>Z000082005Z040303012</v>
      </c>
    </row>
    <row r="564" spans="1:11" outlineLevel="1" x14ac:dyDescent="0.2">
      <c r="A564" s="29"/>
      <c r="B564" s="30" t="s">
        <v>498</v>
      </c>
      <c r="C564" s="30" t="s">
        <v>773</v>
      </c>
      <c r="D564" s="34" t="s">
        <v>84</v>
      </c>
      <c r="E564" s="31">
        <v>21171.191999999999</v>
      </c>
      <c r="F564" s="31">
        <v>0</v>
      </c>
      <c r="G564" s="32">
        <f t="shared" si="85"/>
        <v>0</v>
      </c>
      <c r="H564" s="33">
        <f t="shared" si="83"/>
        <v>0</v>
      </c>
      <c r="K564" t="str">
        <f xml:space="preserve"> B556 &amp; B564</f>
        <v>Z000082005Z040401001</v>
      </c>
    </row>
    <row r="565" spans="1:11" outlineLevel="1" x14ac:dyDescent="0.2">
      <c r="A565" s="11" t="s">
        <v>4877</v>
      </c>
      <c r="B565" s="11" t="s">
        <v>4876</v>
      </c>
      <c r="C565" s="11" t="s">
        <v>4879</v>
      </c>
      <c r="D565" s="12" t="s">
        <v>1052</v>
      </c>
      <c r="E565" s="13">
        <v>167</v>
      </c>
      <c r="F565" s="14">
        <v>10.679157999999997</v>
      </c>
      <c r="G565" s="15">
        <f>SUM(G566:G573)</f>
        <v>1783.4193859999996</v>
      </c>
      <c r="H565" s="16">
        <f t="shared" ref="H565:H582" si="86">G565/$F$2</f>
        <v>9.247120284580981E-6</v>
      </c>
    </row>
    <row r="566" spans="1:11" outlineLevel="1" x14ac:dyDescent="0.2">
      <c r="A566" s="29"/>
      <c r="B566" s="30" t="s">
        <v>112</v>
      </c>
      <c r="C566" s="30" t="s">
        <v>1303</v>
      </c>
      <c r="D566" s="34" t="s">
        <v>1052</v>
      </c>
      <c r="E566" s="31">
        <v>167.83499999999998</v>
      </c>
      <c r="F566" s="31">
        <v>5.9786000000000001</v>
      </c>
      <c r="G566" s="32">
        <f t="shared" ref="G566:G573" si="87">F566*E566</f>
        <v>1003.4183309999999</v>
      </c>
      <c r="H566" s="33">
        <f t="shared" si="86"/>
        <v>5.202775115796848E-6</v>
      </c>
      <c r="K566" t="str">
        <f xml:space="preserve"> B565 &amp; B566</f>
        <v>Z000082006Z010101006</v>
      </c>
    </row>
    <row r="567" spans="1:11" outlineLevel="1" x14ac:dyDescent="0.2">
      <c r="A567" s="29"/>
      <c r="B567" s="30" t="s">
        <v>1561</v>
      </c>
      <c r="C567" s="30" t="s">
        <v>1939</v>
      </c>
      <c r="D567" s="34" t="s">
        <v>1052</v>
      </c>
      <c r="E567" s="31">
        <v>4.1749999999999998</v>
      </c>
      <c r="F567" s="31">
        <v>9.8886000000000003</v>
      </c>
      <c r="G567" s="32">
        <f t="shared" si="87"/>
        <v>41.284905000000002</v>
      </c>
      <c r="H567" s="33">
        <f t="shared" si="86"/>
        <v>2.1406433364434611E-7</v>
      </c>
      <c r="K567" t="str">
        <f xml:space="preserve"> B565 &amp; B567</f>
        <v>Z000082006Z010105001</v>
      </c>
    </row>
    <row r="568" spans="1:11" outlineLevel="1" x14ac:dyDescent="0.2">
      <c r="A568" s="29"/>
      <c r="B568" s="30" t="s">
        <v>1371</v>
      </c>
      <c r="C568" s="30" t="s">
        <v>2406</v>
      </c>
      <c r="D568" s="34" t="s">
        <v>1781</v>
      </c>
      <c r="E568" s="31">
        <v>32.982500000000002</v>
      </c>
      <c r="F568" s="31">
        <v>0.22</v>
      </c>
      <c r="G568" s="32">
        <f t="shared" si="87"/>
        <v>7.2561500000000008</v>
      </c>
      <c r="H568" s="33">
        <f t="shared" si="86"/>
        <v>3.76235070559911E-8</v>
      </c>
      <c r="K568" t="str">
        <f xml:space="preserve"> B565 &amp; B568</f>
        <v>Z000082006Z030107001</v>
      </c>
    </row>
    <row r="569" spans="1:11" outlineLevel="1" x14ac:dyDescent="0.2">
      <c r="A569" s="29"/>
      <c r="B569" s="30" t="s">
        <v>935</v>
      </c>
      <c r="C569" s="30" t="s">
        <v>1352</v>
      </c>
      <c r="D569" s="34" t="s">
        <v>151</v>
      </c>
      <c r="E569" s="31">
        <v>0</v>
      </c>
      <c r="F569" s="31">
        <v>15.1457</v>
      </c>
      <c r="G569" s="32">
        <f t="shared" si="87"/>
        <v>0</v>
      </c>
      <c r="H569" s="33">
        <f t="shared" si="86"/>
        <v>0</v>
      </c>
      <c r="K569" t="str">
        <f xml:space="preserve"> B565 &amp; B569</f>
        <v>Z000082006Z040201001</v>
      </c>
    </row>
    <row r="570" spans="1:11" outlineLevel="1" x14ac:dyDescent="0.2">
      <c r="A570" s="29"/>
      <c r="B570" s="30" t="s">
        <v>792</v>
      </c>
      <c r="C570" s="30" t="s">
        <v>335</v>
      </c>
      <c r="D570" s="34" t="s">
        <v>151</v>
      </c>
      <c r="E570" s="31">
        <v>0</v>
      </c>
      <c r="F570" s="31">
        <v>11.1343</v>
      </c>
      <c r="G570" s="32">
        <f t="shared" si="87"/>
        <v>0</v>
      </c>
      <c r="H570" s="33">
        <f t="shared" si="86"/>
        <v>0</v>
      </c>
      <c r="K570" t="str">
        <f xml:space="preserve"> B565 &amp; B570</f>
        <v>Z000082006Z040202001</v>
      </c>
    </row>
    <row r="571" spans="1:11" outlineLevel="1" x14ac:dyDescent="0.2">
      <c r="A571" s="29"/>
      <c r="B571" s="30" t="s">
        <v>1505</v>
      </c>
      <c r="C571" s="30" t="s">
        <v>1976</v>
      </c>
      <c r="D571" s="34" t="s">
        <v>1052</v>
      </c>
      <c r="E571" s="31">
        <v>167</v>
      </c>
      <c r="F571" s="31">
        <v>0.87</v>
      </c>
      <c r="G571" s="32">
        <f t="shared" si="87"/>
        <v>145.29</v>
      </c>
      <c r="H571" s="33">
        <f t="shared" si="86"/>
        <v>7.5333604461938431E-7</v>
      </c>
      <c r="K571" t="str">
        <f xml:space="preserve"> B565 &amp; B571</f>
        <v>Z000082006Z040303009</v>
      </c>
    </row>
    <row r="572" spans="1:11" outlineLevel="1" x14ac:dyDescent="0.2">
      <c r="A572" s="29"/>
      <c r="B572" s="30" t="s">
        <v>1553</v>
      </c>
      <c r="C572" s="30" t="s">
        <v>484</v>
      </c>
      <c r="D572" s="34" t="s">
        <v>1052</v>
      </c>
      <c r="E572" s="31">
        <v>167</v>
      </c>
      <c r="F572" s="31">
        <v>3.51</v>
      </c>
      <c r="G572" s="32">
        <f t="shared" si="87"/>
        <v>586.16999999999996</v>
      </c>
      <c r="H572" s="33">
        <f t="shared" si="86"/>
        <v>3.0393212834644126E-6</v>
      </c>
      <c r="K572" t="str">
        <f xml:space="preserve"> B565 &amp; B572</f>
        <v>Z000082006Z040303012</v>
      </c>
    </row>
    <row r="573" spans="1:11" outlineLevel="1" x14ac:dyDescent="0.2">
      <c r="A573" s="29"/>
      <c r="B573" s="30" t="s">
        <v>498</v>
      </c>
      <c r="C573" s="30" t="s">
        <v>773</v>
      </c>
      <c r="D573" s="34" t="s">
        <v>84</v>
      </c>
      <c r="E573" s="31">
        <v>200.4</v>
      </c>
      <c r="F573" s="31">
        <v>0</v>
      </c>
      <c r="G573" s="32">
        <f t="shared" si="87"/>
        <v>0</v>
      </c>
      <c r="H573" s="33">
        <f t="shared" si="86"/>
        <v>0</v>
      </c>
      <c r="K573" t="str">
        <f xml:space="preserve"> B565 &amp; B573</f>
        <v>Z000082006Z040401001</v>
      </c>
    </row>
    <row r="574" spans="1:11" outlineLevel="1" x14ac:dyDescent="0.2">
      <c r="A574" s="11" t="s">
        <v>4888</v>
      </c>
      <c r="B574" s="11" t="s">
        <v>4887</v>
      </c>
      <c r="C574" s="11" t="s">
        <v>4890</v>
      </c>
      <c r="D574" s="12" t="s">
        <v>1052</v>
      </c>
      <c r="E574" s="13">
        <v>586</v>
      </c>
      <c r="F574" s="14">
        <v>10.665628</v>
      </c>
      <c r="G574" s="15">
        <f>SUM(G575:G582)</f>
        <v>6250.058008</v>
      </c>
      <c r="H574" s="16">
        <f t="shared" si="86"/>
        <v>3.2406868871831702E-5</v>
      </c>
    </row>
    <row r="575" spans="1:11" outlineLevel="1" x14ac:dyDescent="0.2">
      <c r="A575" s="29"/>
      <c r="B575" s="30" t="s">
        <v>116</v>
      </c>
      <c r="C575" s="30" t="s">
        <v>516</v>
      </c>
      <c r="D575" s="34" t="s">
        <v>1052</v>
      </c>
      <c r="E575" s="31">
        <v>588.92999999999995</v>
      </c>
      <c r="F575" s="31">
        <v>5.9786000000000001</v>
      </c>
      <c r="G575" s="32">
        <f t="shared" ref="G575:G582" si="88">F575*E575</f>
        <v>3520.9768979999999</v>
      </c>
      <c r="H575" s="33">
        <f t="shared" si="86"/>
        <v>1.8256444418305111E-5</v>
      </c>
      <c r="K575" t="str">
        <f xml:space="preserve"> B574 &amp; B575</f>
        <v>Z000082007Z010101007</v>
      </c>
    </row>
    <row r="576" spans="1:11" outlineLevel="1" x14ac:dyDescent="0.2">
      <c r="A576" s="29"/>
      <c r="B576" s="30" t="s">
        <v>1561</v>
      </c>
      <c r="C576" s="30" t="s">
        <v>1939</v>
      </c>
      <c r="D576" s="34" t="s">
        <v>1052</v>
      </c>
      <c r="E576" s="31">
        <v>14.65</v>
      </c>
      <c r="F576" s="31">
        <v>9.8886000000000003</v>
      </c>
      <c r="G576" s="32">
        <f t="shared" si="88"/>
        <v>144.86799000000002</v>
      </c>
      <c r="H576" s="33">
        <f t="shared" si="86"/>
        <v>7.511479012909391E-7</v>
      </c>
      <c r="K576" t="str">
        <f xml:space="preserve"> B574 &amp; B576</f>
        <v>Z000082007Z010105001</v>
      </c>
    </row>
    <row r="577" spans="1:11" outlineLevel="1" x14ac:dyDescent="0.2">
      <c r="A577" s="29"/>
      <c r="B577" s="30" t="s">
        <v>1371</v>
      </c>
      <c r="C577" s="30" t="s">
        <v>2406</v>
      </c>
      <c r="D577" s="34" t="s">
        <v>1781</v>
      </c>
      <c r="E577" s="31">
        <v>79.696000000000012</v>
      </c>
      <c r="F577" s="31">
        <v>0.22</v>
      </c>
      <c r="G577" s="32">
        <f t="shared" si="88"/>
        <v>17.533120000000004</v>
      </c>
      <c r="H577" s="33">
        <f t="shared" si="86"/>
        <v>9.0910119558379954E-8</v>
      </c>
      <c r="K577" t="str">
        <f xml:space="preserve"> B574 &amp; B577</f>
        <v>Z000082007Z030107001</v>
      </c>
    </row>
    <row r="578" spans="1:11" outlineLevel="1" x14ac:dyDescent="0.2">
      <c r="A578" s="29"/>
      <c r="B578" s="30" t="s">
        <v>935</v>
      </c>
      <c r="C578" s="30" t="s">
        <v>1352</v>
      </c>
      <c r="D578" s="34" t="s">
        <v>151</v>
      </c>
      <c r="E578" s="31">
        <v>0</v>
      </c>
      <c r="F578" s="31">
        <v>15.1457</v>
      </c>
      <c r="G578" s="32">
        <f t="shared" si="88"/>
        <v>0</v>
      </c>
      <c r="H578" s="33">
        <f t="shared" si="86"/>
        <v>0</v>
      </c>
      <c r="K578" t="str">
        <f xml:space="preserve"> B574 &amp; B578</f>
        <v>Z000082007Z040201001</v>
      </c>
    </row>
    <row r="579" spans="1:11" outlineLevel="1" x14ac:dyDescent="0.2">
      <c r="A579" s="29"/>
      <c r="B579" s="30" t="s">
        <v>792</v>
      </c>
      <c r="C579" s="30" t="s">
        <v>335</v>
      </c>
      <c r="D579" s="34" t="s">
        <v>151</v>
      </c>
      <c r="E579" s="31">
        <v>0</v>
      </c>
      <c r="F579" s="31">
        <v>11.1343</v>
      </c>
      <c r="G579" s="32">
        <f t="shared" si="88"/>
        <v>0</v>
      </c>
      <c r="H579" s="33">
        <f t="shared" si="86"/>
        <v>0</v>
      </c>
      <c r="K579" t="str">
        <f xml:space="preserve"> B574 &amp; B579</f>
        <v>Z000082007Z040202001</v>
      </c>
    </row>
    <row r="580" spans="1:11" outlineLevel="1" x14ac:dyDescent="0.2">
      <c r="A580" s="29"/>
      <c r="B580" s="30" t="s">
        <v>1505</v>
      </c>
      <c r="C580" s="30" t="s">
        <v>1976</v>
      </c>
      <c r="D580" s="34" t="s">
        <v>1052</v>
      </c>
      <c r="E580" s="31">
        <v>586</v>
      </c>
      <c r="F580" s="31">
        <v>0.87</v>
      </c>
      <c r="G580" s="32">
        <f t="shared" si="88"/>
        <v>509.82</v>
      </c>
      <c r="H580" s="33">
        <f t="shared" si="86"/>
        <v>2.6434426475865824E-6</v>
      </c>
      <c r="K580" t="str">
        <f xml:space="preserve"> B574 &amp; B580</f>
        <v>Z000082007Z040303009</v>
      </c>
    </row>
    <row r="581" spans="1:11" outlineLevel="1" x14ac:dyDescent="0.2">
      <c r="A581" s="29"/>
      <c r="B581" s="30" t="s">
        <v>1553</v>
      </c>
      <c r="C581" s="30" t="s">
        <v>484</v>
      </c>
      <c r="D581" s="34" t="s">
        <v>1052</v>
      </c>
      <c r="E581" s="31">
        <v>586</v>
      </c>
      <c r="F581" s="31">
        <v>3.51</v>
      </c>
      <c r="G581" s="32">
        <f t="shared" si="88"/>
        <v>2056.8599999999997</v>
      </c>
      <c r="H581" s="33">
        <f t="shared" si="86"/>
        <v>1.0664923785090693E-5</v>
      </c>
      <c r="K581" t="str">
        <f xml:space="preserve"> B574 &amp; B581</f>
        <v>Z000082007Z040303012</v>
      </c>
    </row>
    <row r="582" spans="1:11" outlineLevel="1" x14ac:dyDescent="0.2">
      <c r="A582" s="29"/>
      <c r="B582" s="30" t="s">
        <v>498</v>
      </c>
      <c r="C582" s="30" t="s">
        <v>773</v>
      </c>
      <c r="D582" s="34" t="s">
        <v>84</v>
      </c>
      <c r="E582" s="31">
        <v>703.19999999999993</v>
      </c>
      <c r="F582" s="31">
        <v>0</v>
      </c>
      <c r="G582" s="32">
        <f t="shared" si="88"/>
        <v>0</v>
      </c>
      <c r="H582" s="33">
        <f t="shared" si="86"/>
        <v>0</v>
      </c>
      <c r="K582" t="str">
        <f xml:space="preserve"> B574 &amp; B582</f>
        <v>Z000082007Z040401001</v>
      </c>
    </row>
    <row r="583" spans="1:11" ht="15" x14ac:dyDescent="0.2">
      <c r="A583" s="17" t="s">
        <v>2014</v>
      </c>
      <c r="B583" s="17" t="s">
        <v>328</v>
      </c>
      <c r="C583" s="17" t="s">
        <v>1569</v>
      </c>
      <c r="D583" s="18"/>
      <c r="E583" s="19"/>
      <c r="F583" s="20"/>
      <c r="G583" s="21">
        <f>SUM(G584,G594,G604)</f>
        <v>503076.92663572676</v>
      </c>
      <c r="H583" s="22">
        <f t="shared" si="83"/>
        <v>2.6084794690001693E-3</v>
      </c>
    </row>
    <row r="584" spans="1:11" outlineLevel="1" x14ac:dyDescent="0.2">
      <c r="A584" s="11" t="s">
        <v>72</v>
      </c>
      <c r="B584" s="11" t="s">
        <v>1693</v>
      </c>
      <c r="C584" s="11" t="s">
        <v>2770</v>
      </c>
      <c r="D584" s="12" t="s">
        <v>1153</v>
      </c>
      <c r="E584" s="13">
        <v>587.41</v>
      </c>
      <c r="F584" s="14">
        <v>797.34500000000003</v>
      </c>
      <c r="G584" s="15">
        <f>SUM(G585:G593)</f>
        <v>468368.42644999997</v>
      </c>
      <c r="H584" s="16">
        <f t="shared" si="83"/>
        <v>2.4285141290277929E-3</v>
      </c>
    </row>
    <row r="585" spans="1:11" outlineLevel="1" x14ac:dyDescent="0.2">
      <c r="A585" s="29"/>
      <c r="B585" s="30" t="s">
        <v>814</v>
      </c>
      <c r="C585" s="30" t="s">
        <v>1959</v>
      </c>
      <c r="D585" s="34" t="s">
        <v>1153</v>
      </c>
      <c r="E585" s="31">
        <v>607.96934999999996</v>
      </c>
      <c r="F585" s="31">
        <v>55</v>
      </c>
      <c r="G585" s="32">
        <f t="shared" ref="G585:G593" si="89">F585*E585</f>
        <v>33438.314249999996</v>
      </c>
      <c r="H585" s="33">
        <f t="shared" si="83"/>
        <v>1.7337936124877827E-4</v>
      </c>
      <c r="K585" t="str">
        <f xml:space="preserve"> B584 &amp; B585</f>
        <v>Z000084011Z010201001</v>
      </c>
    </row>
    <row r="586" spans="1:11" outlineLevel="1" x14ac:dyDescent="0.2">
      <c r="A586" s="29"/>
      <c r="B586" s="30" t="s">
        <v>818</v>
      </c>
      <c r="C586" s="30" t="s">
        <v>2424</v>
      </c>
      <c r="D586" s="34" t="s">
        <v>1153</v>
      </c>
      <c r="E586" s="31">
        <v>67.552149999999997</v>
      </c>
      <c r="F586" s="31">
        <v>100</v>
      </c>
      <c r="G586" s="32">
        <f t="shared" si="89"/>
        <v>6755.2150000000001</v>
      </c>
      <c r="H586" s="33">
        <f t="shared" si="83"/>
        <v>3.5026133585611776E-5</v>
      </c>
      <c r="K586" t="str">
        <f xml:space="preserve"> B584 &amp; B586</f>
        <v>Z000084011Z010201002</v>
      </c>
    </row>
    <row r="587" spans="1:11" outlineLevel="1" x14ac:dyDescent="0.2">
      <c r="A587" s="29"/>
      <c r="B587" s="30" t="s">
        <v>688</v>
      </c>
      <c r="C587" s="30" t="s">
        <v>268</v>
      </c>
      <c r="D587" s="34" t="s">
        <v>1153</v>
      </c>
      <c r="E587" s="31">
        <v>675.52149999999995</v>
      </c>
      <c r="F587" s="31">
        <v>550</v>
      </c>
      <c r="G587" s="32">
        <f t="shared" si="89"/>
        <v>371536.82499999995</v>
      </c>
      <c r="H587" s="33">
        <f t="shared" si="83"/>
        <v>1.9264373472086473E-3</v>
      </c>
      <c r="K587" t="str">
        <f xml:space="preserve"> B584 &amp; B587</f>
        <v>Z000084011Z010202005</v>
      </c>
    </row>
    <row r="588" spans="1:11" outlineLevel="1" x14ac:dyDescent="0.2">
      <c r="A588" s="29"/>
      <c r="B588" s="30" t="s">
        <v>1009</v>
      </c>
      <c r="C588" s="30" t="s">
        <v>672</v>
      </c>
      <c r="D588" s="34" t="s">
        <v>151</v>
      </c>
      <c r="E588" s="31">
        <v>0</v>
      </c>
      <c r="F588" s="31">
        <v>16.489999999999998</v>
      </c>
      <c r="G588" s="32">
        <f t="shared" si="89"/>
        <v>0</v>
      </c>
      <c r="H588" s="33">
        <f t="shared" si="83"/>
        <v>0</v>
      </c>
      <c r="K588" t="str">
        <f xml:space="preserve"> B584 &amp; B588</f>
        <v>Z000084011Z040201013</v>
      </c>
    </row>
    <row r="589" spans="1:11" outlineLevel="1" x14ac:dyDescent="0.2">
      <c r="A589" s="29"/>
      <c r="B589" s="30" t="s">
        <v>801</v>
      </c>
      <c r="C589" s="30" t="s">
        <v>402</v>
      </c>
      <c r="D589" s="34" t="s">
        <v>151</v>
      </c>
      <c r="E589" s="31">
        <v>0</v>
      </c>
      <c r="F589" s="31">
        <v>10.3</v>
      </c>
      <c r="G589" s="32">
        <f t="shared" si="89"/>
        <v>0</v>
      </c>
      <c r="H589" s="33">
        <f t="shared" si="83"/>
        <v>0</v>
      </c>
      <c r="K589" t="str">
        <f xml:space="preserve"> B584 &amp; B589</f>
        <v>Z000084011Z040202006</v>
      </c>
    </row>
    <row r="590" spans="1:11" outlineLevel="1" x14ac:dyDescent="0.2">
      <c r="A590" s="29"/>
      <c r="B590" s="30" t="s">
        <v>1575</v>
      </c>
      <c r="C590" s="30" t="s">
        <v>2428</v>
      </c>
      <c r="D590" s="34" t="s">
        <v>1153</v>
      </c>
      <c r="E590" s="31">
        <v>587.41</v>
      </c>
      <c r="F590" s="31">
        <v>96.42</v>
      </c>
      <c r="G590" s="32">
        <f t="shared" si="89"/>
        <v>56638.072199999995</v>
      </c>
      <c r="H590" s="33">
        <f t="shared" si="83"/>
        <v>2.9367128698475536E-4</v>
      </c>
      <c r="K590" t="str">
        <f xml:space="preserve"> B584 &amp; B590</f>
        <v>Z000084011Z040303017</v>
      </c>
    </row>
    <row r="591" spans="1:11" outlineLevel="1" x14ac:dyDescent="0.2">
      <c r="A591" s="29"/>
      <c r="B591" s="30" t="s">
        <v>498</v>
      </c>
      <c r="C591" s="30" t="s">
        <v>773</v>
      </c>
      <c r="D591" s="34" t="s">
        <v>84</v>
      </c>
      <c r="E591" s="31">
        <v>704.89199999999994</v>
      </c>
      <c r="F591" s="31">
        <v>0</v>
      </c>
      <c r="G591" s="32">
        <f t="shared" si="89"/>
        <v>0</v>
      </c>
      <c r="H591" s="33">
        <f t="shared" si="83"/>
        <v>0</v>
      </c>
      <c r="K591" t="str">
        <f xml:space="preserve"> B584 &amp; B591</f>
        <v>Z000084011Z040401001</v>
      </c>
    </row>
    <row r="592" spans="1:11" outlineLevel="1" x14ac:dyDescent="0.2">
      <c r="A592" s="29"/>
      <c r="B592" s="30" t="s">
        <v>1968</v>
      </c>
      <c r="C592" s="30" t="s">
        <v>2500</v>
      </c>
      <c r="D592" s="34" t="s">
        <v>764</v>
      </c>
      <c r="E592" s="31">
        <v>0</v>
      </c>
      <c r="F592" s="31">
        <v>1.39</v>
      </c>
      <c r="G592" s="32">
        <f t="shared" si="89"/>
        <v>0</v>
      </c>
      <c r="H592" s="33">
        <f t="shared" si="83"/>
        <v>0</v>
      </c>
      <c r="K592" t="str">
        <f xml:space="preserve"> B584 &amp; B592</f>
        <v>Z000084011Z050103005</v>
      </c>
    </row>
    <row r="593" spans="1:11" outlineLevel="1" x14ac:dyDescent="0.2">
      <c r="A593" s="29"/>
      <c r="B593" s="30" t="s">
        <v>1969</v>
      </c>
      <c r="C593" s="30" t="s">
        <v>2502</v>
      </c>
      <c r="D593" s="34" t="s">
        <v>742</v>
      </c>
      <c r="E593" s="31">
        <v>0</v>
      </c>
      <c r="F593" s="31">
        <v>0.53</v>
      </c>
      <c r="G593" s="32">
        <f t="shared" si="89"/>
        <v>0</v>
      </c>
      <c r="H593" s="33">
        <f t="shared" si="83"/>
        <v>0</v>
      </c>
      <c r="K593" t="str">
        <f xml:space="preserve"> B584 &amp; B593</f>
        <v>Z000084011Z050103006</v>
      </c>
    </row>
    <row r="594" spans="1:11" outlineLevel="1" x14ac:dyDescent="0.2">
      <c r="A594" s="11" t="s">
        <v>75</v>
      </c>
      <c r="B594" s="11" t="s">
        <v>1623</v>
      </c>
      <c r="C594" s="11" t="s">
        <v>2749</v>
      </c>
      <c r="D594" s="12" t="s">
        <v>1153</v>
      </c>
      <c r="E594" s="13">
        <v>35.93</v>
      </c>
      <c r="F594" s="14">
        <v>785.84500000000003</v>
      </c>
      <c r="G594" s="15">
        <f>SUM(G595:G603)</f>
        <v>28235.41085</v>
      </c>
      <c r="H594" s="16">
        <f t="shared" si="83"/>
        <v>1.4640204231497177E-4</v>
      </c>
    </row>
    <row r="595" spans="1:11" outlineLevel="1" x14ac:dyDescent="0.2">
      <c r="A595" s="29"/>
      <c r="B595" s="30" t="s">
        <v>814</v>
      </c>
      <c r="C595" s="30" t="s">
        <v>1959</v>
      </c>
      <c r="D595" s="34" t="s">
        <v>1153</v>
      </c>
      <c r="E595" s="31">
        <v>37.187549999999995</v>
      </c>
      <c r="F595" s="31">
        <v>55</v>
      </c>
      <c r="G595" s="32">
        <f t="shared" ref="G595:G603" si="90">F595*E595</f>
        <v>2045.3152499999997</v>
      </c>
      <c r="H595" s="33">
        <f t="shared" si="83"/>
        <v>1.0605063668763899E-5</v>
      </c>
      <c r="K595" t="str">
        <f xml:space="preserve"> B594 &amp; B595</f>
        <v>Z000084001Z010201001</v>
      </c>
    </row>
    <row r="596" spans="1:11" outlineLevel="1" x14ac:dyDescent="0.2">
      <c r="A596" s="29"/>
      <c r="B596" s="30" t="s">
        <v>818</v>
      </c>
      <c r="C596" s="30" t="s">
        <v>2424</v>
      </c>
      <c r="D596" s="34" t="s">
        <v>1153</v>
      </c>
      <c r="E596" s="31">
        <v>4.1319499999999998</v>
      </c>
      <c r="F596" s="31">
        <v>100</v>
      </c>
      <c r="G596" s="32">
        <f t="shared" si="90"/>
        <v>413.19499999999999</v>
      </c>
      <c r="H596" s="33">
        <f t="shared" si="83"/>
        <v>2.1424371048007883E-6</v>
      </c>
      <c r="K596" t="str">
        <f xml:space="preserve"> B594 &amp; B596</f>
        <v>Z000084001Z010201002</v>
      </c>
    </row>
    <row r="597" spans="1:11" outlineLevel="1" x14ac:dyDescent="0.2">
      <c r="A597" s="29"/>
      <c r="B597" s="30" t="s">
        <v>686</v>
      </c>
      <c r="C597" s="30" t="s">
        <v>846</v>
      </c>
      <c r="D597" s="34" t="s">
        <v>1153</v>
      </c>
      <c r="E597" s="31">
        <v>41.319499999999998</v>
      </c>
      <c r="F597" s="31">
        <v>540</v>
      </c>
      <c r="G597" s="32">
        <f t="shared" si="90"/>
        <v>22312.53</v>
      </c>
      <c r="H597" s="33">
        <f t="shared" si="83"/>
        <v>1.1569160365924256E-4</v>
      </c>
      <c r="K597" t="str">
        <f xml:space="preserve"> B594 &amp; B597</f>
        <v>Z000084001Z010202004</v>
      </c>
    </row>
    <row r="598" spans="1:11" outlineLevel="1" x14ac:dyDescent="0.2">
      <c r="A598" s="29"/>
      <c r="B598" s="30" t="s">
        <v>1009</v>
      </c>
      <c r="C598" s="30" t="s">
        <v>672</v>
      </c>
      <c r="D598" s="34" t="s">
        <v>151</v>
      </c>
      <c r="E598" s="31">
        <v>0</v>
      </c>
      <c r="F598" s="31">
        <v>16.489999999999998</v>
      </c>
      <c r="G598" s="32">
        <f t="shared" si="90"/>
        <v>0</v>
      </c>
      <c r="H598" s="33">
        <f t="shared" si="83"/>
        <v>0</v>
      </c>
      <c r="K598" t="str">
        <f xml:space="preserve"> B594 &amp; B598</f>
        <v>Z000084001Z040201013</v>
      </c>
    </row>
    <row r="599" spans="1:11" outlineLevel="1" x14ac:dyDescent="0.2">
      <c r="A599" s="29"/>
      <c r="B599" s="30" t="s">
        <v>801</v>
      </c>
      <c r="C599" s="30" t="s">
        <v>402</v>
      </c>
      <c r="D599" s="34" t="s">
        <v>151</v>
      </c>
      <c r="E599" s="31">
        <v>0</v>
      </c>
      <c r="F599" s="31">
        <v>10.3</v>
      </c>
      <c r="G599" s="32">
        <f t="shared" si="90"/>
        <v>0</v>
      </c>
      <c r="H599" s="33">
        <f t="shared" si="83"/>
        <v>0</v>
      </c>
      <c r="K599" t="str">
        <f xml:space="preserve"> B594 &amp; B599</f>
        <v>Z000084001Z040202006</v>
      </c>
    </row>
    <row r="600" spans="1:11" outlineLevel="1" x14ac:dyDescent="0.2">
      <c r="A600" s="29"/>
      <c r="B600" s="30" t="s">
        <v>1575</v>
      </c>
      <c r="C600" s="30" t="s">
        <v>2428</v>
      </c>
      <c r="D600" s="34" t="s">
        <v>1153</v>
      </c>
      <c r="E600" s="31">
        <v>35.93</v>
      </c>
      <c r="F600" s="31">
        <v>96.42</v>
      </c>
      <c r="G600" s="32">
        <f t="shared" si="90"/>
        <v>3464.3706000000002</v>
      </c>
      <c r="H600" s="33">
        <f t="shared" si="83"/>
        <v>1.7962937882164521E-5</v>
      </c>
      <c r="K600" t="str">
        <f xml:space="preserve"> B594 &amp; B600</f>
        <v>Z000084001Z040303017</v>
      </c>
    </row>
    <row r="601" spans="1:11" outlineLevel="1" x14ac:dyDescent="0.2">
      <c r="A601" s="29"/>
      <c r="B601" s="30" t="s">
        <v>498</v>
      </c>
      <c r="C601" s="30" t="s">
        <v>773</v>
      </c>
      <c r="D601" s="34" t="s">
        <v>84</v>
      </c>
      <c r="E601" s="31">
        <v>43.116</v>
      </c>
      <c r="F601" s="31">
        <v>0</v>
      </c>
      <c r="G601" s="32">
        <f t="shared" si="90"/>
        <v>0</v>
      </c>
      <c r="H601" s="33">
        <f t="shared" si="83"/>
        <v>0</v>
      </c>
      <c r="K601" t="str">
        <f xml:space="preserve"> B594 &amp; B601</f>
        <v>Z000084001Z040401001</v>
      </c>
    </row>
    <row r="602" spans="1:11" outlineLevel="1" x14ac:dyDescent="0.2">
      <c r="A602" s="29"/>
      <c r="B602" s="30" t="s">
        <v>1968</v>
      </c>
      <c r="C602" s="30" t="s">
        <v>2500</v>
      </c>
      <c r="D602" s="34" t="s">
        <v>764</v>
      </c>
      <c r="E602" s="31">
        <v>0</v>
      </c>
      <c r="F602" s="31">
        <v>1.39</v>
      </c>
      <c r="G602" s="32">
        <f t="shared" si="90"/>
        <v>0</v>
      </c>
      <c r="H602" s="33">
        <f t="shared" si="83"/>
        <v>0</v>
      </c>
      <c r="K602" t="str">
        <f xml:space="preserve"> B594 &amp; B602</f>
        <v>Z000084001Z050103005</v>
      </c>
    </row>
    <row r="603" spans="1:11" outlineLevel="1" x14ac:dyDescent="0.2">
      <c r="A603" s="29"/>
      <c r="B603" s="30" t="s">
        <v>1969</v>
      </c>
      <c r="C603" s="30" t="s">
        <v>2502</v>
      </c>
      <c r="D603" s="34" t="s">
        <v>742</v>
      </c>
      <c r="E603" s="31">
        <v>0</v>
      </c>
      <c r="F603" s="31">
        <v>0.53</v>
      </c>
      <c r="G603" s="32">
        <f t="shared" si="90"/>
        <v>0</v>
      </c>
      <c r="H603" s="33">
        <f t="shared" si="83"/>
        <v>0</v>
      </c>
      <c r="K603" t="str">
        <f xml:space="preserve"> B594 &amp; B603</f>
        <v>Z000084001Z050103006</v>
      </c>
    </row>
    <row r="604" spans="1:11" outlineLevel="1" x14ac:dyDescent="0.2">
      <c r="A604" s="11" t="s">
        <v>77</v>
      </c>
      <c r="B604" s="11" t="s">
        <v>1101</v>
      </c>
      <c r="C604" s="11" t="s">
        <v>2808</v>
      </c>
      <c r="D604" s="12" t="s">
        <v>1152</v>
      </c>
      <c r="E604" s="13">
        <v>489.62</v>
      </c>
      <c r="F604" s="14">
        <v>13.220639139999999</v>
      </c>
      <c r="G604" s="15">
        <f>SUM(G605:G614)</f>
        <v>6473.0893357267996</v>
      </c>
      <c r="H604" s="16">
        <f t="shared" si="83"/>
        <v>3.3563297657404811E-5</v>
      </c>
    </row>
    <row r="605" spans="1:11" outlineLevel="1" x14ac:dyDescent="0.2">
      <c r="A605" s="29"/>
      <c r="B605" s="30" t="s">
        <v>1654</v>
      </c>
      <c r="C605" s="30" t="s">
        <v>1551</v>
      </c>
      <c r="D605" s="34" t="s">
        <v>1052</v>
      </c>
      <c r="E605" s="31">
        <v>3542.9392820000003</v>
      </c>
      <c r="F605" s="31">
        <v>0.7974</v>
      </c>
      <c r="G605" s="32">
        <f t="shared" ref="G605:G614" si="91">F605*E605</f>
        <v>2825.1397834668001</v>
      </c>
      <c r="H605" s="33">
        <f t="shared" si="83"/>
        <v>1.4648493564414227E-5</v>
      </c>
      <c r="K605" t="str">
        <f xml:space="preserve"> B604 &amp; B605</f>
        <v>Z000088001Z010301001</v>
      </c>
    </row>
    <row r="606" spans="1:11" outlineLevel="1" x14ac:dyDescent="0.2">
      <c r="A606" s="29"/>
      <c r="B606" s="30" t="s">
        <v>1379</v>
      </c>
      <c r="C606" s="30" t="s">
        <v>1626</v>
      </c>
      <c r="D606" s="34" t="s">
        <v>1153</v>
      </c>
      <c r="E606" s="31">
        <v>9.6455140000000004</v>
      </c>
      <c r="F606" s="31">
        <v>116.09</v>
      </c>
      <c r="G606" s="32">
        <f t="shared" si="91"/>
        <v>1119.7477202600001</v>
      </c>
      <c r="H606" s="33">
        <f t="shared" si="83"/>
        <v>5.8059489197621398E-6</v>
      </c>
      <c r="K606" t="str">
        <f xml:space="preserve"> B604 &amp; B606</f>
        <v>Z000088001Z010303003</v>
      </c>
    </row>
    <row r="607" spans="1:11" outlineLevel="1" x14ac:dyDescent="0.2">
      <c r="A607" s="29"/>
      <c r="B607" s="30" t="s">
        <v>1258</v>
      </c>
      <c r="C607" s="30" t="s">
        <v>1526</v>
      </c>
      <c r="D607" s="34" t="s">
        <v>1153</v>
      </c>
      <c r="E607" s="31">
        <v>13.807283999999999</v>
      </c>
      <c r="F607" s="31">
        <v>148</v>
      </c>
      <c r="G607" s="32">
        <f t="shared" si="91"/>
        <v>2043.478032</v>
      </c>
      <c r="H607" s="33">
        <f t="shared" si="83"/>
        <v>1.0595537599927619E-5</v>
      </c>
      <c r="K607" t="str">
        <f xml:space="preserve"> B604 &amp; B607</f>
        <v>Z000088001Z010304001</v>
      </c>
    </row>
    <row r="608" spans="1:11" outlineLevel="1" x14ac:dyDescent="0.2">
      <c r="A608" s="29"/>
      <c r="B608" s="30" t="s">
        <v>1009</v>
      </c>
      <c r="C608" s="30" t="s">
        <v>672</v>
      </c>
      <c r="D608" s="34" t="s">
        <v>151</v>
      </c>
      <c r="E608" s="31">
        <v>0</v>
      </c>
      <c r="F608" s="31">
        <v>16.489999999999998</v>
      </c>
      <c r="G608" s="32">
        <f t="shared" si="91"/>
        <v>0</v>
      </c>
      <c r="H608" s="33">
        <f t="shared" si="83"/>
        <v>0</v>
      </c>
      <c r="K608" t="str">
        <f xml:space="preserve"> B604 &amp; B608</f>
        <v>Z000088001Z040201013</v>
      </c>
    </row>
    <row r="609" spans="1:11" outlineLevel="1" x14ac:dyDescent="0.2">
      <c r="A609" s="29"/>
      <c r="B609" s="30" t="s">
        <v>801</v>
      </c>
      <c r="C609" s="30" t="s">
        <v>402</v>
      </c>
      <c r="D609" s="34" t="s">
        <v>151</v>
      </c>
      <c r="E609" s="31">
        <v>0</v>
      </c>
      <c r="F609" s="31">
        <v>10.3</v>
      </c>
      <c r="G609" s="32">
        <f t="shared" si="91"/>
        <v>0</v>
      </c>
      <c r="H609" s="33">
        <f t="shared" si="83"/>
        <v>0</v>
      </c>
      <c r="K609" t="str">
        <f xml:space="preserve"> B604 &amp; B609</f>
        <v>Z000088001Z040202006</v>
      </c>
    </row>
    <row r="610" spans="1:11" outlineLevel="1" x14ac:dyDescent="0.2">
      <c r="A610" s="29"/>
      <c r="B610" s="30" t="s">
        <v>547</v>
      </c>
      <c r="C610" s="30" t="s">
        <v>2320</v>
      </c>
      <c r="D610" s="34" t="s">
        <v>151</v>
      </c>
      <c r="E610" s="31">
        <v>0</v>
      </c>
      <c r="F610" s="31">
        <v>13.51</v>
      </c>
      <c r="G610" s="32">
        <f t="shared" si="91"/>
        <v>0</v>
      </c>
      <c r="H610" s="33">
        <f t="shared" si="83"/>
        <v>0</v>
      </c>
      <c r="K610" t="str">
        <f xml:space="preserve"> B604 &amp; B610</f>
        <v>Z000088001Z040204001</v>
      </c>
    </row>
    <row r="611" spans="1:11" outlineLevel="1" x14ac:dyDescent="0.2">
      <c r="A611" s="29"/>
      <c r="B611" s="30" t="s">
        <v>1636</v>
      </c>
      <c r="C611" s="30" t="s">
        <v>2530</v>
      </c>
      <c r="D611" s="34" t="s">
        <v>1153</v>
      </c>
      <c r="E611" s="31">
        <v>14.688599999999999</v>
      </c>
      <c r="F611" s="31">
        <v>33</v>
      </c>
      <c r="G611" s="32">
        <f t="shared" si="91"/>
        <v>484.72379999999998</v>
      </c>
      <c r="H611" s="33">
        <f t="shared" si="83"/>
        <v>2.5133175733008295E-6</v>
      </c>
      <c r="K611" t="str">
        <f xml:space="preserve"> B604 &amp; B611</f>
        <v>Z000088001Z040303020</v>
      </c>
    </row>
    <row r="612" spans="1:11" outlineLevel="1" x14ac:dyDescent="0.2">
      <c r="A612" s="29"/>
      <c r="B612" s="30" t="s">
        <v>498</v>
      </c>
      <c r="C612" s="30" t="s">
        <v>773</v>
      </c>
      <c r="D612" s="34" t="s">
        <v>84</v>
      </c>
      <c r="E612" s="31">
        <v>587.54399999999998</v>
      </c>
      <c r="F612" s="31">
        <v>0</v>
      </c>
      <c r="G612" s="32">
        <f t="shared" si="91"/>
        <v>0</v>
      </c>
      <c r="H612" s="33">
        <f t="shared" si="83"/>
        <v>0</v>
      </c>
      <c r="K612" t="str">
        <f xml:space="preserve"> B604 &amp; B612</f>
        <v>Z000088001Z040401001</v>
      </c>
    </row>
    <row r="613" spans="1:11" outlineLevel="1" x14ac:dyDescent="0.2">
      <c r="A613" s="29"/>
      <c r="B613" s="30" t="s">
        <v>66</v>
      </c>
      <c r="C613" s="30" t="s">
        <v>617</v>
      </c>
      <c r="D613" s="34" t="s">
        <v>764</v>
      </c>
      <c r="E613" s="31">
        <v>0</v>
      </c>
      <c r="F613" s="31">
        <v>5.45</v>
      </c>
      <c r="G613" s="32">
        <f t="shared" si="91"/>
        <v>0</v>
      </c>
      <c r="H613" s="33">
        <f t="shared" si="83"/>
        <v>0</v>
      </c>
      <c r="K613" t="str">
        <f xml:space="preserve"> B604 &amp; B613</f>
        <v>Z000088001Z050103019</v>
      </c>
    </row>
    <row r="614" spans="1:11" outlineLevel="1" x14ac:dyDescent="0.2">
      <c r="A614" s="29"/>
      <c r="B614" s="30" t="s">
        <v>120</v>
      </c>
      <c r="C614" s="30" t="s">
        <v>597</v>
      </c>
      <c r="D614" s="34" t="s">
        <v>742</v>
      </c>
      <c r="E614" s="31">
        <v>0</v>
      </c>
      <c r="F614" s="31">
        <v>1.52</v>
      </c>
      <c r="G614" s="32">
        <f t="shared" si="91"/>
        <v>0</v>
      </c>
      <c r="H614" s="33">
        <f t="shared" si="83"/>
        <v>0</v>
      </c>
      <c r="K614" t="str">
        <f xml:space="preserve"> B604 &amp; B614</f>
        <v>Z000088001Z050103020</v>
      </c>
    </row>
    <row r="615" spans="1:11" ht="15" x14ac:dyDescent="0.2">
      <c r="A615" s="17" t="s">
        <v>2015</v>
      </c>
      <c r="B615" s="17" t="s">
        <v>328</v>
      </c>
      <c r="C615" s="17" t="s">
        <v>791</v>
      </c>
      <c r="D615" s="18"/>
      <c r="E615" s="19"/>
      <c r="F615" s="20"/>
      <c r="G615" s="21">
        <f>SUM(G616,G630)</f>
        <v>338194.82504704606</v>
      </c>
      <c r="H615" s="22">
        <f t="shared" si="83"/>
        <v>1.7535573804920255E-3</v>
      </c>
    </row>
    <row r="616" spans="1:11" outlineLevel="1" x14ac:dyDescent="0.2">
      <c r="A616" s="11" t="s">
        <v>1938</v>
      </c>
      <c r="B616" s="11" t="s">
        <v>1771</v>
      </c>
      <c r="C616" s="11" t="s">
        <v>2678</v>
      </c>
      <c r="D616" s="12" t="s">
        <v>1152</v>
      </c>
      <c r="E616" s="13">
        <v>1735.97</v>
      </c>
      <c r="F616" s="14">
        <v>82.420409000000006</v>
      </c>
      <c r="G616" s="15">
        <f>SUM(G617:G629)</f>
        <v>143079.35741173002</v>
      </c>
      <c r="H616" s="16">
        <f t="shared" si="83"/>
        <v>7.4187375028725918E-4</v>
      </c>
    </row>
    <row r="617" spans="1:11" outlineLevel="1" x14ac:dyDescent="0.2">
      <c r="A617" s="29"/>
      <c r="B617" s="30" t="s">
        <v>1043</v>
      </c>
      <c r="C617" s="30" t="s">
        <v>1497</v>
      </c>
      <c r="D617" s="34" t="s">
        <v>1052</v>
      </c>
      <c r="E617" s="31">
        <v>6.9438800000000001</v>
      </c>
      <c r="F617" s="31">
        <v>12.1</v>
      </c>
      <c r="G617" s="32">
        <f t="shared" ref="G617:G629" si="92">F617*E617</f>
        <v>84.020948000000004</v>
      </c>
      <c r="H617" s="33">
        <f t="shared" si="83"/>
        <v>4.3565289167520804E-7</v>
      </c>
      <c r="K617" t="str">
        <f xml:space="preserve"> B616 &amp; B617</f>
        <v>Z000083001Z010109003</v>
      </c>
    </row>
    <row r="618" spans="1:11" outlineLevel="1" x14ac:dyDescent="0.2">
      <c r="A618" s="29"/>
      <c r="B618" s="30" t="s">
        <v>1051</v>
      </c>
      <c r="C618" s="30" t="s">
        <v>1130</v>
      </c>
      <c r="D618" s="34" t="s">
        <v>1052</v>
      </c>
      <c r="E618" s="31">
        <v>32.983429999999998</v>
      </c>
      <c r="F618" s="31">
        <v>11.57</v>
      </c>
      <c r="G618" s="32">
        <f t="shared" si="92"/>
        <v>381.61828509999998</v>
      </c>
      <c r="H618" s="33">
        <f t="shared" si="83"/>
        <v>1.978710230928946E-6</v>
      </c>
      <c r="K618" t="str">
        <f xml:space="preserve"> B616 &amp; B618</f>
        <v>Z000083001Z010109005</v>
      </c>
    </row>
    <row r="619" spans="1:11" outlineLevel="1" x14ac:dyDescent="0.2">
      <c r="A619" s="29"/>
      <c r="B619" s="30" t="s">
        <v>1065</v>
      </c>
      <c r="C619" s="30" t="s">
        <v>1026</v>
      </c>
      <c r="D619" s="34" t="s">
        <v>1052</v>
      </c>
      <c r="E619" s="31">
        <v>17.3597</v>
      </c>
      <c r="F619" s="31">
        <v>14.2</v>
      </c>
      <c r="G619" s="32">
        <f t="shared" si="92"/>
        <v>246.50773999999998</v>
      </c>
      <c r="H619" s="33">
        <f t="shared" si="83"/>
        <v>1.2781551780553622E-6</v>
      </c>
      <c r="K619" t="str">
        <f xml:space="preserve"> B616 &amp; B619</f>
        <v>Z000083001Z010109008</v>
      </c>
    </row>
    <row r="620" spans="1:11" outlineLevel="1" x14ac:dyDescent="0.2">
      <c r="A620" s="29"/>
      <c r="B620" s="30" t="s">
        <v>1129</v>
      </c>
      <c r="C620" s="30" t="s">
        <v>2681</v>
      </c>
      <c r="D620" s="34" t="s">
        <v>152</v>
      </c>
      <c r="E620" s="31">
        <v>17.3597</v>
      </c>
      <c r="F620" s="31">
        <v>19.722200000000001</v>
      </c>
      <c r="G620" s="32">
        <f t="shared" si="92"/>
        <v>342.37147534000002</v>
      </c>
      <c r="H620" s="33">
        <f t="shared" si="83"/>
        <v>1.7752135248340472E-6</v>
      </c>
      <c r="K620" t="str">
        <f xml:space="preserve"> B616 &amp; B620</f>
        <v>Z000083001Z010305001</v>
      </c>
    </row>
    <row r="621" spans="1:11" outlineLevel="1" x14ac:dyDescent="0.2">
      <c r="A621" s="29"/>
      <c r="B621" s="30" t="s">
        <v>423</v>
      </c>
      <c r="C621" s="30" t="s">
        <v>2683</v>
      </c>
      <c r="D621" s="34" t="s">
        <v>1152</v>
      </c>
      <c r="E621" s="31">
        <v>546.83055000000002</v>
      </c>
      <c r="F621" s="31">
        <v>55.495800000000003</v>
      </c>
      <c r="G621" s="32">
        <f t="shared" si="92"/>
        <v>30346.798836690003</v>
      </c>
      <c r="H621" s="33">
        <f t="shared" si="83"/>
        <v>1.5734969648628386E-4</v>
      </c>
      <c r="K621" t="str">
        <f xml:space="preserve"> B616 &amp; B621</f>
        <v>Z000083001Z010401001</v>
      </c>
    </row>
    <row r="622" spans="1:11" outlineLevel="1" x14ac:dyDescent="0.2">
      <c r="A622" s="29"/>
      <c r="B622" s="30" t="s">
        <v>189</v>
      </c>
      <c r="C622" s="30" t="s">
        <v>2685</v>
      </c>
      <c r="D622" s="34" t="s">
        <v>153</v>
      </c>
      <c r="E622" s="31">
        <v>2114.4114599999998</v>
      </c>
      <c r="F622" s="31">
        <v>11.05</v>
      </c>
      <c r="G622" s="32">
        <f t="shared" si="92"/>
        <v>23364.246632999999</v>
      </c>
      <c r="H622" s="33">
        <f t="shared" si="83"/>
        <v>1.2114480792907969E-4</v>
      </c>
      <c r="K622" t="str">
        <f xml:space="preserve"> B616 &amp; B622</f>
        <v>Z000083001Z010403001</v>
      </c>
    </row>
    <row r="623" spans="1:11" outlineLevel="1" x14ac:dyDescent="0.2">
      <c r="A623" s="29"/>
      <c r="B623" s="30" t="s">
        <v>82</v>
      </c>
      <c r="C623" s="30" t="s">
        <v>2688</v>
      </c>
      <c r="D623" s="34" t="s">
        <v>153</v>
      </c>
      <c r="E623" s="31">
        <v>1253.3703399999999</v>
      </c>
      <c r="F623" s="31">
        <v>2.04</v>
      </c>
      <c r="G623" s="32">
        <f t="shared" si="92"/>
        <v>2556.8754936</v>
      </c>
      <c r="H623" s="33">
        <f t="shared" si="83"/>
        <v>1.3257529567987198E-5</v>
      </c>
      <c r="K623" t="str">
        <f xml:space="preserve"> B616 &amp; B623</f>
        <v>Z000083001Z010404002</v>
      </c>
    </row>
    <row r="624" spans="1:11" outlineLevel="1" x14ac:dyDescent="0.2">
      <c r="A624" s="29"/>
      <c r="B624" s="30" t="s">
        <v>944</v>
      </c>
      <c r="C624" s="30" t="s">
        <v>1601</v>
      </c>
      <c r="D624" s="34" t="s">
        <v>151</v>
      </c>
      <c r="E624" s="31">
        <v>0</v>
      </c>
      <c r="F624" s="31">
        <v>19.170000000000002</v>
      </c>
      <c r="G624" s="32">
        <f t="shared" si="92"/>
        <v>0</v>
      </c>
      <c r="H624" s="33">
        <f t="shared" si="83"/>
        <v>0</v>
      </c>
      <c r="K624" t="str">
        <f xml:space="preserve"> B616 &amp; B624</f>
        <v>Z000083001Z040201005</v>
      </c>
    </row>
    <row r="625" spans="1:11" outlineLevel="1" x14ac:dyDescent="0.2">
      <c r="A625" s="29"/>
      <c r="B625" s="30" t="s">
        <v>794</v>
      </c>
      <c r="C625" s="30" t="s">
        <v>446</v>
      </c>
      <c r="D625" s="34" t="s">
        <v>151</v>
      </c>
      <c r="E625" s="31">
        <v>0</v>
      </c>
      <c r="F625" s="31">
        <v>11.1343</v>
      </c>
      <c r="G625" s="32">
        <f t="shared" si="92"/>
        <v>0</v>
      </c>
      <c r="H625" s="33">
        <f t="shared" ref="H625:H697" si="93">G625/$F$2</f>
        <v>0</v>
      </c>
      <c r="K625" t="str">
        <f xml:space="preserve"> B616 &amp; B625</f>
        <v>Z000083001Z040202002</v>
      </c>
    </row>
    <row r="626" spans="1:11" outlineLevel="1" x14ac:dyDescent="0.2">
      <c r="A626" s="29"/>
      <c r="B626" s="30" t="s">
        <v>1568</v>
      </c>
      <c r="C626" s="30" t="s">
        <v>2692</v>
      </c>
      <c r="D626" s="34" t="s">
        <v>1152</v>
      </c>
      <c r="E626" s="31">
        <v>1735.97</v>
      </c>
      <c r="F626" s="31">
        <v>49.4</v>
      </c>
      <c r="G626" s="32">
        <f t="shared" si="92"/>
        <v>85756.918000000005</v>
      </c>
      <c r="H626" s="33">
        <f t="shared" si="93"/>
        <v>4.4465398447841485E-4</v>
      </c>
      <c r="K626" t="str">
        <f xml:space="preserve"> B616 &amp; B626</f>
        <v>Z000083001Z040303016</v>
      </c>
    </row>
    <row r="627" spans="1:11" outlineLevel="1" x14ac:dyDescent="0.2">
      <c r="A627" s="29"/>
      <c r="B627" s="30" t="s">
        <v>498</v>
      </c>
      <c r="C627" s="30" t="s">
        <v>773</v>
      </c>
      <c r="D627" s="34" t="s">
        <v>84</v>
      </c>
      <c r="E627" s="31">
        <v>2083.1639999999998</v>
      </c>
      <c r="F627" s="31">
        <v>0</v>
      </c>
      <c r="G627" s="32">
        <f t="shared" si="92"/>
        <v>0</v>
      </c>
      <c r="H627" s="33">
        <f t="shared" si="93"/>
        <v>0</v>
      </c>
      <c r="K627" t="str">
        <f xml:space="preserve"> B616 &amp; B627</f>
        <v>Z000083001Z040401001</v>
      </c>
    </row>
    <row r="628" spans="1:11" outlineLevel="1" x14ac:dyDescent="0.2">
      <c r="A628" s="29"/>
      <c r="B628" s="30" t="s">
        <v>1970</v>
      </c>
      <c r="C628" s="30" t="s">
        <v>1166</v>
      </c>
      <c r="D628" s="34" t="s">
        <v>764</v>
      </c>
      <c r="E628" s="31">
        <v>0</v>
      </c>
      <c r="F628" s="31">
        <v>30.29</v>
      </c>
      <c r="G628" s="32">
        <f t="shared" si="92"/>
        <v>0</v>
      </c>
      <c r="H628" s="33">
        <f t="shared" si="93"/>
        <v>0</v>
      </c>
      <c r="K628" t="str">
        <f xml:space="preserve"> B616 &amp; B628</f>
        <v>Z000083001Z050103007</v>
      </c>
    </row>
    <row r="629" spans="1:11" outlineLevel="1" x14ac:dyDescent="0.2">
      <c r="A629" s="29"/>
      <c r="B629" s="30" t="s">
        <v>1971</v>
      </c>
      <c r="C629" s="30" t="s">
        <v>1147</v>
      </c>
      <c r="D629" s="34" t="s">
        <v>742</v>
      </c>
      <c r="E629" s="31">
        <v>0</v>
      </c>
      <c r="F629" s="31">
        <v>28.81</v>
      </c>
      <c r="G629" s="32">
        <f t="shared" si="92"/>
        <v>0</v>
      </c>
      <c r="H629" s="33">
        <f t="shared" si="93"/>
        <v>0</v>
      </c>
      <c r="K629" t="str">
        <f xml:space="preserve"> B616 &amp; B629</f>
        <v>Z000083001Z050103008</v>
      </c>
    </row>
    <row r="630" spans="1:11" outlineLevel="1" x14ac:dyDescent="0.2">
      <c r="A630" s="11" t="s">
        <v>1944</v>
      </c>
      <c r="B630" s="11" t="s">
        <v>4898</v>
      </c>
      <c r="C630" s="11" t="s">
        <v>4900</v>
      </c>
      <c r="D630" s="12" t="s">
        <v>1152</v>
      </c>
      <c r="E630" s="13">
        <v>1932.36</v>
      </c>
      <c r="F630" s="14">
        <v>100.97262810000001</v>
      </c>
      <c r="G630" s="15">
        <f>SUM(G631:G644)</f>
        <v>195115.46763531602</v>
      </c>
      <c r="H630" s="16">
        <f t="shared" si="93"/>
        <v>1.0116836302047662E-3</v>
      </c>
    </row>
    <row r="631" spans="1:11" outlineLevel="1" x14ac:dyDescent="0.2">
      <c r="A631" s="29"/>
      <c r="B631" s="30" t="s">
        <v>1568</v>
      </c>
      <c r="C631" s="30" t="s">
        <v>2692</v>
      </c>
      <c r="D631" s="34" t="s">
        <v>1052</v>
      </c>
      <c r="E631" s="31">
        <v>1932.36</v>
      </c>
      <c r="F631" s="31">
        <v>49.4</v>
      </c>
      <c r="G631" s="32">
        <f t="shared" ref="G631:G643" si="94">F631*E631</f>
        <v>95458.583999999988</v>
      </c>
      <c r="H631" s="33">
        <f t="shared" si="93"/>
        <v>4.9495761646037057E-4</v>
      </c>
      <c r="K631" t="str">
        <f xml:space="preserve"> B630 &amp; B631</f>
        <v>Z000083016Z040303016</v>
      </c>
    </row>
    <row r="632" spans="1:11" outlineLevel="1" x14ac:dyDescent="0.2">
      <c r="A632" s="29"/>
      <c r="B632" s="30" t="s">
        <v>189</v>
      </c>
      <c r="C632" s="30" t="s">
        <v>2685</v>
      </c>
      <c r="D632" s="34" t="s">
        <v>1052</v>
      </c>
      <c r="E632" s="31">
        <v>3004.8197999999998</v>
      </c>
      <c r="F632" s="31">
        <v>11.05</v>
      </c>
      <c r="G632" s="32">
        <f t="shared" si="94"/>
        <v>33203.25879</v>
      </c>
      <c r="H632" s="33">
        <f t="shared" si="93"/>
        <v>1.721605867253934E-4</v>
      </c>
      <c r="K632" t="str">
        <f xml:space="preserve"> B630 &amp; B632</f>
        <v>Z000083016Z010403001</v>
      </c>
    </row>
    <row r="633" spans="1:11" outlineLevel="1" x14ac:dyDescent="0.2">
      <c r="A633" s="29"/>
      <c r="B633" s="30" t="s">
        <v>1970</v>
      </c>
      <c r="C633" s="30" t="s">
        <v>1166</v>
      </c>
      <c r="D633" s="34" t="s">
        <v>1052</v>
      </c>
      <c r="E633" s="31">
        <v>0</v>
      </c>
      <c r="F633" s="31">
        <v>30.29</v>
      </c>
      <c r="G633" s="32">
        <f t="shared" si="94"/>
        <v>0</v>
      </c>
      <c r="H633" s="33">
        <f t="shared" si="93"/>
        <v>0</v>
      </c>
      <c r="K633" t="str">
        <f xml:space="preserve"> B630 &amp; B633</f>
        <v>Z000083016Z050103007</v>
      </c>
    </row>
    <row r="634" spans="1:11" outlineLevel="1" x14ac:dyDescent="0.2">
      <c r="A634" s="29"/>
      <c r="B634" s="30" t="s">
        <v>498</v>
      </c>
      <c r="C634" s="30" t="s">
        <v>773</v>
      </c>
      <c r="D634" s="34" t="s">
        <v>152</v>
      </c>
      <c r="E634" s="31">
        <v>2318.8319999999999</v>
      </c>
      <c r="F634" s="31">
        <v>0</v>
      </c>
      <c r="G634" s="32">
        <f t="shared" si="94"/>
        <v>0</v>
      </c>
      <c r="H634" s="33">
        <f t="shared" si="93"/>
        <v>0</v>
      </c>
      <c r="K634" t="str">
        <f xml:space="preserve"> B630 &amp; B634</f>
        <v>Z000083016Z040401001</v>
      </c>
    </row>
    <row r="635" spans="1:11" outlineLevel="1" x14ac:dyDescent="0.2">
      <c r="A635" s="29"/>
      <c r="B635" s="30" t="s">
        <v>1065</v>
      </c>
      <c r="C635" s="30" t="s">
        <v>1026</v>
      </c>
      <c r="D635" s="34" t="s">
        <v>1152</v>
      </c>
      <c r="E635" s="31">
        <v>61.835519999999995</v>
      </c>
      <c r="F635" s="31">
        <v>14.2</v>
      </c>
      <c r="G635" s="32">
        <f t="shared" si="94"/>
        <v>878.0643839999999</v>
      </c>
      <c r="H635" s="33">
        <f t="shared" si="93"/>
        <v>4.552808520639522E-6</v>
      </c>
      <c r="K635" t="str">
        <f xml:space="preserve"> B630 &amp; B635</f>
        <v>Z000083016Z010109008</v>
      </c>
    </row>
    <row r="636" spans="1:11" outlineLevel="1" x14ac:dyDescent="0.2">
      <c r="A636" s="29"/>
      <c r="B636" s="30" t="s">
        <v>944</v>
      </c>
      <c r="C636" s="30" t="s">
        <v>1601</v>
      </c>
      <c r="D636" s="34" t="s">
        <v>153</v>
      </c>
      <c r="E636" s="31">
        <v>0</v>
      </c>
      <c r="F636" s="31">
        <v>19.170000000000002</v>
      </c>
      <c r="G636" s="32">
        <f t="shared" si="94"/>
        <v>0</v>
      </c>
      <c r="H636" s="33">
        <f t="shared" si="93"/>
        <v>0</v>
      </c>
      <c r="K636" t="str">
        <f xml:space="preserve"> B630 &amp; B636</f>
        <v>Z000083016Z040201005</v>
      </c>
    </row>
    <row r="637" spans="1:11" outlineLevel="1" x14ac:dyDescent="0.2">
      <c r="A637" s="29"/>
      <c r="B637" s="30" t="s">
        <v>1043</v>
      </c>
      <c r="C637" s="30" t="s">
        <v>1497</v>
      </c>
      <c r="D637" s="34" t="s">
        <v>153</v>
      </c>
      <c r="E637" s="31">
        <v>25.120679999999997</v>
      </c>
      <c r="F637" s="31">
        <v>12.1</v>
      </c>
      <c r="G637" s="32">
        <f t="shared" si="94"/>
        <v>303.96022799999997</v>
      </c>
      <c r="H637" s="33">
        <f t="shared" si="93"/>
        <v>1.5760492524132853E-6</v>
      </c>
      <c r="K637" t="str">
        <f xml:space="preserve"> B630 &amp; B637</f>
        <v>Z000083016Z010109003</v>
      </c>
    </row>
    <row r="638" spans="1:11" outlineLevel="1" x14ac:dyDescent="0.2">
      <c r="A638" s="29"/>
      <c r="B638" s="30" t="s">
        <v>1129</v>
      </c>
      <c r="C638" s="30" t="s">
        <v>2681</v>
      </c>
      <c r="D638" s="34" t="s">
        <v>151</v>
      </c>
      <c r="E638" s="31">
        <v>18.357419999999998</v>
      </c>
      <c r="F638" s="31">
        <v>19.722200000000001</v>
      </c>
      <c r="G638" s="32">
        <f t="shared" si="94"/>
        <v>362.04870872399999</v>
      </c>
      <c r="H638" s="33">
        <f t="shared" si="93"/>
        <v>1.8772409814143695E-6</v>
      </c>
      <c r="K638" t="str">
        <f xml:space="preserve"> B630 &amp; B638</f>
        <v>Z000083016Z010305001</v>
      </c>
    </row>
    <row r="639" spans="1:11" outlineLevel="1" x14ac:dyDescent="0.2">
      <c r="A639" s="29"/>
      <c r="B639" s="30" t="s">
        <v>794</v>
      </c>
      <c r="C639" s="30" t="s">
        <v>446</v>
      </c>
      <c r="D639" s="34" t="s">
        <v>151</v>
      </c>
      <c r="E639" s="31">
        <v>0</v>
      </c>
      <c r="F639" s="31">
        <v>11.1343</v>
      </c>
      <c r="G639" s="32">
        <f t="shared" si="94"/>
        <v>0</v>
      </c>
      <c r="H639" s="33">
        <f t="shared" ref="H639:H643" si="95">G639/$F$2</f>
        <v>0</v>
      </c>
      <c r="K639" t="str">
        <f xml:space="preserve"> B630 &amp; B639</f>
        <v>Z000083016Z040202002</v>
      </c>
    </row>
    <row r="640" spans="1:11" outlineLevel="1" x14ac:dyDescent="0.2">
      <c r="A640" s="29"/>
      <c r="B640" s="30" t="s">
        <v>1051</v>
      </c>
      <c r="C640" s="30" t="s">
        <v>1130</v>
      </c>
      <c r="D640" s="34" t="s">
        <v>1152</v>
      </c>
      <c r="E640" s="31">
        <v>65.700240000000008</v>
      </c>
      <c r="F640" s="31">
        <v>11.57</v>
      </c>
      <c r="G640" s="32">
        <f t="shared" si="94"/>
        <v>760.15177680000011</v>
      </c>
      <c r="H640" s="33">
        <f t="shared" si="95"/>
        <v>3.9414256510765312E-6</v>
      </c>
      <c r="K640" t="str">
        <f xml:space="preserve"> B630 &amp; B640</f>
        <v>Z000083016Z010109005</v>
      </c>
    </row>
    <row r="641" spans="1:11" outlineLevel="1" x14ac:dyDescent="0.2">
      <c r="A641" s="29"/>
      <c r="B641" s="30" t="s">
        <v>1971</v>
      </c>
      <c r="C641" s="30" t="s">
        <v>1147</v>
      </c>
      <c r="D641" s="34" t="s">
        <v>84</v>
      </c>
      <c r="E641" s="31">
        <v>0</v>
      </c>
      <c r="F641" s="31">
        <v>28.81</v>
      </c>
      <c r="G641" s="32">
        <f t="shared" si="94"/>
        <v>0</v>
      </c>
      <c r="H641" s="33">
        <f t="shared" si="95"/>
        <v>0</v>
      </c>
      <c r="K641" t="str">
        <f xml:space="preserve"> B630 &amp; B641</f>
        <v>Z000083016Z050103008</v>
      </c>
    </row>
    <row r="642" spans="1:11" outlineLevel="1" x14ac:dyDescent="0.2">
      <c r="A642" s="29"/>
      <c r="B642" s="30" t="s">
        <v>423</v>
      </c>
      <c r="C642" s="30" t="s">
        <v>2683</v>
      </c>
      <c r="D642" s="34" t="s">
        <v>764</v>
      </c>
      <c r="E642" s="31">
        <v>645.40823999999998</v>
      </c>
      <c r="F642" s="31">
        <v>55.495800000000003</v>
      </c>
      <c r="G642" s="32">
        <f t="shared" si="94"/>
        <v>35817.446605392004</v>
      </c>
      <c r="H642" s="33">
        <f t="shared" si="95"/>
        <v>1.857152835988162E-4</v>
      </c>
      <c r="K642" t="str">
        <f xml:space="preserve"> B630 &amp; B642</f>
        <v>Z000083016Z010401001</v>
      </c>
    </row>
    <row r="643" spans="1:11" outlineLevel="1" x14ac:dyDescent="0.2">
      <c r="A643" s="29"/>
      <c r="B643" s="30" t="s">
        <v>320</v>
      </c>
      <c r="C643" s="30" t="s">
        <v>2871</v>
      </c>
      <c r="D643" s="34" t="s">
        <v>742</v>
      </c>
      <c r="E643" s="31">
        <v>1159.4159999999999</v>
      </c>
      <c r="F643" s="31">
        <v>18.329999999999998</v>
      </c>
      <c r="G643" s="32">
        <f t="shared" si="94"/>
        <v>21252.095279999998</v>
      </c>
      <c r="H643" s="33">
        <f t="shared" si="95"/>
        <v>1.101931956645983E-4</v>
      </c>
      <c r="K643" t="str">
        <f xml:space="preserve"> B630 &amp; B643</f>
        <v>Z000083016Z010402003</v>
      </c>
    </row>
    <row r="644" spans="1:11" outlineLevel="1" x14ac:dyDescent="0.2">
      <c r="A644" s="29"/>
      <c r="B644" s="30" t="s">
        <v>82</v>
      </c>
      <c r="C644" s="30" t="s">
        <v>2688</v>
      </c>
      <c r="D644" s="34" t="s">
        <v>742</v>
      </c>
      <c r="E644" s="31">
        <v>3470.51856</v>
      </c>
      <c r="F644" s="31">
        <v>2.04</v>
      </c>
      <c r="G644" s="32">
        <f t="shared" ref="G644" si="96">F644*E644</f>
        <v>7079.8578624000002</v>
      </c>
      <c r="H644" s="33">
        <f t="shared" ref="H644" si="97">G644/$F$2</f>
        <v>3.6709423350043813E-5</v>
      </c>
      <c r="K644" t="str">
        <f xml:space="preserve"> B630 &amp; B644</f>
        <v>Z000083016Z010404002</v>
      </c>
    </row>
    <row r="645" spans="1:11" ht="15" x14ac:dyDescent="0.2">
      <c r="A645" s="17" t="s">
        <v>2016</v>
      </c>
      <c r="B645" s="17" t="s">
        <v>328</v>
      </c>
      <c r="C645" s="17" t="s">
        <v>1660</v>
      </c>
      <c r="D645" s="18"/>
      <c r="E645" s="19"/>
      <c r="F645" s="20"/>
      <c r="G645" s="21">
        <f>SUM(G646)</f>
        <v>91155.472200000004</v>
      </c>
      <c r="H645" s="22">
        <f t="shared" si="93"/>
        <v>4.7264576276798305E-4</v>
      </c>
    </row>
    <row r="646" spans="1:11" outlineLevel="1" x14ac:dyDescent="0.2">
      <c r="A646" s="11" t="s">
        <v>1821</v>
      </c>
      <c r="B646" s="11" t="s">
        <v>1344</v>
      </c>
      <c r="C646" s="11" t="s">
        <v>2801</v>
      </c>
      <c r="D646" s="12" t="s">
        <v>1152</v>
      </c>
      <c r="E646" s="13">
        <v>4530.5</v>
      </c>
      <c r="F646" s="14">
        <v>20.1204</v>
      </c>
      <c r="G646" s="15">
        <f>SUM(G647:G651)</f>
        <v>91155.472200000004</v>
      </c>
      <c r="H646" s="16">
        <f t="shared" si="93"/>
        <v>4.7264576276798305E-4</v>
      </c>
    </row>
    <row r="647" spans="1:11" outlineLevel="1" x14ac:dyDescent="0.2">
      <c r="A647" s="29"/>
      <c r="B647" s="30" t="s">
        <v>1217</v>
      </c>
      <c r="C647" s="30" t="s">
        <v>2799</v>
      </c>
      <c r="D647" s="34" t="s">
        <v>1052</v>
      </c>
      <c r="E647" s="31">
        <v>6795.75</v>
      </c>
      <c r="F647" s="31">
        <v>9.65</v>
      </c>
      <c r="G647" s="32">
        <f t="shared" ref="G647:G651" si="98">F647*E647</f>
        <v>65578.987500000003</v>
      </c>
      <c r="H647" s="33">
        <f t="shared" si="93"/>
        <v>3.4003038786836021E-4</v>
      </c>
      <c r="K647" t="str">
        <f xml:space="preserve"> B646 &amp; B647</f>
        <v>Z000086001Z010501001</v>
      </c>
    </row>
    <row r="648" spans="1:11" outlineLevel="1" x14ac:dyDescent="0.2">
      <c r="A648" s="29"/>
      <c r="B648" s="30" t="s">
        <v>954</v>
      </c>
      <c r="C648" s="30" t="s">
        <v>171</v>
      </c>
      <c r="D648" s="34" t="s">
        <v>151</v>
      </c>
      <c r="E648" s="31">
        <v>0</v>
      </c>
      <c r="F648" s="31">
        <v>15.0943</v>
      </c>
      <c r="G648" s="32">
        <f t="shared" si="98"/>
        <v>0</v>
      </c>
      <c r="H648" s="33">
        <f t="shared" si="93"/>
        <v>0</v>
      </c>
      <c r="K648" t="str">
        <f xml:space="preserve"> B646 &amp; B648</f>
        <v>Z000086001Z040201009</v>
      </c>
    </row>
    <row r="649" spans="1:11" outlineLevel="1" x14ac:dyDescent="0.2">
      <c r="A649" s="29"/>
      <c r="B649" s="30" t="s">
        <v>795</v>
      </c>
      <c r="C649" s="30" t="s">
        <v>1842</v>
      </c>
      <c r="D649" s="34" t="s">
        <v>151</v>
      </c>
      <c r="E649" s="31">
        <v>0</v>
      </c>
      <c r="F649" s="31">
        <v>10.525700000000001</v>
      </c>
      <c r="G649" s="32">
        <f t="shared" si="98"/>
        <v>0</v>
      </c>
      <c r="H649" s="33">
        <f t="shared" si="93"/>
        <v>0</v>
      </c>
      <c r="K649" t="str">
        <f xml:space="preserve"> B646 &amp; B649</f>
        <v>Z000086001Z040202003</v>
      </c>
    </row>
    <row r="650" spans="1:11" outlineLevel="1" x14ac:dyDescent="0.2">
      <c r="A650" s="29"/>
      <c r="B650" s="30" t="s">
        <v>1644</v>
      </c>
      <c r="C650" s="30" t="s">
        <v>2804</v>
      </c>
      <c r="D650" s="34" t="s">
        <v>1152</v>
      </c>
      <c r="E650" s="31">
        <v>4530.5</v>
      </c>
      <c r="F650" s="31">
        <v>5.6454000000000004</v>
      </c>
      <c r="G650" s="32">
        <f t="shared" si="98"/>
        <v>25576.484700000001</v>
      </c>
      <c r="H650" s="33">
        <f t="shared" si="93"/>
        <v>1.3261537489962284E-4</v>
      </c>
      <c r="K650" t="str">
        <f xml:space="preserve"> B646 &amp; B650</f>
        <v>Z000086001Z040303024</v>
      </c>
    </row>
    <row r="651" spans="1:11" outlineLevel="1" x14ac:dyDescent="0.2">
      <c r="A651" s="29"/>
      <c r="B651" s="30" t="s">
        <v>498</v>
      </c>
      <c r="C651" s="30" t="s">
        <v>773</v>
      </c>
      <c r="D651" s="34" t="s">
        <v>84</v>
      </c>
      <c r="E651" s="31">
        <v>5436.5999999999995</v>
      </c>
      <c r="F651" s="31">
        <v>0</v>
      </c>
      <c r="G651" s="32">
        <f t="shared" si="98"/>
        <v>0</v>
      </c>
      <c r="H651" s="33">
        <f t="shared" si="93"/>
        <v>0</v>
      </c>
      <c r="K651" t="str">
        <f xml:space="preserve"> B646 &amp; B651</f>
        <v>Z000086001Z040401001</v>
      </c>
    </row>
    <row r="652" spans="1:11" ht="15" x14ac:dyDescent="0.2">
      <c r="A652" s="17" t="s">
        <v>2017</v>
      </c>
      <c r="B652" s="17" t="s">
        <v>328</v>
      </c>
      <c r="C652" s="17" t="s">
        <v>697</v>
      </c>
      <c r="D652" s="18"/>
      <c r="E652" s="19"/>
      <c r="F652" s="20"/>
      <c r="G652" s="21">
        <f>SUM(G653,G662,G671,G680,G689,G698,G707,G716,G725,G728)-22</f>
        <v>9273675.5188745484</v>
      </c>
      <c r="H652" s="22">
        <f t="shared" si="93"/>
        <v>4.8084479554494935E-2</v>
      </c>
    </row>
    <row r="653" spans="1:11" outlineLevel="1" x14ac:dyDescent="0.2">
      <c r="A653" s="11" t="s">
        <v>1679</v>
      </c>
      <c r="B653" s="11" t="s">
        <v>158</v>
      </c>
      <c r="C653" s="11" t="s">
        <v>2606</v>
      </c>
      <c r="D653" s="12" t="s">
        <v>1052</v>
      </c>
      <c r="E653" s="13">
        <v>82376.09</v>
      </c>
      <c r="F653" s="14">
        <v>10.862935999999999</v>
      </c>
      <c r="G653" s="15">
        <f>SUM(G654:G661)</f>
        <v>894846.19360023993</v>
      </c>
      <c r="H653" s="16">
        <f t="shared" si="93"/>
        <v>4.6398230575367648E-3</v>
      </c>
    </row>
    <row r="654" spans="1:11" outlineLevel="1" x14ac:dyDescent="0.2">
      <c r="A654" s="29"/>
      <c r="B654" s="30" t="s">
        <v>98</v>
      </c>
      <c r="C654" s="30" t="s">
        <v>667</v>
      </c>
      <c r="D654" s="34" t="s">
        <v>1052</v>
      </c>
      <c r="E654" s="31">
        <v>82787.970449999993</v>
      </c>
      <c r="F654" s="31">
        <v>5.9442000000000004</v>
      </c>
      <c r="G654" s="32">
        <f t="shared" ref="G654:G661" si="99">F654*E654</f>
        <v>492108.25394888996</v>
      </c>
      <c r="H654" s="33">
        <f t="shared" si="93"/>
        <v>2.5516063428619195E-3</v>
      </c>
      <c r="K654" t="str">
        <f xml:space="preserve"> B653 &amp; B654</f>
        <v>Z000082048Z010101001</v>
      </c>
    </row>
    <row r="655" spans="1:11" outlineLevel="1" x14ac:dyDescent="0.2">
      <c r="A655" s="29"/>
      <c r="B655" s="30" t="s">
        <v>1561</v>
      </c>
      <c r="C655" s="30" t="s">
        <v>1939</v>
      </c>
      <c r="D655" s="34" t="s">
        <v>1052</v>
      </c>
      <c r="E655" s="31">
        <v>2059.4022500000001</v>
      </c>
      <c r="F655" s="31">
        <v>9.8886000000000003</v>
      </c>
      <c r="G655" s="32">
        <f t="shared" si="99"/>
        <v>20364.605089350003</v>
      </c>
      <c r="H655" s="33">
        <f t="shared" si="93"/>
        <v>1.0559151385674662E-4</v>
      </c>
      <c r="K655" t="str">
        <f xml:space="preserve"> B653 &amp; B655</f>
        <v>Z000082048Z010105001</v>
      </c>
    </row>
    <row r="656" spans="1:11" outlineLevel="1" x14ac:dyDescent="0.2">
      <c r="A656" s="29"/>
      <c r="B656" s="30" t="s">
        <v>1371</v>
      </c>
      <c r="C656" s="30" t="s">
        <v>2406</v>
      </c>
      <c r="D656" s="34" t="s">
        <v>1781</v>
      </c>
      <c r="E656" s="31">
        <v>98027.547099999996</v>
      </c>
      <c r="F656" s="31">
        <v>0.22</v>
      </c>
      <c r="G656" s="32">
        <f t="shared" si="99"/>
        <v>21566.060362</v>
      </c>
      <c r="H656" s="33">
        <f t="shared" si="93"/>
        <v>1.1182112059420448E-4</v>
      </c>
      <c r="K656" t="str">
        <f xml:space="preserve"> B653 &amp; B656</f>
        <v>Z000082048Z030107001</v>
      </c>
    </row>
    <row r="657" spans="1:11" outlineLevel="1" x14ac:dyDescent="0.2">
      <c r="A657" s="29"/>
      <c r="B657" s="30" t="s">
        <v>935</v>
      </c>
      <c r="C657" s="30" t="s">
        <v>1352</v>
      </c>
      <c r="D657" s="34" t="s">
        <v>151</v>
      </c>
      <c r="E657" s="31">
        <v>0</v>
      </c>
      <c r="F657" s="31">
        <v>15.1457</v>
      </c>
      <c r="G657" s="32">
        <f t="shared" si="99"/>
        <v>0</v>
      </c>
      <c r="H657" s="33">
        <f t="shared" si="93"/>
        <v>0</v>
      </c>
      <c r="K657" t="str">
        <f xml:space="preserve"> B653 &amp; B657</f>
        <v>Z000082048Z040201001</v>
      </c>
    </row>
    <row r="658" spans="1:11" outlineLevel="1" x14ac:dyDescent="0.2">
      <c r="A658" s="29"/>
      <c r="B658" s="30" t="s">
        <v>792</v>
      </c>
      <c r="C658" s="30" t="s">
        <v>335</v>
      </c>
      <c r="D658" s="34" t="s">
        <v>151</v>
      </c>
      <c r="E658" s="31">
        <v>0</v>
      </c>
      <c r="F658" s="31">
        <v>11.1343</v>
      </c>
      <c r="G658" s="32">
        <f t="shared" si="99"/>
        <v>0</v>
      </c>
      <c r="H658" s="33">
        <f t="shared" si="93"/>
        <v>0</v>
      </c>
      <c r="K658" t="str">
        <f xml:space="preserve"> B653 &amp; B658</f>
        <v>Z000082048Z040202001</v>
      </c>
    </row>
    <row r="659" spans="1:11" outlineLevel="1" x14ac:dyDescent="0.2">
      <c r="A659" s="29"/>
      <c r="B659" s="30" t="s">
        <v>1547</v>
      </c>
      <c r="C659" s="30" t="s">
        <v>1483</v>
      </c>
      <c r="D659" s="34" t="s">
        <v>1052</v>
      </c>
      <c r="E659" s="31">
        <v>82376.09</v>
      </c>
      <c r="F659" s="31">
        <v>0.87</v>
      </c>
      <c r="G659" s="32">
        <f t="shared" si="99"/>
        <v>71667.198300000004</v>
      </c>
      <c r="H659" s="33">
        <f t="shared" si="93"/>
        <v>3.7159807072940373E-4</v>
      </c>
      <c r="K659" t="str">
        <f xml:space="preserve"> B653 &amp; B659</f>
        <v>Z000082048Z040303010</v>
      </c>
    </row>
    <row r="660" spans="1:11" outlineLevel="1" x14ac:dyDescent="0.2">
      <c r="A660" s="29"/>
      <c r="B660" s="30" t="s">
        <v>1555</v>
      </c>
      <c r="C660" s="30" t="s">
        <v>177</v>
      </c>
      <c r="D660" s="34" t="s">
        <v>1052</v>
      </c>
      <c r="E660" s="31">
        <v>82376.09</v>
      </c>
      <c r="F660" s="31">
        <v>3.51</v>
      </c>
      <c r="G660" s="32">
        <f t="shared" si="99"/>
        <v>289140.0759</v>
      </c>
      <c r="H660" s="33">
        <f t="shared" si="93"/>
        <v>1.4992060094944908E-3</v>
      </c>
      <c r="K660" t="str">
        <f xml:space="preserve"> B653 &amp; B660</f>
        <v>Z000082048Z040303013</v>
      </c>
    </row>
    <row r="661" spans="1:11" outlineLevel="1" x14ac:dyDescent="0.2">
      <c r="A661" s="29"/>
      <c r="B661" s="30" t="s">
        <v>498</v>
      </c>
      <c r="C661" s="30" t="s">
        <v>773</v>
      </c>
      <c r="D661" s="34" t="s">
        <v>84</v>
      </c>
      <c r="E661" s="31">
        <v>98851.30799999999</v>
      </c>
      <c r="F661" s="31">
        <v>0</v>
      </c>
      <c r="G661" s="32">
        <f t="shared" si="99"/>
        <v>0</v>
      </c>
      <c r="H661" s="33">
        <f t="shared" si="93"/>
        <v>0</v>
      </c>
      <c r="K661" t="str">
        <f xml:space="preserve"> B653 &amp; B661</f>
        <v>Z000082048Z040401001</v>
      </c>
    </row>
    <row r="662" spans="1:11" outlineLevel="1" x14ac:dyDescent="0.2">
      <c r="A662" s="11" t="s">
        <v>1683</v>
      </c>
      <c r="B662" s="11" t="s">
        <v>161</v>
      </c>
      <c r="C662" s="11" t="s">
        <v>2615</v>
      </c>
      <c r="D662" s="12" t="s">
        <v>1052</v>
      </c>
      <c r="E662" s="13">
        <v>67398.05</v>
      </c>
      <c r="F662" s="14">
        <v>10.455449499999999</v>
      </c>
      <c r="G662" s="15">
        <f>SUM(G663:G670)</f>
        <v>704676.90817347495</v>
      </c>
      <c r="H662" s="16">
        <f t="shared" si="93"/>
        <v>3.6537856338221676E-3</v>
      </c>
    </row>
    <row r="663" spans="1:11" outlineLevel="1" x14ac:dyDescent="0.2">
      <c r="A663" s="29"/>
      <c r="B663" s="30" t="s">
        <v>102</v>
      </c>
      <c r="C663" s="30" t="s">
        <v>759</v>
      </c>
      <c r="D663" s="34" t="s">
        <v>1052</v>
      </c>
      <c r="E663" s="31">
        <v>67735.040249999991</v>
      </c>
      <c r="F663" s="31">
        <v>5.5869</v>
      </c>
      <c r="G663" s="32">
        <f t="shared" ref="G663:G670" si="100">F663*E663</f>
        <v>378428.89637272496</v>
      </c>
      <c r="H663" s="33">
        <f t="shared" si="93"/>
        <v>1.9621730880522233E-3</v>
      </c>
      <c r="K663" t="str">
        <f xml:space="preserve"> B662 &amp; B663</f>
        <v>Z000082049Z010101002</v>
      </c>
    </row>
    <row r="664" spans="1:11" outlineLevel="1" x14ac:dyDescent="0.2">
      <c r="A664" s="29"/>
      <c r="B664" s="30" t="s">
        <v>1561</v>
      </c>
      <c r="C664" s="30" t="s">
        <v>1939</v>
      </c>
      <c r="D664" s="34" t="s">
        <v>1052</v>
      </c>
      <c r="E664" s="31">
        <v>1684.9512500000001</v>
      </c>
      <c r="F664" s="31">
        <v>9.8886000000000003</v>
      </c>
      <c r="G664" s="32">
        <f t="shared" si="100"/>
        <v>16661.808930750001</v>
      </c>
      <c r="H664" s="33">
        <f t="shared" si="93"/>
        <v>8.6392327318433068E-5</v>
      </c>
      <c r="K664" t="str">
        <f xml:space="preserve"> B662 &amp; B664</f>
        <v>Z000082049Z010105001</v>
      </c>
    </row>
    <row r="665" spans="1:11" outlineLevel="1" x14ac:dyDescent="0.2">
      <c r="A665" s="29"/>
      <c r="B665" s="30" t="s">
        <v>1371</v>
      </c>
      <c r="C665" s="30" t="s">
        <v>2406</v>
      </c>
      <c r="D665" s="34" t="s">
        <v>1781</v>
      </c>
      <c r="E665" s="31">
        <v>65376.108500000002</v>
      </c>
      <c r="F665" s="31">
        <v>0.22</v>
      </c>
      <c r="G665" s="32">
        <f t="shared" si="100"/>
        <v>14382.74387</v>
      </c>
      <c r="H665" s="33">
        <f t="shared" si="93"/>
        <v>7.4575258984097307E-5</v>
      </c>
      <c r="K665" t="str">
        <f xml:space="preserve"> B662 &amp; B665</f>
        <v>Z000082049Z030107001</v>
      </c>
    </row>
    <row r="666" spans="1:11" outlineLevel="1" x14ac:dyDescent="0.2">
      <c r="A666" s="29"/>
      <c r="B666" s="30" t="s">
        <v>935</v>
      </c>
      <c r="C666" s="30" t="s">
        <v>1352</v>
      </c>
      <c r="D666" s="34" t="s">
        <v>151</v>
      </c>
      <c r="E666" s="31">
        <v>0</v>
      </c>
      <c r="F666" s="31">
        <v>15.1457</v>
      </c>
      <c r="G666" s="32">
        <f t="shared" si="100"/>
        <v>0</v>
      </c>
      <c r="H666" s="33">
        <f t="shared" si="93"/>
        <v>0</v>
      </c>
      <c r="K666" t="str">
        <f xml:space="preserve"> B662 &amp; B666</f>
        <v>Z000082049Z040201001</v>
      </c>
    </row>
    <row r="667" spans="1:11" outlineLevel="1" x14ac:dyDescent="0.2">
      <c r="A667" s="29"/>
      <c r="B667" s="30" t="s">
        <v>792</v>
      </c>
      <c r="C667" s="30" t="s">
        <v>335</v>
      </c>
      <c r="D667" s="34" t="s">
        <v>151</v>
      </c>
      <c r="E667" s="31">
        <v>0</v>
      </c>
      <c r="F667" s="31">
        <v>11.1343</v>
      </c>
      <c r="G667" s="32">
        <f t="shared" si="100"/>
        <v>0</v>
      </c>
      <c r="H667" s="33">
        <f t="shared" si="93"/>
        <v>0</v>
      </c>
      <c r="K667" t="str">
        <f xml:space="preserve"> B662 &amp; B667</f>
        <v>Z000082049Z040202001</v>
      </c>
    </row>
    <row r="668" spans="1:11" outlineLevel="1" x14ac:dyDescent="0.2">
      <c r="A668" s="29"/>
      <c r="B668" s="30" t="s">
        <v>1547</v>
      </c>
      <c r="C668" s="30" t="s">
        <v>1483</v>
      </c>
      <c r="D668" s="34" t="s">
        <v>1052</v>
      </c>
      <c r="E668" s="31">
        <v>67398.05</v>
      </c>
      <c r="F668" s="31">
        <v>0.87</v>
      </c>
      <c r="G668" s="32">
        <f t="shared" si="100"/>
        <v>58636.303500000002</v>
      </c>
      <c r="H668" s="33">
        <f t="shared" si="93"/>
        <v>3.0403221797640421E-4</v>
      </c>
      <c r="K668" t="str">
        <f xml:space="preserve"> B662 &amp; B668</f>
        <v>Z000082049Z040303010</v>
      </c>
    </row>
    <row r="669" spans="1:11" outlineLevel="1" x14ac:dyDescent="0.2">
      <c r="A669" s="29"/>
      <c r="B669" s="30" t="s">
        <v>1555</v>
      </c>
      <c r="C669" s="30" t="s">
        <v>177</v>
      </c>
      <c r="D669" s="34" t="s">
        <v>1052</v>
      </c>
      <c r="E669" s="31">
        <v>67398.05</v>
      </c>
      <c r="F669" s="31">
        <v>3.51</v>
      </c>
      <c r="G669" s="32">
        <f t="shared" si="100"/>
        <v>236567.15549999999</v>
      </c>
      <c r="H669" s="33">
        <f t="shared" si="93"/>
        <v>1.2266127414910098E-3</v>
      </c>
      <c r="K669" t="str">
        <f xml:space="preserve"> B662 &amp; B669</f>
        <v>Z000082049Z040303013</v>
      </c>
    </row>
    <row r="670" spans="1:11" outlineLevel="1" x14ac:dyDescent="0.2">
      <c r="A670" s="29"/>
      <c r="B670" s="30" t="s">
        <v>498</v>
      </c>
      <c r="C670" s="30" t="s">
        <v>773</v>
      </c>
      <c r="D670" s="34" t="s">
        <v>84</v>
      </c>
      <c r="E670" s="31">
        <v>80877.66</v>
      </c>
      <c r="F670" s="31">
        <v>0</v>
      </c>
      <c r="G670" s="32">
        <f t="shared" si="100"/>
        <v>0</v>
      </c>
      <c r="H670" s="33">
        <f t="shared" si="93"/>
        <v>0</v>
      </c>
      <c r="K670" t="str">
        <f xml:space="preserve"> B662 &amp; B670</f>
        <v>Z000082049Z040401001</v>
      </c>
    </row>
    <row r="671" spans="1:11" outlineLevel="1" x14ac:dyDescent="0.2">
      <c r="A671" s="11" t="s">
        <v>1687</v>
      </c>
      <c r="B671" s="11" t="s">
        <v>203</v>
      </c>
      <c r="C671" s="11" t="s">
        <v>2624</v>
      </c>
      <c r="D671" s="12" t="s">
        <v>1052</v>
      </c>
      <c r="E671" s="13">
        <v>30360.19</v>
      </c>
      <c r="F671" s="14">
        <v>10.405509499999999</v>
      </c>
      <c r="G671" s="15">
        <f>SUM(G672:G679)</f>
        <v>315913.24546680495</v>
      </c>
      <c r="H671" s="16">
        <f t="shared" si="93"/>
        <v>1.6380262563344724E-3</v>
      </c>
    </row>
    <row r="672" spans="1:11" outlineLevel="1" x14ac:dyDescent="0.2">
      <c r="A672" s="29"/>
      <c r="B672" s="30" t="s">
        <v>105</v>
      </c>
      <c r="C672" s="30" t="s">
        <v>707</v>
      </c>
      <c r="D672" s="34" t="s">
        <v>1052</v>
      </c>
      <c r="E672" s="31">
        <v>30511.990949999996</v>
      </c>
      <c r="F672" s="31">
        <v>5.5869</v>
      </c>
      <c r="G672" s="32">
        <f t="shared" ref="G672:G679" si="101">F672*E672</f>
        <v>170467.44223855497</v>
      </c>
      <c r="H672" s="33">
        <f t="shared" si="93"/>
        <v>8.8388236404691567E-4</v>
      </c>
      <c r="K672" t="str">
        <f xml:space="preserve"> B671 &amp; B672</f>
        <v>Z000082050Z010101003</v>
      </c>
    </row>
    <row r="673" spans="1:11" outlineLevel="1" x14ac:dyDescent="0.2">
      <c r="A673" s="29"/>
      <c r="B673" s="30" t="s">
        <v>1561</v>
      </c>
      <c r="C673" s="30" t="s">
        <v>1939</v>
      </c>
      <c r="D673" s="34" t="s">
        <v>1052</v>
      </c>
      <c r="E673" s="31">
        <v>759.00475000000006</v>
      </c>
      <c r="F673" s="31">
        <v>9.8886000000000003</v>
      </c>
      <c r="G673" s="32">
        <f t="shared" si="101"/>
        <v>7505.4943708500005</v>
      </c>
      <c r="H673" s="33">
        <f t="shared" si="93"/>
        <v>3.8916370309375691E-5</v>
      </c>
      <c r="K673" t="str">
        <f xml:space="preserve"> B671 &amp; B673</f>
        <v>Z000082050Z010105001</v>
      </c>
    </row>
    <row r="674" spans="1:11" outlineLevel="1" x14ac:dyDescent="0.2">
      <c r="A674" s="29"/>
      <c r="B674" s="30" t="s">
        <v>1371</v>
      </c>
      <c r="C674" s="30" t="s">
        <v>2406</v>
      </c>
      <c r="D674" s="34" t="s">
        <v>1781</v>
      </c>
      <c r="E674" s="31">
        <v>22557.621169999999</v>
      </c>
      <c r="F674" s="31">
        <v>0.22</v>
      </c>
      <c r="G674" s="32">
        <f t="shared" si="101"/>
        <v>4962.6766573999994</v>
      </c>
      <c r="H674" s="33">
        <f t="shared" si="93"/>
        <v>2.5731731046945166E-5</v>
      </c>
      <c r="K674" t="str">
        <f xml:space="preserve"> B671 &amp; B674</f>
        <v>Z000082050Z030107001</v>
      </c>
    </row>
    <row r="675" spans="1:11" outlineLevel="1" x14ac:dyDescent="0.2">
      <c r="A675" s="29"/>
      <c r="B675" s="30" t="s">
        <v>935</v>
      </c>
      <c r="C675" s="30" t="s">
        <v>1352</v>
      </c>
      <c r="D675" s="34" t="s">
        <v>151</v>
      </c>
      <c r="E675" s="31">
        <v>0</v>
      </c>
      <c r="F675" s="31">
        <v>15.1457</v>
      </c>
      <c r="G675" s="32">
        <f t="shared" si="101"/>
        <v>0</v>
      </c>
      <c r="H675" s="33">
        <f t="shared" si="93"/>
        <v>0</v>
      </c>
      <c r="K675" t="str">
        <f xml:space="preserve"> B671 &amp; B675</f>
        <v>Z000082050Z040201001</v>
      </c>
    </row>
    <row r="676" spans="1:11" outlineLevel="1" x14ac:dyDescent="0.2">
      <c r="A676" s="29"/>
      <c r="B676" s="30" t="s">
        <v>792</v>
      </c>
      <c r="C676" s="30" t="s">
        <v>335</v>
      </c>
      <c r="D676" s="34" t="s">
        <v>151</v>
      </c>
      <c r="E676" s="31">
        <v>0</v>
      </c>
      <c r="F676" s="31">
        <v>11.1343</v>
      </c>
      <c r="G676" s="32">
        <f t="shared" si="101"/>
        <v>0</v>
      </c>
      <c r="H676" s="33">
        <f t="shared" si="93"/>
        <v>0</v>
      </c>
      <c r="K676" t="str">
        <f xml:space="preserve"> B671 &amp; B676</f>
        <v>Z000082050Z040202001</v>
      </c>
    </row>
    <row r="677" spans="1:11" outlineLevel="1" x14ac:dyDescent="0.2">
      <c r="A677" s="29"/>
      <c r="B677" s="30" t="s">
        <v>1547</v>
      </c>
      <c r="C677" s="30" t="s">
        <v>1483</v>
      </c>
      <c r="D677" s="34" t="s">
        <v>1052</v>
      </c>
      <c r="E677" s="31">
        <v>30360.19</v>
      </c>
      <c r="F677" s="31">
        <v>0.87</v>
      </c>
      <c r="G677" s="32">
        <f t="shared" si="101"/>
        <v>26413.365299999998</v>
      </c>
      <c r="H677" s="33">
        <f t="shared" si="93"/>
        <v>1.3695464340414962E-4</v>
      </c>
      <c r="K677" t="str">
        <f xml:space="preserve"> B671 &amp; B677</f>
        <v>Z000082050Z040303010</v>
      </c>
    </row>
    <row r="678" spans="1:11" outlineLevel="1" x14ac:dyDescent="0.2">
      <c r="A678" s="29"/>
      <c r="B678" s="30" t="s">
        <v>1555</v>
      </c>
      <c r="C678" s="30" t="s">
        <v>177</v>
      </c>
      <c r="D678" s="34" t="s">
        <v>1052</v>
      </c>
      <c r="E678" s="31">
        <v>30360.19</v>
      </c>
      <c r="F678" s="31">
        <v>3.51</v>
      </c>
      <c r="G678" s="32">
        <f t="shared" si="101"/>
        <v>106564.26689999999</v>
      </c>
      <c r="H678" s="33">
        <f t="shared" si="93"/>
        <v>5.5254114752708639E-4</v>
      </c>
      <c r="K678" t="str">
        <f xml:space="preserve"> B671 &amp; B678</f>
        <v>Z000082050Z040303013</v>
      </c>
    </row>
    <row r="679" spans="1:11" outlineLevel="1" x14ac:dyDescent="0.2">
      <c r="A679" s="29"/>
      <c r="B679" s="30" t="s">
        <v>498</v>
      </c>
      <c r="C679" s="30" t="s">
        <v>773</v>
      </c>
      <c r="D679" s="34" t="s">
        <v>84</v>
      </c>
      <c r="E679" s="31">
        <v>36432.227999999996</v>
      </c>
      <c r="F679" s="31">
        <v>0</v>
      </c>
      <c r="G679" s="32">
        <f t="shared" si="101"/>
        <v>0</v>
      </c>
      <c r="H679" s="33">
        <f t="shared" si="93"/>
        <v>0</v>
      </c>
      <c r="K679" t="str">
        <f xml:space="preserve"> B671 &amp; B679</f>
        <v>Z000082050Z040401001</v>
      </c>
    </row>
    <row r="680" spans="1:11" outlineLevel="1" x14ac:dyDescent="0.2">
      <c r="A680" s="11" t="s">
        <v>1689</v>
      </c>
      <c r="B680" s="11" t="s">
        <v>206</v>
      </c>
      <c r="C680" s="11" t="s">
        <v>2633</v>
      </c>
      <c r="D680" s="12" t="s">
        <v>1052</v>
      </c>
      <c r="E680" s="13">
        <v>85087.26</v>
      </c>
      <c r="F680" s="14">
        <v>10.9353645</v>
      </c>
      <c r="G680" s="15">
        <f>SUM(G681:G688)</f>
        <v>930460.20240626996</v>
      </c>
      <c r="H680" s="16">
        <f t="shared" si="93"/>
        <v>4.8244835057918043E-3</v>
      </c>
    </row>
    <row r="681" spans="1:11" outlineLevel="1" x14ac:dyDescent="0.2">
      <c r="A681" s="29"/>
      <c r="B681" s="30" t="s">
        <v>107</v>
      </c>
      <c r="C681" s="30" t="s">
        <v>564</v>
      </c>
      <c r="D681" s="34" t="s">
        <v>1052</v>
      </c>
      <c r="E681" s="31">
        <v>85512.696299999981</v>
      </c>
      <c r="F681" s="31">
        <v>6.1578999999999997</v>
      </c>
      <c r="G681" s="32">
        <f t="shared" ref="G681:G688" si="102">F681*E681</f>
        <v>526578.63254576991</v>
      </c>
      <c r="H681" s="33">
        <f t="shared" si="93"/>
        <v>2.7303370102767879E-3</v>
      </c>
      <c r="K681" t="str">
        <f xml:space="preserve"> B680 &amp; B681</f>
        <v>Z000082051Z010101004</v>
      </c>
    </row>
    <row r="682" spans="1:11" outlineLevel="1" x14ac:dyDescent="0.2">
      <c r="A682" s="29"/>
      <c r="B682" s="30" t="s">
        <v>1561</v>
      </c>
      <c r="C682" s="30" t="s">
        <v>1939</v>
      </c>
      <c r="D682" s="34" t="s">
        <v>1052</v>
      </c>
      <c r="E682" s="31">
        <v>2127.1815000000001</v>
      </c>
      <c r="F682" s="31">
        <v>9.8886000000000003</v>
      </c>
      <c r="G682" s="32">
        <f t="shared" si="102"/>
        <v>21034.846980900002</v>
      </c>
      <c r="H682" s="33">
        <f t="shared" si="93"/>
        <v>1.0906675217678578E-4</v>
      </c>
      <c r="K682" t="str">
        <f xml:space="preserve"> B680 &amp; B682</f>
        <v>Z000082051Z010105001</v>
      </c>
    </row>
    <row r="683" spans="1:11" outlineLevel="1" x14ac:dyDescent="0.2">
      <c r="A683" s="29"/>
      <c r="B683" s="30" t="s">
        <v>1371</v>
      </c>
      <c r="C683" s="30" t="s">
        <v>2406</v>
      </c>
      <c r="D683" s="34" t="s">
        <v>1781</v>
      </c>
      <c r="E683" s="31">
        <v>46202.382180000001</v>
      </c>
      <c r="F683" s="31">
        <v>0.22</v>
      </c>
      <c r="G683" s="32">
        <f t="shared" si="102"/>
        <v>10164.5240796</v>
      </c>
      <c r="H683" s="33">
        <f t="shared" si="93"/>
        <v>5.2703574682114064E-5</v>
      </c>
      <c r="K683" t="str">
        <f xml:space="preserve"> B680 &amp; B683</f>
        <v>Z000082051Z030107001</v>
      </c>
    </row>
    <row r="684" spans="1:11" outlineLevel="1" x14ac:dyDescent="0.2">
      <c r="A684" s="29"/>
      <c r="B684" s="30" t="s">
        <v>935</v>
      </c>
      <c r="C684" s="30" t="s">
        <v>1352</v>
      </c>
      <c r="D684" s="34" t="s">
        <v>151</v>
      </c>
      <c r="E684" s="31">
        <v>0</v>
      </c>
      <c r="F684" s="31">
        <v>15.1457</v>
      </c>
      <c r="G684" s="32">
        <f t="shared" si="102"/>
        <v>0</v>
      </c>
      <c r="H684" s="33">
        <f t="shared" si="93"/>
        <v>0</v>
      </c>
      <c r="K684" t="str">
        <f xml:space="preserve"> B680 &amp; B684</f>
        <v>Z000082051Z040201001</v>
      </c>
    </row>
    <row r="685" spans="1:11" outlineLevel="1" x14ac:dyDescent="0.2">
      <c r="A685" s="29"/>
      <c r="B685" s="30" t="s">
        <v>792</v>
      </c>
      <c r="C685" s="30" t="s">
        <v>335</v>
      </c>
      <c r="D685" s="34" t="s">
        <v>151</v>
      </c>
      <c r="E685" s="31">
        <v>0</v>
      </c>
      <c r="F685" s="31">
        <v>11.1343</v>
      </c>
      <c r="G685" s="32">
        <f t="shared" si="102"/>
        <v>0</v>
      </c>
      <c r="H685" s="33">
        <f t="shared" si="93"/>
        <v>0</v>
      </c>
      <c r="K685" t="str">
        <f xml:space="preserve"> B680 &amp; B685</f>
        <v>Z000082051Z040202001</v>
      </c>
    </row>
    <row r="686" spans="1:11" outlineLevel="1" x14ac:dyDescent="0.2">
      <c r="A686" s="29"/>
      <c r="B686" s="30" t="s">
        <v>1547</v>
      </c>
      <c r="C686" s="30" t="s">
        <v>1483</v>
      </c>
      <c r="D686" s="34" t="s">
        <v>1052</v>
      </c>
      <c r="E686" s="31">
        <v>85087.26</v>
      </c>
      <c r="F686" s="31">
        <v>0.87</v>
      </c>
      <c r="G686" s="32">
        <f t="shared" si="102"/>
        <v>74025.916199999992</v>
      </c>
      <c r="H686" s="33">
        <f t="shared" si="93"/>
        <v>3.8382814308922847E-4</v>
      </c>
      <c r="K686" t="str">
        <f xml:space="preserve"> B680 &amp; B686</f>
        <v>Z000082051Z040303010</v>
      </c>
    </row>
    <row r="687" spans="1:11" outlineLevel="1" x14ac:dyDescent="0.2">
      <c r="A687" s="29"/>
      <c r="B687" s="30" t="s">
        <v>1555</v>
      </c>
      <c r="C687" s="30" t="s">
        <v>177</v>
      </c>
      <c r="D687" s="34" t="s">
        <v>1052</v>
      </c>
      <c r="E687" s="31">
        <v>85087.26</v>
      </c>
      <c r="F687" s="31">
        <v>3.51</v>
      </c>
      <c r="G687" s="32">
        <f t="shared" si="102"/>
        <v>298656.28259999998</v>
      </c>
      <c r="H687" s="33">
        <f t="shared" si="93"/>
        <v>1.5485480255668872E-3</v>
      </c>
      <c r="K687" t="str">
        <f xml:space="preserve"> B680 &amp; B687</f>
        <v>Z000082051Z040303013</v>
      </c>
    </row>
    <row r="688" spans="1:11" outlineLevel="1" x14ac:dyDescent="0.2">
      <c r="A688" s="29"/>
      <c r="B688" s="30" t="s">
        <v>498</v>
      </c>
      <c r="C688" s="30" t="s">
        <v>773</v>
      </c>
      <c r="D688" s="34" t="s">
        <v>84</v>
      </c>
      <c r="E688" s="31">
        <v>102104.71199999998</v>
      </c>
      <c r="F688" s="31">
        <v>0</v>
      </c>
      <c r="G688" s="32">
        <f t="shared" si="102"/>
        <v>0</v>
      </c>
      <c r="H688" s="33">
        <f t="shared" si="93"/>
        <v>0</v>
      </c>
      <c r="K688" t="str">
        <f xml:space="preserve"> B680 &amp; B688</f>
        <v>Z000082051Z040401001</v>
      </c>
    </row>
    <row r="689" spans="1:11" outlineLevel="1" x14ac:dyDescent="0.2">
      <c r="A689" s="11" t="s">
        <v>1690</v>
      </c>
      <c r="B689" s="11" t="s">
        <v>210</v>
      </c>
      <c r="C689" s="11" t="s">
        <v>2642</v>
      </c>
      <c r="D689" s="12" t="s">
        <v>1052</v>
      </c>
      <c r="E689" s="13">
        <v>69781.69</v>
      </c>
      <c r="F689" s="14">
        <v>10.716447999999998</v>
      </c>
      <c r="G689" s="15">
        <f>SUM(G690:G697)</f>
        <v>747811.85223711992</v>
      </c>
      <c r="H689" s="16">
        <f t="shared" si="93"/>
        <v>3.8774425141703314E-3</v>
      </c>
    </row>
    <row r="690" spans="1:11" outlineLevel="1" x14ac:dyDescent="0.2">
      <c r="A690" s="29"/>
      <c r="B690" s="30" t="s">
        <v>110</v>
      </c>
      <c r="C690" s="30" t="s">
        <v>1544</v>
      </c>
      <c r="D690" s="34" t="s">
        <v>1052</v>
      </c>
      <c r="E690" s="31">
        <v>70130.59844999999</v>
      </c>
      <c r="F690" s="31">
        <v>5.9786000000000001</v>
      </c>
      <c r="G690" s="32">
        <f t="shared" ref="G690:G697" si="103">F690*E690</f>
        <v>419282.79589316994</v>
      </c>
      <c r="H690" s="33">
        <f t="shared" si="93"/>
        <v>2.1740026363488009E-3</v>
      </c>
      <c r="K690" t="str">
        <f xml:space="preserve"> B689 &amp; B690</f>
        <v>Z000082052Z010101005</v>
      </c>
    </row>
    <row r="691" spans="1:11" outlineLevel="1" x14ac:dyDescent="0.2">
      <c r="A691" s="29"/>
      <c r="B691" s="30" t="s">
        <v>1561</v>
      </c>
      <c r="C691" s="30" t="s">
        <v>1939</v>
      </c>
      <c r="D691" s="34" t="s">
        <v>1052</v>
      </c>
      <c r="E691" s="31">
        <v>1744.5422500000002</v>
      </c>
      <c r="F691" s="31">
        <v>9.8886000000000003</v>
      </c>
      <c r="G691" s="32">
        <f t="shared" si="103"/>
        <v>17251.080493350004</v>
      </c>
      <c r="H691" s="33">
        <f t="shared" si="93"/>
        <v>8.9447730361834324E-5</v>
      </c>
      <c r="K691" t="str">
        <f xml:space="preserve"> B689 &amp; B691</f>
        <v>Z000082052Z010105001</v>
      </c>
    </row>
    <row r="692" spans="1:11" outlineLevel="1" x14ac:dyDescent="0.2">
      <c r="A692" s="29"/>
      <c r="B692" s="30" t="s">
        <v>1371</v>
      </c>
      <c r="C692" s="30" t="s">
        <v>2406</v>
      </c>
      <c r="D692" s="34" t="s">
        <v>1781</v>
      </c>
      <c r="E692" s="31">
        <v>25609.880229999999</v>
      </c>
      <c r="F692" s="31">
        <v>0.22</v>
      </c>
      <c r="G692" s="32">
        <f t="shared" si="103"/>
        <v>5634.1736505999997</v>
      </c>
      <c r="H692" s="33">
        <f t="shared" si="93"/>
        <v>2.9213477132918722E-5</v>
      </c>
      <c r="K692" t="str">
        <f xml:space="preserve"> B689 &amp; B692</f>
        <v>Z000082052Z030107001</v>
      </c>
    </row>
    <row r="693" spans="1:11" outlineLevel="1" x14ac:dyDescent="0.2">
      <c r="A693" s="29"/>
      <c r="B693" s="30" t="s">
        <v>935</v>
      </c>
      <c r="C693" s="30" t="s">
        <v>1352</v>
      </c>
      <c r="D693" s="34" t="s">
        <v>151</v>
      </c>
      <c r="E693" s="31">
        <v>0</v>
      </c>
      <c r="F693" s="31">
        <v>15.1457</v>
      </c>
      <c r="G693" s="32">
        <f t="shared" si="103"/>
        <v>0</v>
      </c>
      <c r="H693" s="33">
        <f t="shared" si="93"/>
        <v>0</v>
      </c>
      <c r="K693" t="str">
        <f xml:space="preserve"> B689 &amp; B693</f>
        <v>Z000082052Z040201001</v>
      </c>
    </row>
    <row r="694" spans="1:11" outlineLevel="1" x14ac:dyDescent="0.2">
      <c r="A694" s="29"/>
      <c r="B694" s="30" t="s">
        <v>792</v>
      </c>
      <c r="C694" s="30" t="s">
        <v>335</v>
      </c>
      <c r="D694" s="34" t="s">
        <v>151</v>
      </c>
      <c r="E694" s="31">
        <v>0</v>
      </c>
      <c r="F694" s="31">
        <v>11.1343</v>
      </c>
      <c r="G694" s="32">
        <f t="shared" si="103"/>
        <v>0</v>
      </c>
      <c r="H694" s="33">
        <f t="shared" si="93"/>
        <v>0</v>
      </c>
      <c r="K694" t="str">
        <f xml:space="preserve"> B689 &amp; B694</f>
        <v>Z000082052Z040202001</v>
      </c>
    </row>
    <row r="695" spans="1:11" outlineLevel="1" x14ac:dyDescent="0.2">
      <c r="A695" s="29"/>
      <c r="B695" s="30" t="s">
        <v>1547</v>
      </c>
      <c r="C695" s="30" t="s">
        <v>1483</v>
      </c>
      <c r="D695" s="34" t="s">
        <v>1052</v>
      </c>
      <c r="E695" s="31">
        <v>69781.69</v>
      </c>
      <c r="F695" s="31">
        <v>0.87</v>
      </c>
      <c r="G695" s="32">
        <f t="shared" si="103"/>
        <v>60710.070299999999</v>
      </c>
      <c r="H695" s="33">
        <f t="shared" si="93"/>
        <v>3.1478480437997634E-4</v>
      </c>
      <c r="K695" t="str">
        <f xml:space="preserve"> B689 &amp; B695</f>
        <v>Z000082052Z040303010</v>
      </c>
    </row>
    <row r="696" spans="1:11" outlineLevel="1" x14ac:dyDescent="0.2">
      <c r="A696" s="29"/>
      <c r="B696" s="30" t="s">
        <v>1555</v>
      </c>
      <c r="C696" s="30" t="s">
        <v>177</v>
      </c>
      <c r="D696" s="34" t="s">
        <v>1052</v>
      </c>
      <c r="E696" s="31">
        <v>69781.69</v>
      </c>
      <c r="F696" s="31">
        <v>3.51</v>
      </c>
      <c r="G696" s="32">
        <f t="shared" si="103"/>
        <v>244933.73189999998</v>
      </c>
      <c r="H696" s="33">
        <f t="shared" si="93"/>
        <v>1.2699938659468009E-3</v>
      </c>
      <c r="K696" t="str">
        <f xml:space="preserve"> B689 &amp; B696</f>
        <v>Z000082052Z040303013</v>
      </c>
    </row>
    <row r="697" spans="1:11" outlineLevel="1" x14ac:dyDescent="0.2">
      <c r="A697" s="29"/>
      <c r="B697" s="30" t="s">
        <v>498</v>
      </c>
      <c r="C697" s="30" t="s">
        <v>773</v>
      </c>
      <c r="D697" s="34" t="s">
        <v>84</v>
      </c>
      <c r="E697" s="31">
        <v>83738.028000000006</v>
      </c>
      <c r="F697" s="31">
        <v>0</v>
      </c>
      <c r="G697" s="32">
        <f t="shared" si="103"/>
        <v>0</v>
      </c>
      <c r="H697" s="33">
        <f t="shared" si="93"/>
        <v>0</v>
      </c>
      <c r="K697" t="str">
        <f xml:space="preserve"> B689 &amp; B697</f>
        <v>Z000082052Z040401001</v>
      </c>
    </row>
    <row r="698" spans="1:11" outlineLevel="1" x14ac:dyDescent="0.2">
      <c r="A698" s="11" t="s">
        <v>1692</v>
      </c>
      <c r="B698" s="11" t="s">
        <v>217</v>
      </c>
      <c r="C698" s="11" t="s">
        <v>2651</v>
      </c>
      <c r="D698" s="12" t="s">
        <v>1052</v>
      </c>
      <c r="E698" s="13">
        <v>127615.12</v>
      </c>
      <c r="F698" s="14">
        <v>10.682347999999999</v>
      </c>
      <c r="G698" s="15">
        <f>SUM(G699:G706)</f>
        <v>1363229.1219017599</v>
      </c>
      <c r="H698" s="16">
        <f t="shared" ref="H698:H761" si="104">G698/$F$2</f>
        <v>7.0684123794027692E-3</v>
      </c>
    </row>
    <row r="699" spans="1:11" outlineLevel="1" x14ac:dyDescent="0.2">
      <c r="A699" s="29"/>
      <c r="B699" s="30" t="s">
        <v>112</v>
      </c>
      <c r="C699" s="30" t="s">
        <v>1303</v>
      </c>
      <c r="D699" s="34" t="s">
        <v>1052</v>
      </c>
      <c r="E699" s="31">
        <v>128253.19559999998</v>
      </c>
      <c r="F699" s="31">
        <v>5.9786000000000001</v>
      </c>
      <c r="G699" s="32">
        <f t="shared" ref="G699:G706" si="105">F699*E699</f>
        <v>766774.55521415989</v>
      </c>
      <c r="H699" s="33">
        <f t="shared" si="104"/>
        <v>3.9757650942241242E-3</v>
      </c>
      <c r="K699" t="str">
        <f xml:space="preserve"> B698 &amp; B699</f>
        <v>Z000082053Z010101006</v>
      </c>
    </row>
    <row r="700" spans="1:11" outlineLevel="1" x14ac:dyDescent="0.2">
      <c r="A700" s="29"/>
      <c r="B700" s="30" t="s">
        <v>1561</v>
      </c>
      <c r="C700" s="30" t="s">
        <v>1939</v>
      </c>
      <c r="D700" s="34" t="s">
        <v>1052</v>
      </c>
      <c r="E700" s="31">
        <v>3190.3780000000002</v>
      </c>
      <c r="F700" s="31">
        <v>9.8886000000000003</v>
      </c>
      <c r="G700" s="32">
        <f t="shared" si="105"/>
        <v>31548.371890800001</v>
      </c>
      <c r="H700" s="33">
        <f t="shared" si="104"/>
        <v>1.6357991392660639E-4</v>
      </c>
      <c r="K700" t="str">
        <f xml:space="preserve"> B698 &amp; B700</f>
        <v>Z000082053Z010105001</v>
      </c>
    </row>
    <row r="701" spans="1:11" outlineLevel="1" x14ac:dyDescent="0.2">
      <c r="A701" s="29"/>
      <c r="B701" s="30" t="s">
        <v>1371</v>
      </c>
      <c r="C701" s="30" t="s">
        <v>2406</v>
      </c>
      <c r="D701" s="34" t="s">
        <v>1781</v>
      </c>
      <c r="E701" s="31">
        <v>27054.405439999999</v>
      </c>
      <c r="F701" s="31">
        <v>0.22</v>
      </c>
      <c r="G701" s="32">
        <f t="shared" si="105"/>
        <v>5951.9691967999997</v>
      </c>
      <c r="H701" s="33">
        <f t="shared" si="104"/>
        <v>3.0861263214355607E-5</v>
      </c>
      <c r="K701" t="str">
        <f xml:space="preserve"> B698 &amp; B701</f>
        <v>Z000082053Z030107001</v>
      </c>
    </row>
    <row r="702" spans="1:11" outlineLevel="1" x14ac:dyDescent="0.2">
      <c r="A702" s="29"/>
      <c r="B702" s="30" t="s">
        <v>935</v>
      </c>
      <c r="C702" s="30" t="s">
        <v>1352</v>
      </c>
      <c r="D702" s="34" t="s">
        <v>151</v>
      </c>
      <c r="E702" s="31">
        <v>0</v>
      </c>
      <c r="F702" s="31">
        <v>15.1457</v>
      </c>
      <c r="G702" s="32">
        <f t="shared" si="105"/>
        <v>0</v>
      </c>
      <c r="H702" s="33">
        <f t="shared" si="104"/>
        <v>0</v>
      </c>
      <c r="K702" t="str">
        <f xml:space="preserve"> B698 &amp; B702</f>
        <v>Z000082053Z040201001</v>
      </c>
    </row>
    <row r="703" spans="1:11" outlineLevel="1" x14ac:dyDescent="0.2">
      <c r="A703" s="29"/>
      <c r="B703" s="30" t="s">
        <v>792</v>
      </c>
      <c r="C703" s="30" t="s">
        <v>335</v>
      </c>
      <c r="D703" s="34" t="s">
        <v>151</v>
      </c>
      <c r="E703" s="31">
        <v>0</v>
      </c>
      <c r="F703" s="31">
        <v>11.1343</v>
      </c>
      <c r="G703" s="32">
        <f t="shared" si="105"/>
        <v>0</v>
      </c>
      <c r="H703" s="33">
        <f t="shared" si="104"/>
        <v>0</v>
      </c>
      <c r="K703" t="str">
        <f xml:space="preserve"> B698 &amp; B703</f>
        <v>Z000082053Z040202001</v>
      </c>
    </row>
    <row r="704" spans="1:11" outlineLevel="1" x14ac:dyDescent="0.2">
      <c r="A704" s="29"/>
      <c r="B704" s="30" t="s">
        <v>1547</v>
      </c>
      <c r="C704" s="30" t="s">
        <v>1483</v>
      </c>
      <c r="D704" s="34" t="s">
        <v>1052</v>
      </c>
      <c r="E704" s="31">
        <v>127615.12</v>
      </c>
      <c r="F704" s="31">
        <v>0.87</v>
      </c>
      <c r="G704" s="32">
        <f t="shared" si="105"/>
        <v>111025.1544</v>
      </c>
      <c r="H704" s="33">
        <f t="shared" si="104"/>
        <v>5.756710762540604E-4</v>
      </c>
      <c r="K704" t="str">
        <f xml:space="preserve"> B698 &amp; B704</f>
        <v>Z000082053Z040303010</v>
      </c>
    </row>
    <row r="705" spans="1:11" outlineLevel="1" x14ac:dyDescent="0.2">
      <c r="A705" s="29"/>
      <c r="B705" s="30" t="s">
        <v>1555</v>
      </c>
      <c r="C705" s="30" t="s">
        <v>177</v>
      </c>
      <c r="D705" s="34" t="s">
        <v>1052</v>
      </c>
      <c r="E705" s="31">
        <v>127615.12</v>
      </c>
      <c r="F705" s="31">
        <v>3.51</v>
      </c>
      <c r="G705" s="32">
        <f t="shared" si="105"/>
        <v>447929.07119999995</v>
      </c>
      <c r="H705" s="33">
        <f t="shared" si="104"/>
        <v>2.3225350317836227E-3</v>
      </c>
      <c r="K705" t="str">
        <f xml:space="preserve"> B698 &amp; B705</f>
        <v>Z000082053Z040303013</v>
      </c>
    </row>
    <row r="706" spans="1:11" outlineLevel="1" x14ac:dyDescent="0.2">
      <c r="A706" s="29"/>
      <c r="B706" s="30" t="s">
        <v>498</v>
      </c>
      <c r="C706" s="30" t="s">
        <v>773</v>
      </c>
      <c r="D706" s="34" t="s">
        <v>84</v>
      </c>
      <c r="E706" s="31">
        <v>153138.144</v>
      </c>
      <c r="F706" s="31">
        <v>0</v>
      </c>
      <c r="G706" s="32">
        <f t="shared" si="105"/>
        <v>0</v>
      </c>
      <c r="H706" s="33">
        <f t="shared" si="104"/>
        <v>0</v>
      </c>
      <c r="K706" t="str">
        <f xml:space="preserve"> B698 &amp; B706</f>
        <v>Z000082053Z040401001</v>
      </c>
    </row>
    <row r="707" spans="1:11" outlineLevel="1" x14ac:dyDescent="0.2">
      <c r="A707" s="11" t="s">
        <v>1697</v>
      </c>
      <c r="B707" s="11" t="s">
        <v>220</v>
      </c>
      <c r="C707" s="11" t="s">
        <v>2660</v>
      </c>
      <c r="D707" s="12" t="s">
        <v>1052</v>
      </c>
      <c r="E707" s="13">
        <v>228434.02</v>
      </c>
      <c r="F707" s="14">
        <v>10.660568000000001</v>
      </c>
      <c r="G707" s="15">
        <f>SUM(G708:G715)</f>
        <v>2435236.40372336</v>
      </c>
      <c r="H707" s="16">
        <f t="shared" si="104"/>
        <v>1.2626824696084315E-2</v>
      </c>
    </row>
    <row r="708" spans="1:11" outlineLevel="1" x14ac:dyDescent="0.2">
      <c r="A708" s="29"/>
      <c r="B708" s="30" t="s">
        <v>116</v>
      </c>
      <c r="C708" s="30" t="s">
        <v>516</v>
      </c>
      <c r="D708" s="34" t="s">
        <v>1052</v>
      </c>
      <c r="E708" s="31">
        <v>229576.19009999998</v>
      </c>
      <c r="F708" s="31">
        <v>5.9786000000000001</v>
      </c>
      <c r="G708" s="32">
        <f t="shared" ref="G708:G715" si="106">F708*E708</f>
        <v>1372544.2101318599</v>
      </c>
      <c r="H708" s="33">
        <f t="shared" si="104"/>
        <v>7.1167115859726926E-3</v>
      </c>
      <c r="K708" t="str">
        <f xml:space="preserve"> B707 &amp; B708</f>
        <v>Z000082054Z010101007</v>
      </c>
    </row>
    <row r="709" spans="1:11" outlineLevel="1" x14ac:dyDescent="0.2">
      <c r="A709" s="29"/>
      <c r="B709" s="30" t="s">
        <v>1561</v>
      </c>
      <c r="C709" s="30" t="s">
        <v>1939</v>
      </c>
      <c r="D709" s="34" t="s">
        <v>1052</v>
      </c>
      <c r="E709" s="31">
        <v>5710.8505000000005</v>
      </c>
      <c r="F709" s="31">
        <v>9.8886000000000003</v>
      </c>
      <c r="G709" s="32">
        <f t="shared" si="106"/>
        <v>56472.316254300007</v>
      </c>
      <c r="H709" s="33">
        <f t="shared" si="104"/>
        <v>2.9281183397005531E-4</v>
      </c>
      <c r="K709" t="str">
        <f xml:space="preserve"> B707 &amp; B709</f>
        <v>Z000082054Z010105001</v>
      </c>
    </row>
    <row r="710" spans="1:11" outlineLevel="1" x14ac:dyDescent="0.2">
      <c r="A710" s="29"/>
      <c r="B710" s="30" t="s">
        <v>1371</v>
      </c>
      <c r="C710" s="30" t="s">
        <v>2406</v>
      </c>
      <c r="D710" s="34" t="s">
        <v>1781</v>
      </c>
      <c r="E710" s="31">
        <v>25813.044259999999</v>
      </c>
      <c r="F710" s="31">
        <v>0.22</v>
      </c>
      <c r="G710" s="32">
        <f t="shared" si="106"/>
        <v>5678.8697371999997</v>
      </c>
      <c r="H710" s="33">
        <f t="shared" si="104"/>
        <v>2.9445228616773146E-5</v>
      </c>
      <c r="K710" t="str">
        <f xml:space="preserve"> B707 &amp; B710</f>
        <v>Z000082054Z030107001</v>
      </c>
    </row>
    <row r="711" spans="1:11" outlineLevel="1" x14ac:dyDescent="0.2">
      <c r="A711" s="29"/>
      <c r="B711" s="30" t="s">
        <v>935</v>
      </c>
      <c r="C711" s="30" t="s">
        <v>1352</v>
      </c>
      <c r="D711" s="34" t="s">
        <v>151</v>
      </c>
      <c r="E711" s="31">
        <v>0</v>
      </c>
      <c r="F711" s="31">
        <v>15.1457</v>
      </c>
      <c r="G711" s="32">
        <f t="shared" si="106"/>
        <v>0</v>
      </c>
      <c r="H711" s="33">
        <f t="shared" si="104"/>
        <v>0</v>
      </c>
      <c r="K711" t="str">
        <f xml:space="preserve"> B707 &amp; B711</f>
        <v>Z000082054Z040201001</v>
      </c>
    </row>
    <row r="712" spans="1:11" outlineLevel="1" x14ac:dyDescent="0.2">
      <c r="A712" s="29"/>
      <c r="B712" s="30" t="s">
        <v>792</v>
      </c>
      <c r="C712" s="30" t="s">
        <v>335</v>
      </c>
      <c r="D712" s="34" t="s">
        <v>151</v>
      </c>
      <c r="E712" s="31">
        <v>0</v>
      </c>
      <c r="F712" s="31">
        <v>11.1343</v>
      </c>
      <c r="G712" s="32">
        <f t="shared" si="106"/>
        <v>0</v>
      </c>
      <c r="H712" s="33">
        <f t="shared" si="104"/>
        <v>0</v>
      </c>
      <c r="K712" t="str">
        <f xml:space="preserve"> B707 &amp; B712</f>
        <v>Z000082054Z040202001</v>
      </c>
    </row>
    <row r="713" spans="1:11" outlineLevel="1" x14ac:dyDescent="0.2">
      <c r="A713" s="29"/>
      <c r="B713" s="30" t="s">
        <v>1547</v>
      </c>
      <c r="C713" s="30" t="s">
        <v>1483</v>
      </c>
      <c r="D713" s="34" t="s">
        <v>1052</v>
      </c>
      <c r="E713" s="31">
        <v>228434.02</v>
      </c>
      <c r="F713" s="31">
        <v>0.87</v>
      </c>
      <c r="G713" s="32">
        <f t="shared" si="106"/>
        <v>198737.5974</v>
      </c>
      <c r="H713" s="33">
        <f t="shared" si="104"/>
        <v>1.030464557385062E-3</v>
      </c>
      <c r="K713" t="str">
        <f xml:space="preserve"> B707 &amp; B713</f>
        <v>Z000082054Z040303010</v>
      </c>
    </row>
    <row r="714" spans="1:11" outlineLevel="1" x14ac:dyDescent="0.2">
      <c r="A714" s="29"/>
      <c r="B714" s="30" t="s">
        <v>1555</v>
      </c>
      <c r="C714" s="30" t="s">
        <v>177</v>
      </c>
      <c r="D714" s="34" t="s">
        <v>1052</v>
      </c>
      <c r="E714" s="31">
        <v>228434.02</v>
      </c>
      <c r="F714" s="31">
        <v>3.51</v>
      </c>
      <c r="G714" s="32">
        <f t="shared" si="106"/>
        <v>801803.41019999993</v>
      </c>
      <c r="H714" s="33">
        <f t="shared" si="104"/>
        <v>4.1573914901397325E-3</v>
      </c>
      <c r="K714" t="str">
        <f xml:space="preserve"> B707 &amp; B714</f>
        <v>Z000082054Z040303013</v>
      </c>
    </row>
    <row r="715" spans="1:11" outlineLevel="1" x14ac:dyDescent="0.2">
      <c r="A715" s="29"/>
      <c r="B715" s="30" t="s">
        <v>498</v>
      </c>
      <c r="C715" s="30" t="s">
        <v>773</v>
      </c>
      <c r="D715" s="34" t="s">
        <v>84</v>
      </c>
      <c r="E715" s="31">
        <v>274120.82399999996</v>
      </c>
      <c r="F715" s="31">
        <v>0</v>
      </c>
      <c r="G715" s="32">
        <f t="shared" si="106"/>
        <v>0</v>
      </c>
      <c r="H715" s="33">
        <f t="shared" si="104"/>
        <v>0</v>
      </c>
      <c r="K715" t="str">
        <f xml:space="preserve"> B707 &amp; B715</f>
        <v>Z000082054Z040401001</v>
      </c>
    </row>
    <row r="716" spans="1:11" outlineLevel="1" x14ac:dyDescent="0.2">
      <c r="A716" s="11" t="s">
        <v>1699</v>
      </c>
      <c r="B716" s="11" t="s">
        <v>226</v>
      </c>
      <c r="C716" s="11" t="s">
        <v>2669</v>
      </c>
      <c r="D716" s="12" t="s">
        <v>1052</v>
      </c>
      <c r="E716" s="13">
        <v>171659.24</v>
      </c>
      <c r="F716" s="14">
        <v>9.7727979999999999</v>
      </c>
      <c r="G716" s="15">
        <f>SUM(G717:G724)</f>
        <v>1677591.0773535199</v>
      </c>
      <c r="H716" s="16">
        <f t="shared" si="104"/>
        <v>8.6983951180554225E-3</v>
      </c>
    </row>
    <row r="717" spans="1:11" outlineLevel="1" x14ac:dyDescent="0.2">
      <c r="A717" s="29"/>
      <c r="B717" s="30" t="s">
        <v>118</v>
      </c>
      <c r="C717" s="30" t="s">
        <v>466</v>
      </c>
      <c r="D717" s="34" t="s">
        <v>1052</v>
      </c>
      <c r="E717" s="31">
        <v>172517.53619999997</v>
      </c>
      <c r="F717" s="31">
        <v>5.1086</v>
      </c>
      <c r="G717" s="32">
        <f t="shared" ref="G717:G724" si="107">F717*E717</f>
        <v>881323.08543131989</v>
      </c>
      <c r="H717" s="33">
        <f t="shared" si="104"/>
        <v>4.5697050534144286E-3</v>
      </c>
      <c r="K717" t="str">
        <f xml:space="preserve"> B716 &amp; B717</f>
        <v>Z000082055Z010101008</v>
      </c>
    </row>
    <row r="718" spans="1:11" outlineLevel="1" x14ac:dyDescent="0.2">
      <c r="A718" s="29"/>
      <c r="B718" s="30" t="s">
        <v>1561</v>
      </c>
      <c r="C718" s="30" t="s">
        <v>1939</v>
      </c>
      <c r="D718" s="34" t="s">
        <v>1052</v>
      </c>
      <c r="E718" s="31">
        <v>4291.4809999999998</v>
      </c>
      <c r="F718" s="31">
        <v>9.8886000000000003</v>
      </c>
      <c r="G718" s="32">
        <f t="shared" si="107"/>
        <v>42436.739016599997</v>
      </c>
      <c r="H718" s="33">
        <f t="shared" si="104"/>
        <v>2.2003665164368192E-4</v>
      </c>
      <c r="K718" t="str">
        <f xml:space="preserve"> B716 &amp; B718</f>
        <v>Z000082055Z010105001</v>
      </c>
    </row>
    <row r="719" spans="1:11" outlineLevel="1" x14ac:dyDescent="0.2">
      <c r="A719" s="29"/>
      <c r="B719" s="30" t="s">
        <v>1371</v>
      </c>
      <c r="C719" s="30" t="s">
        <v>2406</v>
      </c>
      <c r="D719" s="34" t="s">
        <v>1781</v>
      </c>
      <c r="E719" s="31">
        <v>8926.2804799999994</v>
      </c>
      <c r="F719" s="31">
        <v>0.22</v>
      </c>
      <c r="G719" s="32">
        <f t="shared" si="107"/>
        <v>1963.7817055999999</v>
      </c>
      <c r="H719" s="33">
        <f t="shared" si="104"/>
        <v>1.0182308091352552E-5</v>
      </c>
      <c r="K719" t="str">
        <f xml:space="preserve"> B716 &amp; B719</f>
        <v>Z000082055Z030107001</v>
      </c>
    </row>
    <row r="720" spans="1:11" outlineLevel="1" x14ac:dyDescent="0.2">
      <c r="A720" s="29"/>
      <c r="B720" s="30" t="s">
        <v>935</v>
      </c>
      <c r="C720" s="30" t="s">
        <v>1352</v>
      </c>
      <c r="D720" s="34" t="s">
        <v>151</v>
      </c>
      <c r="E720" s="31">
        <v>0</v>
      </c>
      <c r="F720" s="31">
        <v>15.1457</v>
      </c>
      <c r="G720" s="32">
        <f t="shared" si="107"/>
        <v>0</v>
      </c>
      <c r="H720" s="33">
        <f t="shared" si="104"/>
        <v>0</v>
      </c>
      <c r="K720" t="str">
        <f xml:space="preserve"> B716 &amp; B720</f>
        <v>Z000082055Z040201001</v>
      </c>
    </row>
    <row r="721" spans="1:11" outlineLevel="1" x14ac:dyDescent="0.2">
      <c r="A721" s="29"/>
      <c r="B721" s="30" t="s">
        <v>792</v>
      </c>
      <c r="C721" s="30" t="s">
        <v>335</v>
      </c>
      <c r="D721" s="34" t="s">
        <v>151</v>
      </c>
      <c r="E721" s="31">
        <v>0</v>
      </c>
      <c r="F721" s="31">
        <v>11.1343</v>
      </c>
      <c r="G721" s="32">
        <f t="shared" si="107"/>
        <v>0</v>
      </c>
      <c r="H721" s="33">
        <f t="shared" si="104"/>
        <v>0</v>
      </c>
      <c r="K721" t="str">
        <f xml:space="preserve"> B716 &amp; B721</f>
        <v>Z000082055Z040202001</v>
      </c>
    </row>
    <row r="722" spans="1:11" outlineLevel="1" x14ac:dyDescent="0.2">
      <c r="A722" s="29"/>
      <c r="B722" s="30" t="s">
        <v>1547</v>
      </c>
      <c r="C722" s="30" t="s">
        <v>1483</v>
      </c>
      <c r="D722" s="34" t="s">
        <v>1052</v>
      </c>
      <c r="E722" s="31">
        <v>171659.24</v>
      </c>
      <c r="F722" s="31">
        <v>0.87</v>
      </c>
      <c r="G722" s="32">
        <f t="shared" si="107"/>
        <v>149343.53879999998</v>
      </c>
      <c r="H722" s="33">
        <f t="shared" si="104"/>
        <v>7.7435384960460832E-4</v>
      </c>
      <c r="K722" t="str">
        <f xml:space="preserve"> B716 &amp; B722</f>
        <v>Z000082055Z040303010</v>
      </c>
    </row>
    <row r="723" spans="1:11" outlineLevel="1" x14ac:dyDescent="0.2">
      <c r="A723" s="29"/>
      <c r="B723" s="30" t="s">
        <v>1555</v>
      </c>
      <c r="C723" s="30" t="s">
        <v>177</v>
      </c>
      <c r="D723" s="34" t="s">
        <v>1052</v>
      </c>
      <c r="E723" s="31">
        <v>171659.24</v>
      </c>
      <c r="F723" s="31">
        <v>3.51</v>
      </c>
      <c r="G723" s="32">
        <f t="shared" si="107"/>
        <v>602523.93239999993</v>
      </c>
      <c r="H723" s="33">
        <f t="shared" si="104"/>
        <v>3.1241172553013508E-3</v>
      </c>
      <c r="K723" t="str">
        <f xml:space="preserve"> B716 &amp; B723</f>
        <v>Z000082055Z040303013</v>
      </c>
    </row>
    <row r="724" spans="1:11" outlineLevel="1" x14ac:dyDescent="0.2">
      <c r="A724" s="29"/>
      <c r="B724" s="30" t="s">
        <v>498</v>
      </c>
      <c r="C724" s="30" t="s">
        <v>773</v>
      </c>
      <c r="D724" s="34" t="s">
        <v>84</v>
      </c>
      <c r="E724" s="31">
        <v>205991.08799999999</v>
      </c>
      <c r="F724" s="31">
        <v>0</v>
      </c>
      <c r="G724" s="32">
        <f t="shared" si="107"/>
        <v>0</v>
      </c>
      <c r="H724" s="33">
        <f t="shared" si="104"/>
        <v>0</v>
      </c>
      <c r="K724" t="str">
        <f xml:space="preserve"> B716 &amp; B724</f>
        <v>Z000082055Z040401001</v>
      </c>
    </row>
    <row r="725" spans="1:11" outlineLevel="1" x14ac:dyDescent="0.2">
      <c r="A725" s="11" t="s">
        <v>1701</v>
      </c>
      <c r="B725" s="11" t="s">
        <v>22</v>
      </c>
      <c r="C725" s="11" t="s">
        <v>2577</v>
      </c>
      <c r="D725" s="12" t="s">
        <v>1052</v>
      </c>
      <c r="E725" s="13">
        <v>3444</v>
      </c>
      <c r="F725" s="14">
        <v>34.17</v>
      </c>
      <c r="G725" s="15">
        <f>SUM(G726:G727)</f>
        <v>117681.48000000001</v>
      </c>
      <c r="H725" s="16">
        <f t="shared" si="104"/>
        <v>6.101844632676385E-4</v>
      </c>
    </row>
    <row r="726" spans="1:11" outlineLevel="1" x14ac:dyDescent="0.2">
      <c r="A726" s="29"/>
      <c r="B726" s="30" t="s">
        <v>1841</v>
      </c>
      <c r="C726" s="30" t="s">
        <v>1956</v>
      </c>
      <c r="D726" s="34" t="s">
        <v>1052</v>
      </c>
      <c r="E726" s="31">
        <v>3444</v>
      </c>
      <c r="F726" s="31">
        <v>23.17</v>
      </c>
      <c r="G726" s="32">
        <f t="shared" ref="G726:G727" si="108">F726*E726</f>
        <v>79797.48000000001</v>
      </c>
      <c r="H726" s="33">
        <f t="shared" si="104"/>
        <v>4.1375399513933817E-4</v>
      </c>
      <c r="K726" t="str">
        <f xml:space="preserve"> B725 &amp; B726</f>
        <v>Z000082025Z010103001</v>
      </c>
    </row>
    <row r="727" spans="1:11" outlineLevel="1" x14ac:dyDescent="0.2">
      <c r="A727" s="29"/>
      <c r="B727" s="30" t="s">
        <v>1492</v>
      </c>
      <c r="C727" s="30" t="s">
        <v>828</v>
      </c>
      <c r="D727" s="34" t="s">
        <v>1052</v>
      </c>
      <c r="E727" s="31">
        <v>3444</v>
      </c>
      <c r="F727" s="31">
        <v>11</v>
      </c>
      <c r="G727" s="32">
        <f t="shared" si="108"/>
        <v>37884</v>
      </c>
      <c r="H727" s="33">
        <f t="shared" si="104"/>
        <v>1.9643046812830035E-4</v>
      </c>
      <c r="K727" t="str">
        <f xml:space="preserve"> B725 &amp; B727</f>
        <v>Z000082025Z040303003</v>
      </c>
    </row>
    <row r="728" spans="1:11" outlineLevel="1" x14ac:dyDescent="0.2">
      <c r="A728" s="11" t="s">
        <v>1768</v>
      </c>
      <c r="B728" s="11" t="s">
        <v>24</v>
      </c>
      <c r="C728" s="11" t="s">
        <v>2580</v>
      </c>
      <c r="D728" s="12" t="s">
        <v>1052</v>
      </c>
      <c r="E728" s="13">
        <v>5720</v>
      </c>
      <c r="F728" s="14">
        <v>15.078852099999999</v>
      </c>
      <c r="G728" s="15">
        <f>SUM(G729:G735)</f>
        <v>86251.034011999989</v>
      </c>
      <c r="H728" s="16">
        <f t="shared" si="104"/>
        <v>4.4721600114895767E-4</v>
      </c>
    </row>
    <row r="729" spans="1:11" outlineLevel="1" x14ac:dyDescent="0.2">
      <c r="A729" s="29"/>
      <c r="B729" s="30" t="s">
        <v>1955</v>
      </c>
      <c r="C729" s="30" t="s">
        <v>556</v>
      </c>
      <c r="D729" s="34" t="s">
        <v>1152</v>
      </c>
      <c r="E729" s="31">
        <v>3174.6000000000004</v>
      </c>
      <c r="F729" s="31">
        <v>16.500499999999999</v>
      </c>
      <c r="G729" s="32">
        <f t="shared" ref="G729:G735" si="109">F729*E729</f>
        <v>52382.487300000001</v>
      </c>
      <c r="H729" s="33">
        <f t="shared" si="104"/>
        <v>2.7160586268777713E-4</v>
      </c>
      <c r="K729" t="str">
        <f xml:space="preserve"> B728 &amp; B729</f>
        <v>Z000082026Z010102001</v>
      </c>
    </row>
    <row r="730" spans="1:11" outlineLevel="1" x14ac:dyDescent="0.2">
      <c r="A730" s="29"/>
      <c r="B730" s="30" t="s">
        <v>1713</v>
      </c>
      <c r="C730" s="30" t="s">
        <v>1540</v>
      </c>
      <c r="D730" s="34" t="s">
        <v>153</v>
      </c>
      <c r="E730" s="31">
        <v>2602.6</v>
      </c>
      <c r="F730" s="31">
        <v>5.0599999999999996</v>
      </c>
      <c r="G730" s="32">
        <f t="shared" si="109"/>
        <v>13169.155999999999</v>
      </c>
      <c r="H730" s="33">
        <f t="shared" si="104"/>
        <v>6.8282744111884043E-5</v>
      </c>
      <c r="K730" t="str">
        <f xml:space="preserve"> B728 &amp; B730</f>
        <v>Z000082026Z010104001</v>
      </c>
    </row>
    <row r="731" spans="1:11" outlineLevel="1" x14ac:dyDescent="0.2">
      <c r="A731" s="29"/>
      <c r="B731" s="30" t="s">
        <v>1561</v>
      </c>
      <c r="C731" s="30" t="s">
        <v>1939</v>
      </c>
      <c r="D731" s="34" t="s">
        <v>1052</v>
      </c>
      <c r="E731" s="31">
        <v>62.919999999999995</v>
      </c>
      <c r="F731" s="31">
        <v>9.8886000000000003</v>
      </c>
      <c r="G731" s="32">
        <f t="shared" si="109"/>
        <v>622.19071199999996</v>
      </c>
      <c r="H731" s="33">
        <f t="shared" si="104"/>
        <v>3.2260905084795822E-6</v>
      </c>
      <c r="K731" t="str">
        <f xml:space="preserve"> B728 &amp; B731</f>
        <v>Z000082026Z010105001</v>
      </c>
    </row>
    <row r="732" spans="1:11" outlineLevel="1" x14ac:dyDescent="0.2">
      <c r="A732" s="29"/>
      <c r="B732" s="30" t="s">
        <v>935</v>
      </c>
      <c r="C732" s="30" t="s">
        <v>1352</v>
      </c>
      <c r="D732" s="34" t="s">
        <v>151</v>
      </c>
      <c r="E732" s="31">
        <v>0</v>
      </c>
      <c r="F732" s="31">
        <v>15.1457</v>
      </c>
      <c r="G732" s="32">
        <f t="shared" si="109"/>
        <v>0</v>
      </c>
      <c r="H732" s="33">
        <f t="shared" si="104"/>
        <v>0</v>
      </c>
      <c r="K732" t="str">
        <f xml:space="preserve"> B728 &amp; B732</f>
        <v>Z000082026Z040201001</v>
      </c>
    </row>
    <row r="733" spans="1:11" outlineLevel="1" x14ac:dyDescent="0.2">
      <c r="A733" s="29"/>
      <c r="B733" s="30" t="s">
        <v>792</v>
      </c>
      <c r="C733" s="30" t="s">
        <v>335</v>
      </c>
      <c r="D733" s="34" t="s">
        <v>151</v>
      </c>
      <c r="E733" s="31">
        <v>0</v>
      </c>
      <c r="F733" s="31">
        <v>11.1343</v>
      </c>
      <c r="G733" s="32">
        <f t="shared" si="109"/>
        <v>0</v>
      </c>
      <c r="H733" s="33">
        <f t="shared" si="104"/>
        <v>0</v>
      </c>
      <c r="K733" t="str">
        <f xml:space="preserve"> B728 &amp; B733</f>
        <v>Z000082026Z040202001</v>
      </c>
    </row>
    <row r="734" spans="1:11" outlineLevel="1" x14ac:dyDescent="0.2">
      <c r="A734" s="29"/>
      <c r="B734" s="30" t="s">
        <v>1555</v>
      </c>
      <c r="C734" s="30" t="s">
        <v>177</v>
      </c>
      <c r="D734" s="34" t="s">
        <v>1052</v>
      </c>
      <c r="E734" s="31">
        <v>5720</v>
      </c>
      <c r="F734" s="31">
        <v>3.51</v>
      </c>
      <c r="G734" s="32">
        <f t="shared" si="109"/>
        <v>20077.199999999997</v>
      </c>
      <c r="H734" s="33">
        <f t="shared" si="104"/>
        <v>1.0410130384081699E-4</v>
      </c>
      <c r="K734" t="str">
        <f xml:space="preserve"> B728 &amp; B734</f>
        <v>Z000082026Z040303013</v>
      </c>
    </row>
    <row r="735" spans="1:11" outlineLevel="1" x14ac:dyDescent="0.2">
      <c r="A735" s="29"/>
      <c r="B735" s="30" t="s">
        <v>498</v>
      </c>
      <c r="C735" s="30" t="s">
        <v>773</v>
      </c>
      <c r="D735" s="34" t="s">
        <v>84</v>
      </c>
      <c r="E735" s="31">
        <v>6864</v>
      </c>
      <c r="F735" s="31">
        <v>0</v>
      </c>
      <c r="G735" s="32">
        <f t="shared" si="109"/>
        <v>0</v>
      </c>
      <c r="H735" s="33">
        <f t="shared" si="104"/>
        <v>0</v>
      </c>
      <c r="K735" t="str">
        <f xml:space="preserve"> B728 &amp; B735</f>
        <v>Z000082026Z040401001</v>
      </c>
    </row>
    <row r="736" spans="1:11" ht="15" x14ac:dyDescent="0.2">
      <c r="A736" s="17" t="s">
        <v>2018</v>
      </c>
      <c r="B736" s="17" t="s">
        <v>328</v>
      </c>
      <c r="C736" s="17" t="s">
        <v>1360</v>
      </c>
      <c r="D736" s="18"/>
      <c r="E736" s="19"/>
      <c r="F736" s="20"/>
      <c r="G736" s="21">
        <f>SUM(G737,G748,G759,G771,G773,G775,G781,G789,G795)</f>
        <v>8199800.2032630807</v>
      </c>
      <c r="H736" s="22">
        <f t="shared" si="104"/>
        <v>4.2516381387538257E-2</v>
      </c>
    </row>
    <row r="737" spans="1:11" outlineLevel="1" x14ac:dyDescent="0.2">
      <c r="A737" s="11" t="s">
        <v>1533</v>
      </c>
      <c r="B737" s="11" t="s">
        <v>1696</v>
      </c>
      <c r="C737" s="11" t="s">
        <v>2780</v>
      </c>
      <c r="D737" s="12" t="s">
        <v>1153</v>
      </c>
      <c r="E737" s="13">
        <v>7247.1151</v>
      </c>
      <c r="F737" s="14">
        <v>768.69850000000019</v>
      </c>
      <c r="G737" s="15">
        <f>SUM(G738:G747)</f>
        <v>5570846.5066973511</v>
      </c>
      <c r="H737" s="16">
        <f t="shared" si="104"/>
        <v>2.8885122668711523E-2</v>
      </c>
    </row>
    <row r="738" spans="1:11" outlineLevel="1" x14ac:dyDescent="0.2">
      <c r="A738" s="29"/>
      <c r="B738" s="30" t="s">
        <v>814</v>
      </c>
      <c r="C738" s="30" t="s">
        <v>1959</v>
      </c>
      <c r="D738" s="34" t="s">
        <v>1153</v>
      </c>
      <c r="E738" s="31">
        <v>7194.2111597700004</v>
      </c>
      <c r="F738" s="31">
        <v>55</v>
      </c>
      <c r="G738" s="32">
        <f t="shared" ref="G738:G747" si="110">F738*E738</f>
        <v>395681.61378735001</v>
      </c>
      <c r="H738" s="33">
        <f t="shared" si="104"/>
        <v>2.0516293059341809E-3</v>
      </c>
      <c r="K738" t="str">
        <f xml:space="preserve"> B737 &amp; B738</f>
        <v>Z000084012Z010201001</v>
      </c>
    </row>
    <row r="739" spans="1:11" outlineLevel="1" x14ac:dyDescent="0.2">
      <c r="A739" s="29"/>
      <c r="B739" s="30" t="s">
        <v>818</v>
      </c>
      <c r="C739" s="30" t="s">
        <v>2424</v>
      </c>
      <c r="D739" s="34" t="s">
        <v>1153</v>
      </c>
      <c r="E739" s="31">
        <v>799.35679553</v>
      </c>
      <c r="F739" s="31">
        <v>100</v>
      </c>
      <c r="G739" s="32">
        <f t="shared" si="110"/>
        <v>79935.679552999994</v>
      </c>
      <c r="H739" s="33">
        <f t="shared" si="104"/>
        <v>4.1447056685539E-4</v>
      </c>
      <c r="K739" t="str">
        <f xml:space="preserve"> B737 &amp; B739</f>
        <v>Z000084012Z010201002</v>
      </c>
    </row>
    <row r="740" spans="1:11" outlineLevel="1" x14ac:dyDescent="0.2">
      <c r="A740" s="29"/>
      <c r="B740" s="30" t="s">
        <v>688</v>
      </c>
      <c r="C740" s="30" t="s">
        <v>268</v>
      </c>
      <c r="D740" s="34" t="s">
        <v>1153</v>
      </c>
      <c r="E740" s="31">
        <v>7993.5679553</v>
      </c>
      <c r="F740" s="31">
        <v>550</v>
      </c>
      <c r="G740" s="32">
        <f t="shared" si="110"/>
        <v>4396462.3754150001</v>
      </c>
      <c r="H740" s="33">
        <f t="shared" si="104"/>
        <v>2.2795881177046454E-2</v>
      </c>
      <c r="K740" t="str">
        <f xml:space="preserve"> B737 &amp; B740</f>
        <v>Z000084012Z010202005</v>
      </c>
    </row>
    <row r="741" spans="1:11" outlineLevel="1" x14ac:dyDescent="0.2">
      <c r="A741" s="29"/>
      <c r="B741" s="30" t="s">
        <v>944</v>
      </c>
      <c r="C741" s="30" t="s">
        <v>1601</v>
      </c>
      <c r="D741" s="34" t="s">
        <v>151</v>
      </c>
      <c r="E741" s="31">
        <v>0</v>
      </c>
      <c r="F741" s="31">
        <v>19.170000000000002</v>
      </c>
      <c r="G741" s="32">
        <f t="shared" si="110"/>
        <v>0</v>
      </c>
      <c r="H741" s="33">
        <f t="shared" si="104"/>
        <v>0</v>
      </c>
      <c r="K741" t="str">
        <f xml:space="preserve"> B737 &amp; B741</f>
        <v>Z000084012Z040201005</v>
      </c>
    </row>
    <row r="742" spans="1:11" outlineLevel="1" x14ac:dyDescent="0.2">
      <c r="A742" s="29"/>
      <c r="B742" s="30" t="s">
        <v>1009</v>
      </c>
      <c r="C742" s="30" t="s">
        <v>672</v>
      </c>
      <c r="D742" s="34" t="s">
        <v>151</v>
      </c>
      <c r="E742" s="31">
        <v>0</v>
      </c>
      <c r="F742" s="31">
        <v>16.489999999999998</v>
      </c>
      <c r="G742" s="32">
        <f t="shared" si="110"/>
        <v>0</v>
      </c>
      <c r="H742" s="33">
        <f t="shared" si="104"/>
        <v>0</v>
      </c>
      <c r="K742" t="str">
        <f xml:space="preserve"> B737 &amp; B742</f>
        <v>Z000084012Z040201013</v>
      </c>
    </row>
    <row r="743" spans="1:11" outlineLevel="1" x14ac:dyDescent="0.2">
      <c r="A743" s="29"/>
      <c r="B743" s="30" t="s">
        <v>801</v>
      </c>
      <c r="C743" s="30" t="s">
        <v>402</v>
      </c>
      <c r="D743" s="34" t="s">
        <v>151</v>
      </c>
      <c r="E743" s="31">
        <v>0</v>
      </c>
      <c r="F743" s="31">
        <v>10.3</v>
      </c>
      <c r="G743" s="32">
        <f t="shared" si="110"/>
        <v>0</v>
      </c>
      <c r="H743" s="33">
        <f t="shared" si="104"/>
        <v>0</v>
      </c>
      <c r="K743" t="str">
        <f xml:space="preserve"> B737 &amp; B743</f>
        <v>Z000084012Z040202006</v>
      </c>
    </row>
    <row r="744" spans="1:11" outlineLevel="1" x14ac:dyDescent="0.2">
      <c r="A744" s="29"/>
      <c r="B744" s="30" t="s">
        <v>1575</v>
      </c>
      <c r="C744" s="30" t="s">
        <v>2428</v>
      </c>
      <c r="D744" s="34" t="s">
        <v>1153</v>
      </c>
      <c r="E744" s="31">
        <v>7247.1151</v>
      </c>
      <c r="F744" s="31">
        <v>96.42</v>
      </c>
      <c r="G744" s="32">
        <f t="shared" si="110"/>
        <v>698766.83794200001</v>
      </c>
      <c r="H744" s="33">
        <f t="shared" si="104"/>
        <v>3.623141618875495E-3</v>
      </c>
      <c r="K744" t="str">
        <f xml:space="preserve"> B737 &amp; B744</f>
        <v>Z000084012Z040303017</v>
      </c>
    </row>
    <row r="745" spans="1:11" outlineLevel="1" x14ac:dyDescent="0.2">
      <c r="A745" s="29"/>
      <c r="B745" s="30" t="s">
        <v>498</v>
      </c>
      <c r="C745" s="30" t="s">
        <v>773</v>
      </c>
      <c r="D745" s="34" t="s">
        <v>84</v>
      </c>
      <c r="E745" s="31">
        <v>8696.5381199999993</v>
      </c>
      <c r="F745" s="31">
        <v>0</v>
      </c>
      <c r="G745" s="32">
        <f t="shared" si="110"/>
        <v>0</v>
      </c>
      <c r="H745" s="33">
        <f t="shared" si="104"/>
        <v>0</v>
      </c>
      <c r="K745" t="str">
        <f xml:space="preserve"> B737 &amp; B745</f>
        <v>Z000084012Z040401001</v>
      </c>
    </row>
    <row r="746" spans="1:11" outlineLevel="1" x14ac:dyDescent="0.2">
      <c r="A746" s="29"/>
      <c r="B746" s="30" t="s">
        <v>1968</v>
      </c>
      <c r="C746" s="30" t="s">
        <v>2500</v>
      </c>
      <c r="D746" s="34" t="s">
        <v>764</v>
      </c>
      <c r="E746" s="31">
        <v>0</v>
      </c>
      <c r="F746" s="31">
        <v>1.39</v>
      </c>
      <c r="G746" s="32">
        <f t="shared" si="110"/>
        <v>0</v>
      </c>
      <c r="H746" s="33">
        <f t="shared" si="104"/>
        <v>0</v>
      </c>
      <c r="K746" t="str">
        <f xml:space="preserve"> B737 &amp; B746</f>
        <v>Z000084012Z050103005</v>
      </c>
    </row>
    <row r="747" spans="1:11" outlineLevel="1" x14ac:dyDescent="0.2">
      <c r="A747" s="29"/>
      <c r="B747" s="30" t="s">
        <v>1969</v>
      </c>
      <c r="C747" s="30" t="s">
        <v>2502</v>
      </c>
      <c r="D747" s="34" t="s">
        <v>742</v>
      </c>
      <c r="E747" s="31">
        <v>0</v>
      </c>
      <c r="F747" s="31">
        <v>0.53</v>
      </c>
      <c r="G747" s="32">
        <f t="shared" si="110"/>
        <v>0</v>
      </c>
      <c r="H747" s="33">
        <f t="shared" si="104"/>
        <v>0</v>
      </c>
      <c r="K747" t="str">
        <f xml:space="preserve"> B737 &amp; B747</f>
        <v>Z000084012Z050103006</v>
      </c>
    </row>
    <row r="748" spans="1:11" outlineLevel="1" x14ac:dyDescent="0.2">
      <c r="A748" s="11" t="s">
        <v>1535</v>
      </c>
      <c r="B748" s="11" t="s">
        <v>1629</v>
      </c>
      <c r="C748" s="11" t="s">
        <v>2759</v>
      </c>
      <c r="D748" s="12" t="s">
        <v>1153</v>
      </c>
      <c r="E748" s="13">
        <v>260</v>
      </c>
      <c r="F748" s="14">
        <v>713.5485000000001</v>
      </c>
      <c r="G748" s="15">
        <f>SUM(G749:G758)</f>
        <v>185522.61000000002</v>
      </c>
      <c r="H748" s="16">
        <f t="shared" si="104"/>
        <v>9.6194417513156209E-4</v>
      </c>
    </row>
    <row r="749" spans="1:11" outlineLevel="1" x14ac:dyDescent="0.2">
      <c r="A749" s="29"/>
      <c r="B749" s="30" t="s">
        <v>814</v>
      </c>
      <c r="C749" s="30" t="s">
        <v>1959</v>
      </c>
      <c r="D749" s="34" t="s">
        <v>1153</v>
      </c>
      <c r="E749" s="31">
        <v>258.10200000000003</v>
      </c>
      <c r="F749" s="31">
        <v>55</v>
      </c>
      <c r="G749" s="32">
        <f t="shared" ref="G749:G758" si="111">F749*E749</f>
        <v>14195.610000000002</v>
      </c>
      <c r="H749" s="33">
        <f t="shared" si="104"/>
        <v>7.3604960343859728E-5</v>
      </c>
      <c r="K749" t="str">
        <f xml:space="preserve"> B748 &amp; B749</f>
        <v>Z000084003Z010201001</v>
      </c>
    </row>
    <row r="750" spans="1:11" outlineLevel="1" x14ac:dyDescent="0.2">
      <c r="A750" s="29"/>
      <c r="B750" s="30" t="s">
        <v>818</v>
      </c>
      <c r="C750" s="30" t="s">
        <v>2424</v>
      </c>
      <c r="D750" s="34" t="s">
        <v>1153</v>
      </c>
      <c r="E750" s="31">
        <v>28.677999999999997</v>
      </c>
      <c r="F750" s="31">
        <v>100</v>
      </c>
      <c r="G750" s="32">
        <f t="shared" si="111"/>
        <v>2867.7999999999997</v>
      </c>
      <c r="H750" s="33">
        <f t="shared" si="104"/>
        <v>1.4869688958355497E-5</v>
      </c>
      <c r="K750" t="str">
        <f xml:space="preserve"> B748 &amp; B750</f>
        <v>Z000084003Z010201002</v>
      </c>
    </row>
    <row r="751" spans="1:11" outlineLevel="1" x14ac:dyDescent="0.2">
      <c r="A751" s="29"/>
      <c r="B751" s="30" t="s">
        <v>681</v>
      </c>
      <c r="C751" s="30" t="s">
        <v>1022</v>
      </c>
      <c r="D751" s="34" t="s">
        <v>1153</v>
      </c>
      <c r="E751" s="31">
        <v>286.77999999999997</v>
      </c>
      <c r="F751" s="31">
        <v>500</v>
      </c>
      <c r="G751" s="32">
        <f t="shared" si="111"/>
        <v>143390</v>
      </c>
      <c r="H751" s="33">
        <f t="shared" si="104"/>
        <v>7.4348444791777501E-4</v>
      </c>
      <c r="K751" t="str">
        <f xml:space="preserve"> B748 &amp; B751</f>
        <v>Z000084003Z010202002</v>
      </c>
    </row>
    <row r="752" spans="1:11" outlineLevel="1" x14ac:dyDescent="0.2">
      <c r="A752" s="29"/>
      <c r="B752" s="30" t="s">
        <v>944</v>
      </c>
      <c r="C752" s="30" t="s">
        <v>1601</v>
      </c>
      <c r="D752" s="34" t="s">
        <v>151</v>
      </c>
      <c r="E752" s="31">
        <v>0</v>
      </c>
      <c r="F752" s="31">
        <v>19.170000000000002</v>
      </c>
      <c r="G752" s="32">
        <f t="shared" si="111"/>
        <v>0</v>
      </c>
      <c r="H752" s="33">
        <f t="shared" si="104"/>
        <v>0</v>
      </c>
      <c r="K752" t="str">
        <f xml:space="preserve"> B748 &amp; B752</f>
        <v>Z000084003Z040201005</v>
      </c>
    </row>
    <row r="753" spans="1:11" outlineLevel="1" x14ac:dyDescent="0.2">
      <c r="A753" s="29"/>
      <c r="B753" s="30" t="s">
        <v>1009</v>
      </c>
      <c r="C753" s="30" t="s">
        <v>672</v>
      </c>
      <c r="D753" s="34" t="s">
        <v>151</v>
      </c>
      <c r="E753" s="31">
        <v>0</v>
      </c>
      <c r="F753" s="31">
        <v>16.489999999999998</v>
      </c>
      <c r="G753" s="32">
        <f t="shared" si="111"/>
        <v>0</v>
      </c>
      <c r="H753" s="33">
        <f t="shared" si="104"/>
        <v>0</v>
      </c>
      <c r="K753" t="str">
        <f xml:space="preserve"> B748 &amp; B753</f>
        <v>Z000084003Z040201013</v>
      </c>
    </row>
    <row r="754" spans="1:11" outlineLevel="1" x14ac:dyDescent="0.2">
      <c r="A754" s="29"/>
      <c r="B754" s="30" t="s">
        <v>801</v>
      </c>
      <c r="C754" s="30" t="s">
        <v>402</v>
      </c>
      <c r="D754" s="34" t="s">
        <v>151</v>
      </c>
      <c r="E754" s="31">
        <v>0</v>
      </c>
      <c r="F754" s="31">
        <v>10.3</v>
      </c>
      <c r="G754" s="32">
        <f t="shared" si="111"/>
        <v>0</v>
      </c>
      <c r="H754" s="33">
        <f t="shared" si="104"/>
        <v>0</v>
      </c>
      <c r="K754" t="str">
        <f xml:space="preserve"> B748 &amp; B754</f>
        <v>Z000084003Z040202006</v>
      </c>
    </row>
    <row r="755" spans="1:11" outlineLevel="1" x14ac:dyDescent="0.2">
      <c r="A755" s="29"/>
      <c r="B755" s="30" t="s">
        <v>1575</v>
      </c>
      <c r="C755" s="30" t="s">
        <v>2428</v>
      </c>
      <c r="D755" s="34" t="s">
        <v>1153</v>
      </c>
      <c r="E755" s="31">
        <v>260</v>
      </c>
      <c r="F755" s="31">
        <v>96.42</v>
      </c>
      <c r="G755" s="32">
        <f t="shared" si="111"/>
        <v>25069.200000000001</v>
      </c>
      <c r="H755" s="33">
        <f t="shared" si="104"/>
        <v>1.2998507791157183E-4</v>
      </c>
      <c r="K755" t="str">
        <f xml:space="preserve"> B748 &amp; B755</f>
        <v>Z000084003Z040303017</v>
      </c>
    </row>
    <row r="756" spans="1:11" outlineLevel="1" x14ac:dyDescent="0.2">
      <c r="A756" s="29"/>
      <c r="B756" s="30" t="s">
        <v>498</v>
      </c>
      <c r="C756" s="30" t="s">
        <v>773</v>
      </c>
      <c r="D756" s="34" t="s">
        <v>84</v>
      </c>
      <c r="E756" s="31">
        <v>312</v>
      </c>
      <c r="F756" s="31">
        <v>0</v>
      </c>
      <c r="G756" s="32">
        <f t="shared" si="111"/>
        <v>0</v>
      </c>
      <c r="H756" s="33">
        <f t="shared" si="104"/>
        <v>0</v>
      </c>
      <c r="K756" t="str">
        <f xml:space="preserve"> B748 &amp; B756</f>
        <v>Z000084003Z040401001</v>
      </c>
    </row>
    <row r="757" spans="1:11" outlineLevel="1" x14ac:dyDescent="0.2">
      <c r="A757" s="29"/>
      <c r="B757" s="30" t="s">
        <v>1968</v>
      </c>
      <c r="C757" s="30" t="s">
        <v>2500</v>
      </c>
      <c r="D757" s="34" t="s">
        <v>764</v>
      </c>
      <c r="E757" s="31">
        <v>0</v>
      </c>
      <c r="F757" s="31">
        <v>1.39</v>
      </c>
      <c r="G757" s="32">
        <f t="shared" si="111"/>
        <v>0</v>
      </c>
      <c r="H757" s="33">
        <f t="shared" si="104"/>
        <v>0</v>
      </c>
      <c r="K757" t="str">
        <f xml:space="preserve"> B748 &amp; B757</f>
        <v>Z000084003Z050103005</v>
      </c>
    </row>
    <row r="758" spans="1:11" outlineLevel="1" x14ac:dyDescent="0.2">
      <c r="A758" s="29"/>
      <c r="B758" s="30" t="s">
        <v>1969</v>
      </c>
      <c r="C758" s="30" t="s">
        <v>2502</v>
      </c>
      <c r="D758" s="34" t="s">
        <v>742</v>
      </c>
      <c r="E758" s="31">
        <v>0</v>
      </c>
      <c r="F758" s="31">
        <v>0.53</v>
      </c>
      <c r="G758" s="32">
        <f t="shared" si="111"/>
        <v>0</v>
      </c>
      <c r="H758" s="33">
        <f t="shared" si="104"/>
        <v>0</v>
      </c>
      <c r="K758" t="str">
        <f xml:space="preserve"> B748 &amp; B758</f>
        <v>Z000084003Z050103006</v>
      </c>
    </row>
    <row r="759" spans="1:11" outlineLevel="1" x14ac:dyDescent="0.2">
      <c r="A759" s="11" t="s">
        <v>1537</v>
      </c>
      <c r="B759" s="11" t="s">
        <v>205</v>
      </c>
      <c r="C759" s="11" t="s">
        <v>4416</v>
      </c>
      <c r="D759" s="12" t="s">
        <v>1152</v>
      </c>
      <c r="E759" s="13">
        <v>5506.13</v>
      </c>
      <c r="F759" s="14">
        <v>14.458239140000002</v>
      </c>
      <c r="G759" s="15">
        <f>SUM(G760:G770)</f>
        <v>79608.94427592821</v>
      </c>
      <c r="H759" s="16">
        <f t="shared" si="104"/>
        <v>4.1277642781439009E-4</v>
      </c>
    </row>
    <row r="760" spans="1:11" outlineLevel="1" x14ac:dyDescent="0.2">
      <c r="A760" s="29"/>
      <c r="B760" s="30" t="s">
        <v>1654</v>
      </c>
      <c r="C760" s="30" t="s">
        <v>1551</v>
      </c>
      <c r="D760" s="34" t="s">
        <v>1052</v>
      </c>
      <c r="E760" s="31">
        <v>39842.907293000004</v>
      </c>
      <c r="F760" s="31">
        <v>0.7974</v>
      </c>
      <c r="G760" s="32">
        <f t="shared" ref="G760:G770" si="112">F760*E760</f>
        <v>31770.734275438204</v>
      </c>
      <c r="H760" s="33">
        <f t="shared" si="104"/>
        <v>1.6473287420821887E-4</v>
      </c>
      <c r="K760" t="str">
        <f xml:space="preserve"> B759 &amp; B760</f>
        <v>Z000241001Z010301001</v>
      </c>
    </row>
    <row r="761" spans="1:11" outlineLevel="1" x14ac:dyDescent="0.2">
      <c r="A761" s="29"/>
      <c r="B761" s="30" t="s">
        <v>1379</v>
      </c>
      <c r="C761" s="30" t="s">
        <v>1626</v>
      </c>
      <c r="D761" s="34" t="s">
        <v>1153</v>
      </c>
      <c r="E761" s="31">
        <v>108.470761</v>
      </c>
      <c r="F761" s="31">
        <v>116.09</v>
      </c>
      <c r="G761" s="32">
        <f t="shared" si="112"/>
        <v>12592.37064449</v>
      </c>
      <c r="H761" s="33">
        <f t="shared" si="104"/>
        <v>6.5292082687737243E-5</v>
      </c>
      <c r="K761" t="str">
        <f xml:space="preserve"> B759 &amp; B761</f>
        <v>Z000241001Z010303003</v>
      </c>
    </row>
    <row r="762" spans="1:11" outlineLevel="1" x14ac:dyDescent="0.2">
      <c r="A762" s="29"/>
      <c r="B762" s="30" t="s">
        <v>1258</v>
      </c>
      <c r="C762" s="30" t="s">
        <v>1526</v>
      </c>
      <c r="D762" s="34" t="s">
        <v>1153</v>
      </c>
      <c r="E762" s="31">
        <v>155.27286599999999</v>
      </c>
      <c r="F762" s="31">
        <v>148</v>
      </c>
      <c r="G762" s="32">
        <f t="shared" si="112"/>
        <v>22980.384168</v>
      </c>
      <c r="H762" s="33">
        <f t="shared" ref="H762:H851" si="113">G762/$F$2</f>
        <v>1.191544615111504E-4</v>
      </c>
      <c r="K762" t="str">
        <f xml:space="preserve"> B759 &amp; B762</f>
        <v>Z000241001Z010304001</v>
      </c>
    </row>
    <row r="763" spans="1:11" outlineLevel="1" x14ac:dyDescent="0.2">
      <c r="A763" s="29"/>
      <c r="B763" s="30" t="s">
        <v>1747</v>
      </c>
      <c r="C763" s="30" t="s">
        <v>1296</v>
      </c>
      <c r="D763" s="34" t="s">
        <v>1152</v>
      </c>
      <c r="E763" s="31">
        <v>5726.3752000000004</v>
      </c>
      <c r="F763" s="31">
        <v>1.19</v>
      </c>
      <c r="G763" s="32">
        <f t="shared" si="112"/>
        <v>6814.3864880000001</v>
      </c>
      <c r="H763" s="33">
        <f t="shared" si="113"/>
        <v>3.5332940762459206E-5</v>
      </c>
      <c r="K763" t="str">
        <f xml:space="preserve"> B759 &amp; B763</f>
        <v>Z000241001Z030301001</v>
      </c>
    </row>
    <row r="764" spans="1:11" outlineLevel="1" x14ac:dyDescent="0.2">
      <c r="A764" s="29"/>
      <c r="B764" s="30" t="s">
        <v>1009</v>
      </c>
      <c r="C764" s="30" t="s">
        <v>672</v>
      </c>
      <c r="D764" s="34" t="s">
        <v>151</v>
      </c>
      <c r="E764" s="31">
        <v>0</v>
      </c>
      <c r="F764" s="31">
        <v>16.489999999999998</v>
      </c>
      <c r="G764" s="32">
        <f t="shared" si="112"/>
        <v>0</v>
      </c>
      <c r="H764" s="33">
        <f t="shared" si="113"/>
        <v>0</v>
      </c>
      <c r="K764" t="str">
        <f xml:space="preserve"> B759 &amp; B764</f>
        <v>Z000241001Z040201013</v>
      </c>
    </row>
    <row r="765" spans="1:11" outlineLevel="1" x14ac:dyDescent="0.2">
      <c r="A765" s="29"/>
      <c r="B765" s="30" t="s">
        <v>801</v>
      </c>
      <c r="C765" s="30" t="s">
        <v>402</v>
      </c>
      <c r="D765" s="34" t="s">
        <v>151</v>
      </c>
      <c r="E765" s="31">
        <v>0</v>
      </c>
      <c r="F765" s="31">
        <v>10.3</v>
      </c>
      <c r="G765" s="32">
        <f t="shared" si="112"/>
        <v>0</v>
      </c>
      <c r="H765" s="33">
        <f t="shared" si="113"/>
        <v>0</v>
      </c>
      <c r="K765" t="str">
        <f xml:space="preserve"> B759 &amp; B765</f>
        <v>Z000241001Z040202006</v>
      </c>
    </row>
    <row r="766" spans="1:11" outlineLevel="1" x14ac:dyDescent="0.2">
      <c r="A766" s="29"/>
      <c r="B766" s="30" t="s">
        <v>547</v>
      </c>
      <c r="C766" s="30" t="s">
        <v>2320</v>
      </c>
      <c r="D766" s="34" t="s">
        <v>151</v>
      </c>
      <c r="E766" s="31">
        <v>0</v>
      </c>
      <c r="F766" s="31">
        <v>13.51</v>
      </c>
      <c r="G766" s="32">
        <f t="shared" si="112"/>
        <v>0</v>
      </c>
      <c r="H766" s="33">
        <f t="shared" si="113"/>
        <v>0</v>
      </c>
      <c r="K766" t="str">
        <f xml:space="preserve"> B759 &amp; B766</f>
        <v>Z000241001Z040204001</v>
      </c>
    </row>
    <row r="767" spans="1:11" outlineLevel="1" x14ac:dyDescent="0.2">
      <c r="A767" s="29"/>
      <c r="B767" s="30" t="s">
        <v>1636</v>
      </c>
      <c r="C767" s="30" t="s">
        <v>2530</v>
      </c>
      <c r="D767" s="34" t="s">
        <v>1153</v>
      </c>
      <c r="E767" s="31">
        <v>165.18389999999999</v>
      </c>
      <c r="F767" s="31">
        <v>33</v>
      </c>
      <c r="G767" s="32">
        <f t="shared" si="112"/>
        <v>5451.0686999999998</v>
      </c>
      <c r="H767" s="33">
        <f t="shared" si="113"/>
        <v>2.8264068644824348E-5</v>
      </c>
      <c r="K767" t="str">
        <f xml:space="preserve"> B759 &amp; B767</f>
        <v>Z000241001Z040303020</v>
      </c>
    </row>
    <row r="768" spans="1:11" outlineLevel="1" x14ac:dyDescent="0.2">
      <c r="A768" s="29"/>
      <c r="B768" s="30" t="s">
        <v>498</v>
      </c>
      <c r="C768" s="30" t="s">
        <v>773</v>
      </c>
      <c r="D768" s="34" t="s">
        <v>84</v>
      </c>
      <c r="E768" s="31">
        <v>6607.3559999999998</v>
      </c>
      <c r="F768" s="31">
        <v>0</v>
      </c>
      <c r="G768" s="32">
        <f t="shared" si="112"/>
        <v>0</v>
      </c>
      <c r="H768" s="33">
        <f t="shared" si="113"/>
        <v>0</v>
      </c>
      <c r="K768" t="str">
        <f xml:space="preserve"> B759 &amp; B768</f>
        <v>Z000241001Z040401001</v>
      </c>
    </row>
    <row r="769" spans="1:11" outlineLevel="1" x14ac:dyDescent="0.2">
      <c r="A769" s="29"/>
      <c r="B769" s="30" t="s">
        <v>66</v>
      </c>
      <c r="C769" s="30" t="s">
        <v>617</v>
      </c>
      <c r="D769" s="34" t="s">
        <v>764</v>
      </c>
      <c r="E769" s="31">
        <v>0</v>
      </c>
      <c r="F769" s="31">
        <v>5.45</v>
      </c>
      <c r="G769" s="32">
        <f t="shared" si="112"/>
        <v>0</v>
      </c>
      <c r="H769" s="33">
        <f t="shared" si="113"/>
        <v>0</v>
      </c>
      <c r="K769" t="str">
        <f xml:space="preserve"> B759 &amp; B769</f>
        <v>Z000241001Z050103019</v>
      </c>
    </row>
    <row r="770" spans="1:11" outlineLevel="1" x14ac:dyDescent="0.2">
      <c r="A770" s="29"/>
      <c r="B770" s="30" t="s">
        <v>120</v>
      </c>
      <c r="C770" s="30" t="s">
        <v>597</v>
      </c>
      <c r="D770" s="34" t="s">
        <v>742</v>
      </c>
      <c r="E770" s="31">
        <v>0</v>
      </c>
      <c r="F770" s="31">
        <v>1.52</v>
      </c>
      <c r="G770" s="32">
        <f t="shared" si="112"/>
        <v>0</v>
      </c>
      <c r="H770" s="33">
        <f t="shared" si="113"/>
        <v>0</v>
      </c>
      <c r="K770" t="str">
        <f xml:space="preserve"> B759 &amp; B770</f>
        <v>Z000241001Z050103020</v>
      </c>
    </row>
    <row r="771" spans="1:11" outlineLevel="1" x14ac:dyDescent="0.2">
      <c r="A771" s="11" t="s">
        <v>4920</v>
      </c>
      <c r="B771" s="11" t="s">
        <v>1778</v>
      </c>
      <c r="C771" s="11" t="s">
        <v>2796</v>
      </c>
      <c r="D771" s="12" t="s">
        <v>1153</v>
      </c>
      <c r="E771" s="13">
        <v>535.51</v>
      </c>
      <c r="F771" s="14">
        <v>3052.56</v>
      </c>
      <c r="G771" s="15">
        <f>SUM(G772)</f>
        <v>1634676.4055999999</v>
      </c>
      <c r="H771" s="16">
        <f t="shared" si="113"/>
        <v>8.4758803608461445E-3</v>
      </c>
    </row>
    <row r="772" spans="1:11" outlineLevel="1" x14ac:dyDescent="0.2">
      <c r="A772" s="29"/>
      <c r="B772" s="30" t="s">
        <v>1707</v>
      </c>
      <c r="C772" s="30" t="s">
        <v>303</v>
      </c>
      <c r="D772" s="34" t="s">
        <v>1153</v>
      </c>
      <c r="E772" s="31">
        <v>535.51</v>
      </c>
      <c r="F772" s="31">
        <v>3052.56</v>
      </c>
      <c r="G772" s="32">
        <f t="shared" ref="G772" si="114">F772*E772</f>
        <v>1634676.4055999999</v>
      </c>
      <c r="H772" s="33">
        <f t="shared" si="113"/>
        <v>8.4758803608461445E-3</v>
      </c>
      <c r="K772" t="str">
        <f xml:space="preserve"> B771 &amp; B772</f>
        <v>Z000084023Z040303030</v>
      </c>
    </row>
    <row r="773" spans="1:11" outlineLevel="1" x14ac:dyDescent="0.2">
      <c r="A773" s="11" t="s">
        <v>4921</v>
      </c>
      <c r="B773" s="11" t="s">
        <v>1778</v>
      </c>
      <c r="C773" s="11" t="s">
        <v>2796</v>
      </c>
      <c r="D773" s="12" t="s">
        <v>1153</v>
      </c>
      <c r="E773" s="13">
        <v>148.94999999999999</v>
      </c>
      <c r="F773" s="14">
        <v>3052.56</v>
      </c>
      <c r="G773" s="15">
        <f>SUM(G774)</f>
        <v>454678.81199999998</v>
      </c>
      <c r="H773" s="16">
        <f t="shared" ref="H773:H774" si="115">G773/$F$2</f>
        <v>2.3575327813636221E-3</v>
      </c>
    </row>
    <row r="774" spans="1:11" outlineLevel="1" x14ac:dyDescent="0.2">
      <c r="A774" s="29"/>
      <c r="B774" s="30" t="s">
        <v>1707</v>
      </c>
      <c r="C774" s="30" t="s">
        <v>303</v>
      </c>
      <c r="D774" s="34" t="s">
        <v>1153</v>
      </c>
      <c r="E774" s="31">
        <v>148.94999999999999</v>
      </c>
      <c r="F774" s="31">
        <v>3052.56</v>
      </c>
      <c r="G774" s="32">
        <f t="shared" ref="G774" si="116">F774*E774</f>
        <v>454678.81199999998</v>
      </c>
      <c r="H774" s="33">
        <f t="shared" si="115"/>
        <v>2.3575327813636221E-3</v>
      </c>
      <c r="K774" t="str">
        <f xml:space="preserve"> B773 &amp; B774</f>
        <v>Z000084023Z040303030</v>
      </c>
    </row>
    <row r="775" spans="1:11" outlineLevel="1" x14ac:dyDescent="0.2">
      <c r="A775" s="11" t="s">
        <v>5290</v>
      </c>
      <c r="B775" s="11" t="s">
        <v>5289</v>
      </c>
      <c r="C775" s="11" t="s">
        <v>5292</v>
      </c>
      <c r="D775" s="12" t="s">
        <v>1153</v>
      </c>
      <c r="E775" s="13">
        <v>651.82500000000005</v>
      </c>
      <c r="F775" s="14">
        <v>5.4626999999999999</v>
      </c>
      <c r="G775" s="15">
        <f>SUM(G776:G780)</f>
        <v>3560.7244275000003</v>
      </c>
      <c r="H775" s="16">
        <f t="shared" ref="H775:H780" si="117">G775/$F$2</f>
        <v>1.8462537381736336E-5</v>
      </c>
    </row>
    <row r="776" spans="1:11" outlineLevel="1" x14ac:dyDescent="0.2">
      <c r="A776" s="29"/>
      <c r="B776" s="30" t="s">
        <v>1009</v>
      </c>
      <c r="C776" s="30" t="s">
        <v>672</v>
      </c>
      <c r="D776" s="34" t="s">
        <v>1153</v>
      </c>
      <c r="E776" s="31">
        <v>0</v>
      </c>
      <c r="F776" s="31">
        <v>16.489999999999998</v>
      </c>
      <c r="G776" s="32">
        <f t="shared" ref="G776:G780" si="118">F776*E776</f>
        <v>0</v>
      </c>
      <c r="H776" s="33">
        <f t="shared" si="117"/>
        <v>0</v>
      </c>
      <c r="K776" t="str">
        <f xml:space="preserve"> $B$775 &amp; B776</f>
        <v>Z000244012Z040201013</v>
      </c>
    </row>
    <row r="777" spans="1:11" outlineLevel="1" x14ac:dyDescent="0.2">
      <c r="A777" s="29"/>
      <c r="B777" s="30" t="s">
        <v>498</v>
      </c>
      <c r="C777" s="30" t="s">
        <v>773</v>
      </c>
      <c r="D777" s="34" t="s">
        <v>151</v>
      </c>
      <c r="E777" s="31">
        <v>782.19</v>
      </c>
      <c r="F777" s="31">
        <v>0</v>
      </c>
      <c r="G777" s="32">
        <f t="shared" si="118"/>
        <v>0</v>
      </c>
      <c r="H777" s="33">
        <f t="shared" si="117"/>
        <v>0</v>
      </c>
      <c r="K777" t="str">
        <f t="shared" ref="K777:K780" si="119" xml:space="preserve"> $B$775 &amp; B777</f>
        <v>Z000244012Z040401001</v>
      </c>
    </row>
    <row r="778" spans="1:11" outlineLevel="1" x14ac:dyDescent="0.2">
      <c r="A778" s="29"/>
      <c r="B778" s="30" t="s">
        <v>57</v>
      </c>
      <c r="C778" s="30" t="s">
        <v>4473</v>
      </c>
      <c r="D778" s="34" t="s">
        <v>151</v>
      </c>
      <c r="E778" s="31">
        <v>26.073000000000004</v>
      </c>
      <c r="F778" s="31">
        <v>11.24</v>
      </c>
      <c r="G778" s="32">
        <f t="shared" si="118"/>
        <v>293.06052000000005</v>
      </c>
      <c r="H778" s="33">
        <f t="shared" si="117"/>
        <v>1.5195337116862828E-6</v>
      </c>
      <c r="K778" t="str">
        <f t="shared" si="119"/>
        <v>Z000244012Z050103015</v>
      </c>
    </row>
    <row r="779" spans="1:11" outlineLevel="1" x14ac:dyDescent="0.2">
      <c r="A779" s="29"/>
      <c r="B779" s="30" t="s">
        <v>58</v>
      </c>
      <c r="C779" s="30" t="s">
        <v>4475</v>
      </c>
      <c r="D779" s="34" t="s">
        <v>151</v>
      </c>
      <c r="E779" s="31">
        <v>6.518250000000001</v>
      </c>
      <c r="F779" s="31">
        <v>1.31</v>
      </c>
      <c r="G779" s="32">
        <f t="shared" si="118"/>
        <v>8.5389075000000023</v>
      </c>
      <c r="H779" s="33">
        <f t="shared" si="117"/>
        <v>4.4274669980183067E-8</v>
      </c>
      <c r="K779" t="str">
        <f t="shared" si="119"/>
        <v>Z000244012Z050103016</v>
      </c>
    </row>
    <row r="780" spans="1:11" outlineLevel="1" x14ac:dyDescent="0.2">
      <c r="A780" s="29"/>
      <c r="B780" s="30" t="s">
        <v>5296</v>
      </c>
      <c r="C780" s="30" t="s">
        <v>5297</v>
      </c>
      <c r="D780" s="34" t="s">
        <v>1153</v>
      </c>
      <c r="E780" s="31">
        <v>651.82500000000005</v>
      </c>
      <c r="F780" s="31">
        <v>5</v>
      </c>
      <c r="G780" s="32">
        <f t="shared" si="118"/>
        <v>3259.125</v>
      </c>
      <c r="H780" s="33">
        <f t="shared" si="117"/>
        <v>1.6898729000069867E-5</v>
      </c>
      <c r="K780" t="str">
        <f t="shared" si="119"/>
        <v>Z000244012Z040303031</v>
      </c>
    </row>
    <row r="781" spans="1:11" outlineLevel="1" x14ac:dyDescent="0.2">
      <c r="A781" s="11" t="s">
        <v>5272</v>
      </c>
      <c r="B781" s="11" t="s">
        <v>5269</v>
      </c>
      <c r="C781" s="11" t="s">
        <v>5274</v>
      </c>
      <c r="D781" s="12" t="s">
        <v>1153</v>
      </c>
      <c r="E781" s="13">
        <v>651.82500000000005</v>
      </c>
      <c r="F781" s="14">
        <v>46.072763999999999</v>
      </c>
      <c r="G781" s="15">
        <f>SUM(G782:G788)</f>
        <v>30031.379394300002</v>
      </c>
      <c r="H781" s="16">
        <f t="shared" si="113"/>
        <v>1.55714230624035E-4</v>
      </c>
    </row>
    <row r="782" spans="1:11" outlineLevel="1" x14ac:dyDescent="0.2">
      <c r="A782" s="29"/>
      <c r="B782" s="30" t="s">
        <v>5270</v>
      </c>
      <c r="C782" s="30" t="s">
        <v>5271</v>
      </c>
      <c r="D782" s="34" t="s">
        <v>1153</v>
      </c>
      <c r="E782" s="31">
        <v>651.82500000000005</v>
      </c>
      <c r="F782" s="31">
        <v>20</v>
      </c>
      <c r="G782" s="32">
        <f t="shared" ref="G782:G788" si="120">F782*E782</f>
        <v>13036.5</v>
      </c>
      <c r="H782" s="33">
        <f t="shared" si="113"/>
        <v>6.7594916000279469E-5</v>
      </c>
      <c r="K782" t="str">
        <f xml:space="preserve"> B781 &amp; B782</f>
        <v>Z000244008Z040303032</v>
      </c>
    </row>
    <row r="783" spans="1:11" outlineLevel="1" x14ac:dyDescent="0.2">
      <c r="A783" s="29"/>
      <c r="B783" s="30" t="s">
        <v>5275</v>
      </c>
      <c r="C783" s="30" t="s">
        <v>5276</v>
      </c>
      <c r="D783" s="34" t="s">
        <v>1153</v>
      </c>
      <c r="E783" s="31">
        <v>420.55749000000003</v>
      </c>
      <c r="F783" s="31">
        <v>34.119999999999997</v>
      </c>
      <c r="G783" s="32">
        <f t="shared" si="120"/>
        <v>14349.421558800001</v>
      </c>
      <c r="H783" s="33">
        <f t="shared" si="113"/>
        <v>7.4402481104566813E-5</v>
      </c>
      <c r="K783" t="str">
        <f xml:space="preserve"> B781 &amp; B783</f>
        <v>Z000244008Z030203006</v>
      </c>
    </row>
    <row r="784" spans="1:11" outlineLevel="1" x14ac:dyDescent="0.2">
      <c r="A784" s="29"/>
      <c r="B784" s="30" t="s">
        <v>5279</v>
      </c>
      <c r="C784" s="30" t="s">
        <v>5280</v>
      </c>
      <c r="D784" s="34" t="s">
        <v>1153</v>
      </c>
      <c r="E784" s="31">
        <v>651.82500000000005</v>
      </c>
      <c r="F784" s="31">
        <v>0.74</v>
      </c>
      <c r="G784" s="32">
        <f t="shared" si="120"/>
        <v>482.35050000000001</v>
      </c>
      <c r="H784" s="33">
        <f t="shared" si="113"/>
        <v>2.5010118920103404E-6</v>
      </c>
      <c r="K784" t="str">
        <f xml:space="preserve"> B781 &amp; B784</f>
        <v>Z000244008Z030107002</v>
      </c>
    </row>
    <row r="785" spans="1:11" outlineLevel="1" x14ac:dyDescent="0.2">
      <c r="A785" s="29"/>
      <c r="B785" s="30" t="s">
        <v>5282</v>
      </c>
      <c r="C785" s="30" t="s">
        <v>5283</v>
      </c>
      <c r="D785" s="34" t="s">
        <v>151</v>
      </c>
      <c r="E785" s="31">
        <v>3.9109500000000001</v>
      </c>
      <c r="F785" s="31">
        <v>553.09</v>
      </c>
      <c r="G785" s="32">
        <f t="shared" si="120"/>
        <v>2163.1073355000003</v>
      </c>
      <c r="H785" s="33">
        <f t="shared" si="113"/>
        <v>1.1215821627178374E-5</v>
      </c>
      <c r="K785" t="str">
        <f xml:space="preserve"> B781 &amp; B785</f>
        <v>Z000244008Z010509001</v>
      </c>
    </row>
    <row r="786" spans="1:11" outlineLevel="1" x14ac:dyDescent="0.2">
      <c r="A786" s="29"/>
      <c r="B786" s="30" t="s">
        <v>1009</v>
      </c>
      <c r="C786" s="30" t="s">
        <v>672</v>
      </c>
      <c r="D786" s="34" t="s">
        <v>151</v>
      </c>
      <c r="E786" s="31">
        <v>0</v>
      </c>
      <c r="F786" s="31">
        <v>16.489999999999998</v>
      </c>
      <c r="G786" s="32">
        <f t="shared" si="120"/>
        <v>0</v>
      </c>
      <c r="H786" s="33">
        <f t="shared" si="113"/>
        <v>0</v>
      </c>
      <c r="K786" t="str">
        <f xml:space="preserve"> B781 &amp; B786</f>
        <v>Z000244008Z040201013</v>
      </c>
    </row>
    <row r="787" spans="1:11" outlineLevel="1" x14ac:dyDescent="0.2">
      <c r="A787" s="29"/>
      <c r="B787" s="30" t="s">
        <v>498</v>
      </c>
      <c r="C787" s="30" t="s">
        <v>773</v>
      </c>
      <c r="D787" s="34" t="s">
        <v>151</v>
      </c>
      <c r="E787" s="31">
        <v>782.19</v>
      </c>
      <c r="F787" s="31">
        <v>0</v>
      </c>
      <c r="G787" s="32">
        <f t="shared" si="120"/>
        <v>0</v>
      </c>
      <c r="H787" s="33">
        <f t="shared" si="113"/>
        <v>0</v>
      </c>
      <c r="K787" t="str">
        <f xml:space="preserve"> B781 &amp; B787</f>
        <v>Z000244008Z040401001</v>
      </c>
    </row>
    <row r="788" spans="1:11" outlineLevel="1" x14ac:dyDescent="0.2">
      <c r="A788" s="29"/>
      <c r="B788" s="30" t="s">
        <v>801</v>
      </c>
      <c r="C788" s="30" t="s">
        <v>402</v>
      </c>
      <c r="D788" s="34" t="s">
        <v>1153</v>
      </c>
      <c r="E788" s="31">
        <v>0</v>
      </c>
      <c r="F788" s="31">
        <v>10.3</v>
      </c>
      <c r="G788" s="32">
        <f t="shared" si="120"/>
        <v>0</v>
      </c>
      <c r="H788" s="33">
        <f t="shared" si="113"/>
        <v>0</v>
      </c>
      <c r="K788" t="str">
        <f xml:space="preserve"> B781 &amp; B788</f>
        <v>Z000244008Z040202006</v>
      </c>
    </row>
    <row r="789" spans="1:11" outlineLevel="1" x14ac:dyDescent="0.2">
      <c r="A789" s="11" t="s">
        <v>5302</v>
      </c>
      <c r="B789" s="11" t="s">
        <v>5299</v>
      </c>
      <c r="C789" s="11" t="s">
        <v>5304</v>
      </c>
      <c r="D789" s="12" t="s">
        <v>1152</v>
      </c>
      <c r="E789" s="13">
        <v>2607.3000000000002</v>
      </c>
      <c r="F789" s="14">
        <v>65.069159999999982</v>
      </c>
      <c r="G789" s="15">
        <f>SUM(G790:G794)</f>
        <v>169654.82086799998</v>
      </c>
      <c r="H789" s="16">
        <f t="shared" si="113"/>
        <v>8.7966888088174885E-4</v>
      </c>
    </row>
    <row r="790" spans="1:11" outlineLevel="1" x14ac:dyDescent="0.2">
      <c r="A790" s="29"/>
      <c r="B790" s="30" t="s">
        <v>5300</v>
      </c>
      <c r="C790" s="30" t="s">
        <v>5301</v>
      </c>
      <c r="D790" s="34" t="s">
        <v>1052</v>
      </c>
      <c r="E790" s="31">
        <v>18.251100000000001</v>
      </c>
      <c r="F790" s="31">
        <v>9.8800000000000008</v>
      </c>
      <c r="G790" s="32">
        <f t="shared" ref="G790:G794" si="121">F790*E790</f>
        <v>180.32086800000002</v>
      </c>
      <c r="H790" s="33">
        <f t="shared" si="113"/>
        <v>9.3497287811586577E-7</v>
      </c>
      <c r="K790" t="str">
        <f xml:space="preserve"> B789 &amp; B790</f>
        <v>Z000244013Z050103003</v>
      </c>
    </row>
    <row r="791" spans="1:11" outlineLevel="1" x14ac:dyDescent="0.2">
      <c r="A791" s="29"/>
      <c r="B791" s="30" t="s">
        <v>5305</v>
      </c>
      <c r="C791" s="30" t="s">
        <v>5306</v>
      </c>
      <c r="D791" s="34" t="s">
        <v>1153</v>
      </c>
      <c r="E791" s="31">
        <v>10429.200000000001</v>
      </c>
      <c r="F791" s="31">
        <v>8.75</v>
      </c>
      <c r="G791" s="32">
        <f t="shared" si="121"/>
        <v>91255.5</v>
      </c>
      <c r="H791" s="33">
        <f t="shared" si="113"/>
        <v>4.731644120019563E-4</v>
      </c>
      <c r="K791" t="str">
        <f xml:space="preserve"> B789 &amp; B791</f>
        <v>Z000244013Z010305008</v>
      </c>
    </row>
    <row r="792" spans="1:11" outlineLevel="1" x14ac:dyDescent="0.2">
      <c r="A792" s="29"/>
      <c r="B792" s="30" t="s">
        <v>498</v>
      </c>
      <c r="C792" s="30" t="s">
        <v>773</v>
      </c>
      <c r="D792" s="34" t="s">
        <v>1153</v>
      </c>
      <c r="E792" s="31">
        <v>3128.76</v>
      </c>
      <c r="F792" s="31">
        <v>0</v>
      </c>
      <c r="G792" s="32">
        <f t="shared" si="121"/>
        <v>0</v>
      </c>
      <c r="H792" s="33">
        <f t="shared" ref="H792:H796" si="122">G792/$F$2</f>
        <v>0</v>
      </c>
      <c r="K792" t="str">
        <f xml:space="preserve"> B789 &amp; B792</f>
        <v>Z000244013Z040401001</v>
      </c>
    </row>
    <row r="793" spans="1:11" outlineLevel="1" x14ac:dyDescent="0.2">
      <c r="A793" s="29"/>
      <c r="B793" s="30" t="s">
        <v>1009</v>
      </c>
      <c r="C793" s="30" t="s">
        <v>672</v>
      </c>
      <c r="D793" s="34" t="s">
        <v>1152</v>
      </c>
      <c r="E793" s="31">
        <v>0</v>
      </c>
      <c r="F793" s="31">
        <v>16.489999999999998</v>
      </c>
      <c r="G793" s="32">
        <f t="shared" si="121"/>
        <v>0</v>
      </c>
      <c r="H793" s="33">
        <f t="shared" si="122"/>
        <v>0</v>
      </c>
      <c r="K793" t="str">
        <f xml:space="preserve"> B789 &amp; B793</f>
        <v>Z000244013Z040201013</v>
      </c>
    </row>
    <row r="794" spans="1:11" outlineLevel="1" x14ac:dyDescent="0.2">
      <c r="A794" s="29"/>
      <c r="B794" s="30" t="s">
        <v>5310</v>
      </c>
      <c r="C794" s="30" t="s">
        <v>5311</v>
      </c>
      <c r="D794" s="34" t="s">
        <v>151</v>
      </c>
      <c r="E794" s="31">
        <v>2607.3000000000002</v>
      </c>
      <c r="F794" s="31">
        <v>30</v>
      </c>
      <c r="G794" s="32">
        <f t="shared" si="121"/>
        <v>78219</v>
      </c>
      <c r="H794" s="33">
        <f t="shared" si="122"/>
        <v>4.0556949600167684E-4</v>
      </c>
      <c r="K794" t="str">
        <f xml:space="preserve"> B789 &amp; B794</f>
        <v>Z000244013Z040303033</v>
      </c>
    </row>
    <row r="795" spans="1:11" outlineLevel="1" x14ac:dyDescent="0.2">
      <c r="A795" s="11" t="s">
        <v>5302</v>
      </c>
      <c r="B795" s="11" t="s">
        <v>4914</v>
      </c>
      <c r="C795" s="11" t="s">
        <v>4919</v>
      </c>
      <c r="D795" s="12" t="s">
        <v>1152</v>
      </c>
      <c r="E795" s="13">
        <v>1187</v>
      </c>
      <c r="F795" s="14">
        <v>60</v>
      </c>
      <c r="G795" s="15">
        <f>SUM(G796:G796)</f>
        <v>71220</v>
      </c>
      <c r="H795" s="16">
        <f t="shared" si="122"/>
        <v>3.6927932478348513E-4</v>
      </c>
    </row>
    <row r="796" spans="1:11" outlineLevel="1" x14ac:dyDescent="0.2">
      <c r="A796" s="29"/>
      <c r="B796" s="30" t="s">
        <v>4915</v>
      </c>
      <c r="C796" s="30" t="s">
        <v>4916</v>
      </c>
      <c r="D796" s="34" t="s">
        <v>1052</v>
      </c>
      <c r="E796" s="31">
        <v>1187</v>
      </c>
      <c r="F796" s="31">
        <v>60</v>
      </c>
      <c r="G796" s="32">
        <f t="shared" ref="G796" si="123">F796*E796</f>
        <v>71220</v>
      </c>
      <c r="H796" s="33">
        <f t="shared" si="122"/>
        <v>3.6927932478348513E-4</v>
      </c>
      <c r="K796" t="str">
        <f xml:space="preserve"> B795 &amp; B796</f>
        <v>Z000084016Z040303028</v>
      </c>
    </row>
    <row r="797" spans="1:11" ht="15" x14ac:dyDescent="0.2">
      <c r="A797" s="17" t="s">
        <v>2019</v>
      </c>
      <c r="B797" s="17" t="s">
        <v>328</v>
      </c>
      <c r="C797" s="17" t="s">
        <v>1893</v>
      </c>
      <c r="D797" s="18"/>
      <c r="E797" s="19"/>
      <c r="F797" s="20"/>
      <c r="G797" s="21">
        <f>SUM(G798,G808,G818,G831,G844)</f>
        <v>5334235.0748782065</v>
      </c>
      <c r="H797" s="22">
        <f t="shared" si="113"/>
        <v>2.765828035225228E-2</v>
      </c>
    </row>
    <row r="798" spans="1:11" outlineLevel="1" x14ac:dyDescent="0.2">
      <c r="A798" s="11" t="s">
        <v>1401</v>
      </c>
      <c r="B798" s="11" t="s">
        <v>1776</v>
      </c>
      <c r="C798" s="11" t="s">
        <v>2697</v>
      </c>
      <c r="D798" s="12" t="s">
        <v>1152</v>
      </c>
      <c r="E798" s="13">
        <v>3059.1</v>
      </c>
      <c r="F798" s="14">
        <v>121.3534288</v>
      </c>
      <c r="G798" s="15">
        <f>SUM(G799:G807)</f>
        <v>371232.27404207998</v>
      </c>
      <c r="H798" s="16">
        <f t="shared" si="113"/>
        <v>1.9248582349915334E-3</v>
      </c>
    </row>
    <row r="799" spans="1:11" outlineLevel="1" x14ac:dyDescent="0.2">
      <c r="A799" s="29"/>
      <c r="B799" s="30" t="s">
        <v>1047</v>
      </c>
      <c r="C799" s="30" t="s">
        <v>1127</v>
      </c>
      <c r="D799" s="34" t="s">
        <v>1052</v>
      </c>
      <c r="E799" s="31">
        <v>636.29279999999994</v>
      </c>
      <c r="F799" s="31">
        <v>13.77</v>
      </c>
      <c r="G799" s="32">
        <f t="shared" ref="G799:G807" si="124">F799*E799</f>
        <v>8761.751855999999</v>
      </c>
      <c r="H799" s="33">
        <f t="shared" si="113"/>
        <v>4.5430129307836666E-5</v>
      </c>
      <c r="K799" t="str">
        <f xml:space="preserve"> B798 &amp; B799</f>
        <v>Z000083005Z010109004</v>
      </c>
    </row>
    <row r="800" spans="1:11" outlineLevel="1" x14ac:dyDescent="0.2">
      <c r="A800" s="29"/>
      <c r="B800" s="30" t="s">
        <v>423</v>
      </c>
      <c r="C800" s="30" t="s">
        <v>2683</v>
      </c>
      <c r="D800" s="34" t="s">
        <v>1152</v>
      </c>
      <c r="E800" s="31">
        <v>4086.9576000000002</v>
      </c>
      <c r="F800" s="31">
        <v>55.495800000000003</v>
      </c>
      <c r="G800" s="32">
        <f t="shared" si="124"/>
        <v>226808.98157808001</v>
      </c>
      <c r="H800" s="33">
        <f t="shared" si="113"/>
        <v>1.1760161130578953E-3</v>
      </c>
      <c r="K800" t="str">
        <f xml:space="preserve"> B798 &amp; B800</f>
        <v>Z000083005Z010401001</v>
      </c>
    </row>
    <row r="801" spans="1:11" outlineLevel="1" x14ac:dyDescent="0.2">
      <c r="A801" s="29"/>
      <c r="B801" s="30" t="s">
        <v>189</v>
      </c>
      <c r="C801" s="30" t="s">
        <v>2685</v>
      </c>
      <c r="D801" s="34" t="s">
        <v>153</v>
      </c>
      <c r="E801" s="31">
        <v>7060.4027999999989</v>
      </c>
      <c r="F801" s="31">
        <v>11.05</v>
      </c>
      <c r="G801" s="32">
        <f t="shared" si="124"/>
        <v>78017.450939999995</v>
      </c>
      <c r="H801" s="33">
        <f t="shared" si="113"/>
        <v>4.0452445386761972E-4</v>
      </c>
      <c r="K801" t="str">
        <f xml:space="preserve"> B798 &amp; B801</f>
        <v>Z000083005Z010403001</v>
      </c>
    </row>
    <row r="802" spans="1:11" outlineLevel="1" x14ac:dyDescent="0.2">
      <c r="A802" s="29"/>
      <c r="B802" s="30" t="s">
        <v>82</v>
      </c>
      <c r="C802" s="30" t="s">
        <v>2688</v>
      </c>
      <c r="D802" s="34" t="s">
        <v>153</v>
      </c>
      <c r="E802" s="31">
        <v>28256.9067</v>
      </c>
      <c r="F802" s="31">
        <v>2.04</v>
      </c>
      <c r="G802" s="32">
        <f t="shared" si="124"/>
        <v>57644.089668000001</v>
      </c>
      <c r="H802" s="33">
        <f t="shared" si="113"/>
        <v>2.9888753875818185E-4</v>
      </c>
      <c r="K802" t="str">
        <f xml:space="preserve"> B798 &amp; B802</f>
        <v>Z000083005Z010404002</v>
      </c>
    </row>
    <row r="803" spans="1:11" outlineLevel="1" x14ac:dyDescent="0.2">
      <c r="A803" s="29"/>
      <c r="B803" s="30" t="s">
        <v>944</v>
      </c>
      <c r="C803" s="30" t="s">
        <v>1601</v>
      </c>
      <c r="D803" s="34" t="s">
        <v>151</v>
      </c>
      <c r="E803" s="31">
        <v>0</v>
      </c>
      <c r="F803" s="31">
        <v>19.170000000000002</v>
      </c>
      <c r="G803" s="32">
        <f t="shared" si="124"/>
        <v>0</v>
      </c>
      <c r="H803" s="33">
        <f t="shared" si="113"/>
        <v>0</v>
      </c>
      <c r="K803" t="str">
        <f xml:space="preserve"> B798 &amp; B803</f>
        <v>Z000083005Z040201005</v>
      </c>
    </row>
    <row r="804" spans="1:11" outlineLevel="1" x14ac:dyDescent="0.2">
      <c r="A804" s="29"/>
      <c r="B804" s="30" t="s">
        <v>794</v>
      </c>
      <c r="C804" s="30" t="s">
        <v>446</v>
      </c>
      <c r="D804" s="34" t="s">
        <v>151</v>
      </c>
      <c r="E804" s="31">
        <v>0</v>
      </c>
      <c r="F804" s="31">
        <v>11.1343</v>
      </c>
      <c r="G804" s="32">
        <f t="shared" si="124"/>
        <v>0</v>
      </c>
      <c r="H804" s="33">
        <f t="shared" si="113"/>
        <v>0</v>
      </c>
      <c r="K804" t="str">
        <f xml:space="preserve"> B798 &amp; B804</f>
        <v>Z000083005Z040202002</v>
      </c>
    </row>
    <row r="805" spans="1:11" outlineLevel="1" x14ac:dyDescent="0.2">
      <c r="A805" s="29"/>
      <c r="B805" s="30" t="s">
        <v>498</v>
      </c>
      <c r="C805" s="30" t="s">
        <v>773</v>
      </c>
      <c r="D805" s="34" t="s">
        <v>84</v>
      </c>
      <c r="E805" s="31">
        <v>3670.9199999999996</v>
      </c>
      <c r="F805" s="31">
        <v>0</v>
      </c>
      <c r="G805" s="32">
        <f t="shared" si="124"/>
        <v>0</v>
      </c>
      <c r="H805" s="33">
        <f t="shared" si="113"/>
        <v>0</v>
      </c>
      <c r="K805" t="str">
        <f xml:space="preserve"> B798 &amp; B805</f>
        <v>Z000083005Z040401001</v>
      </c>
    </row>
    <row r="806" spans="1:11" outlineLevel="1" x14ac:dyDescent="0.2">
      <c r="A806" s="29"/>
      <c r="B806" s="30" t="s">
        <v>1970</v>
      </c>
      <c r="C806" s="30" t="s">
        <v>1166</v>
      </c>
      <c r="D806" s="34" t="s">
        <v>764</v>
      </c>
      <c r="E806" s="31">
        <v>0</v>
      </c>
      <c r="F806" s="31">
        <v>30.29</v>
      </c>
      <c r="G806" s="32">
        <f t="shared" si="124"/>
        <v>0</v>
      </c>
      <c r="H806" s="33">
        <f t="shared" si="113"/>
        <v>0</v>
      </c>
      <c r="K806" t="str">
        <f xml:space="preserve"> B798 &amp; B806</f>
        <v>Z000083005Z050103007</v>
      </c>
    </row>
    <row r="807" spans="1:11" outlineLevel="1" x14ac:dyDescent="0.2">
      <c r="A807" s="29"/>
      <c r="B807" s="30" t="s">
        <v>1971</v>
      </c>
      <c r="C807" s="30" t="s">
        <v>1147</v>
      </c>
      <c r="D807" s="34" t="s">
        <v>742</v>
      </c>
      <c r="E807" s="31">
        <v>0</v>
      </c>
      <c r="F807" s="31">
        <v>28.81</v>
      </c>
      <c r="G807" s="32">
        <f t="shared" si="124"/>
        <v>0</v>
      </c>
      <c r="H807" s="33">
        <f t="shared" si="113"/>
        <v>0</v>
      </c>
      <c r="K807" t="str">
        <f xml:space="preserve"> B798 &amp; B807</f>
        <v>Z000083005Z050103008</v>
      </c>
    </row>
    <row r="808" spans="1:11" outlineLevel="1" x14ac:dyDescent="0.2">
      <c r="A808" s="11" t="s">
        <v>1406</v>
      </c>
      <c r="B808" s="11" t="s">
        <v>1779</v>
      </c>
      <c r="C808" s="11" t="s">
        <v>2707</v>
      </c>
      <c r="D808" s="12" t="s">
        <v>1152</v>
      </c>
      <c r="E808" s="13">
        <v>3059.1</v>
      </c>
      <c r="F808" s="14">
        <v>81.803996800000007</v>
      </c>
      <c r="G808" s="15">
        <f>SUM(G809:G817)</f>
        <v>250246.60661088</v>
      </c>
      <c r="H808" s="16">
        <f t="shared" si="113"/>
        <v>1.2975413917245744E-3</v>
      </c>
    </row>
    <row r="809" spans="1:11" outlineLevel="1" x14ac:dyDescent="0.2">
      <c r="A809" s="29"/>
      <c r="B809" s="30" t="s">
        <v>1047</v>
      </c>
      <c r="C809" s="30" t="s">
        <v>1127</v>
      </c>
      <c r="D809" s="34" t="s">
        <v>1052</v>
      </c>
      <c r="E809" s="31">
        <v>486.39690000000002</v>
      </c>
      <c r="F809" s="31">
        <v>13.77</v>
      </c>
      <c r="G809" s="32">
        <f t="shared" ref="G809:G817" si="125">F809*E809</f>
        <v>6697.685313</v>
      </c>
      <c r="H809" s="33">
        <f t="shared" si="113"/>
        <v>3.4727839230509761E-5</v>
      </c>
      <c r="K809" t="str">
        <f xml:space="preserve"> B808 &amp; B809</f>
        <v>Z000083006Z010109004</v>
      </c>
    </row>
    <row r="810" spans="1:11" outlineLevel="1" x14ac:dyDescent="0.2">
      <c r="A810" s="29"/>
      <c r="B810" s="30" t="s">
        <v>423</v>
      </c>
      <c r="C810" s="30" t="s">
        <v>2683</v>
      </c>
      <c r="D810" s="34" t="s">
        <v>1152</v>
      </c>
      <c r="E810" s="31">
        <v>3505.7285999999995</v>
      </c>
      <c r="F810" s="31">
        <v>55.495800000000003</v>
      </c>
      <c r="G810" s="32">
        <f t="shared" si="125"/>
        <v>194553.21323987999</v>
      </c>
      <c r="H810" s="33">
        <f t="shared" si="113"/>
        <v>1.0087683125481646E-3</v>
      </c>
      <c r="K810" t="str">
        <f xml:space="preserve"> B808 &amp; B810</f>
        <v>Z000083006Z010401001</v>
      </c>
    </row>
    <row r="811" spans="1:11" outlineLevel="1" x14ac:dyDescent="0.2">
      <c r="A811" s="29"/>
      <c r="B811" s="30" t="s">
        <v>189</v>
      </c>
      <c r="C811" s="30" t="s">
        <v>2685</v>
      </c>
      <c r="D811" s="34" t="s">
        <v>153</v>
      </c>
      <c r="E811" s="31">
        <v>507.81060000000002</v>
      </c>
      <c r="F811" s="31">
        <v>11.05</v>
      </c>
      <c r="G811" s="32">
        <f t="shared" si="125"/>
        <v>5611.3071300000011</v>
      </c>
      <c r="H811" s="33">
        <f t="shared" si="113"/>
        <v>2.909491305980281E-5</v>
      </c>
      <c r="K811" t="str">
        <f xml:space="preserve"> B808 &amp; B811</f>
        <v>Z000083006Z010403001</v>
      </c>
    </row>
    <row r="812" spans="1:11" outlineLevel="1" x14ac:dyDescent="0.2">
      <c r="A812" s="29"/>
      <c r="B812" s="30" t="s">
        <v>82</v>
      </c>
      <c r="C812" s="30" t="s">
        <v>2688</v>
      </c>
      <c r="D812" s="34" t="s">
        <v>153</v>
      </c>
      <c r="E812" s="31">
        <v>21266.8632</v>
      </c>
      <c r="F812" s="31">
        <v>2.04</v>
      </c>
      <c r="G812" s="32">
        <f t="shared" si="125"/>
        <v>43384.400928000003</v>
      </c>
      <c r="H812" s="33">
        <f t="shared" si="113"/>
        <v>2.2495032688609726E-4</v>
      </c>
      <c r="K812" t="str">
        <f xml:space="preserve"> B808 &amp; B812</f>
        <v>Z000083006Z010404002</v>
      </c>
    </row>
    <row r="813" spans="1:11" outlineLevel="1" x14ac:dyDescent="0.2">
      <c r="A813" s="29"/>
      <c r="B813" s="30" t="s">
        <v>944</v>
      </c>
      <c r="C813" s="30" t="s">
        <v>1601</v>
      </c>
      <c r="D813" s="34" t="s">
        <v>151</v>
      </c>
      <c r="E813" s="31">
        <v>0</v>
      </c>
      <c r="F813" s="31">
        <v>19.170000000000002</v>
      </c>
      <c r="G813" s="32">
        <f t="shared" si="125"/>
        <v>0</v>
      </c>
      <c r="H813" s="33">
        <f t="shared" si="113"/>
        <v>0</v>
      </c>
      <c r="K813" t="str">
        <f xml:space="preserve"> B808 &amp; B813</f>
        <v>Z000083006Z040201005</v>
      </c>
    </row>
    <row r="814" spans="1:11" outlineLevel="1" x14ac:dyDescent="0.2">
      <c r="A814" s="29"/>
      <c r="B814" s="30" t="s">
        <v>794</v>
      </c>
      <c r="C814" s="30" t="s">
        <v>446</v>
      </c>
      <c r="D814" s="34" t="s">
        <v>151</v>
      </c>
      <c r="E814" s="31">
        <v>0</v>
      </c>
      <c r="F814" s="31">
        <v>11.1343</v>
      </c>
      <c r="G814" s="32">
        <f t="shared" si="125"/>
        <v>0</v>
      </c>
      <c r="H814" s="33">
        <f t="shared" si="113"/>
        <v>0</v>
      </c>
      <c r="K814" t="str">
        <f xml:space="preserve"> B808 &amp; B814</f>
        <v>Z000083006Z040202002</v>
      </c>
    </row>
    <row r="815" spans="1:11" outlineLevel="1" x14ac:dyDescent="0.2">
      <c r="A815" s="29"/>
      <c r="B815" s="30" t="s">
        <v>498</v>
      </c>
      <c r="C815" s="30" t="s">
        <v>773</v>
      </c>
      <c r="D815" s="34" t="s">
        <v>84</v>
      </c>
      <c r="E815" s="31">
        <v>3670.9199999999996</v>
      </c>
      <c r="F815" s="31">
        <v>0</v>
      </c>
      <c r="G815" s="32">
        <f t="shared" si="125"/>
        <v>0</v>
      </c>
      <c r="H815" s="33">
        <f t="shared" si="113"/>
        <v>0</v>
      </c>
      <c r="K815" t="str">
        <f xml:space="preserve"> B808 &amp; B815</f>
        <v>Z000083006Z040401001</v>
      </c>
    </row>
    <row r="816" spans="1:11" outlineLevel="1" x14ac:dyDescent="0.2">
      <c r="A816" s="29"/>
      <c r="B816" s="30" t="s">
        <v>1970</v>
      </c>
      <c r="C816" s="30" t="s">
        <v>1166</v>
      </c>
      <c r="D816" s="34" t="s">
        <v>764</v>
      </c>
      <c r="E816" s="31">
        <v>0</v>
      </c>
      <c r="F816" s="31">
        <v>30.29</v>
      </c>
      <c r="G816" s="32">
        <f t="shared" si="125"/>
        <v>0</v>
      </c>
      <c r="H816" s="33">
        <f t="shared" si="113"/>
        <v>0</v>
      </c>
      <c r="K816" t="str">
        <f xml:space="preserve"> B808 &amp; B816</f>
        <v>Z000083006Z050103007</v>
      </c>
    </row>
    <row r="817" spans="1:11" outlineLevel="1" x14ac:dyDescent="0.2">
      <c r="A817" s="29"/>
      <c r="B817" s="30" t="s">
        <v>1971</v>
      </c>
      <c r="C817" s="30" t="s">
        <v>1147</v>
      </c>
      <c r="D817" s="34" t="s">
        <v>742</v>
      </c>
      <c r="E817" s="31">
        <v>0</v>
      </c>
      <c r="F817" s="31">
        <v>28.81</v>
      </c>
      <c r="G817" s="32">
        <f t="shared" si="125"/>
        <v>0</v>
      </c>
      <c r="H817" s="33">
        <f t="shared" si="113"/>
        <v>0</v>
      </c>
      <c r="K817" t="str">
        <f xml:space="preserve"> B808 &amp; B817</f>
        <v>Z000083006Z050103008</v>
      </c>
    </row>
    <row r="818" spans="1:11" outlineLevel="1" x14ac:dyDescent="0.2">
      <c r="A818" s="11" t="s">
        <v>1409</v>
      </c>
      <c r="B818" s="11" t="s">
        <v>1823</v>
      </c>
      <c r="C818" s="11" t="s">
        <v>2717</v>
      </c>
      <c r="D818" s="12" t="s">
        <v>1152</v>
      </c>
      <c r="E818" s="13">
        <v>12236.035</v>
      </c>
      <c r="F818" s="14">
        <v>81.784587119999998</v>
      </c>
      <c r="G818" s="15">
        <f>SUM(G819:G830)</f>
        <v>1000719.0704608691</v>
      </c>
      <c r="H818" s="16">
        <f t="shared" si="113"/>
        <v>5.1887793125210144E-3</v>
      </c>
    </row>
    <row r="819" spans="1:11" outlineLevel="1" x14ac:dyDescent="0.2">
      <c r="A819" s="29"/>
      <c r="B819" s="30" t="s">
        <v>1047</v>
      </c>
      <c r="C819" s="30" t="s">
        <v>1127</v>
      </c>
      <c r="D819" s="34" t="s">
        <v>1052</v>
      </c>
      <c r="E819" s="31">
        <v>669.31111450000003</v>
      </c>
      <c r="F819" s="31">
        <v>13.77</v>
      </c>
      <c r="G819" s="32">
        <f t="shared" ref="G819:G830" si="126">F819*E819</f>
        <v>9216.4140466650006</v>
      </c>
      <c r="H819" s="33">
        <f t="shared" si="113"/>
        <v>4.7787575906732366E-5</v>
      </c>
      <c r="K819" t="str">
        <f xml:space="preserve"> B818 &amp; B819</f>
        <v>Z000083011Z010109004</v>
      </c>
    </row>
    <row r="820" spans="1:11" outlineLevel="1" x14ac:dyDescent="0.2">
      <c r="A820" s="29"/>
      <c r="B820" s="30" t="s">
        <v>1065</v>
      </c>
      <c r="C820" s="30" t="s">
        <v>1026</v>
      </c>
      <c r="D820" s="34" t="s">
        <v>1052</v>
      </c>
      <c r="E820" s="31">
        <v>232.48466499999998</v>
      </c>
      <c r="F820" s="31">
        <v>14.2</v>
      </c>
      <c r="G820" s="32">
        <f t="shared" si="126"/>
        <v>3301.2822429999997</v>
      </c>
      <c r="H820" s="33">
        <f t="shared" si="113"/>
        <v>1.7117316450642365E-5</v>
      </c>
      <c r="K820" t="str">
        <f xml:space="preserve"> B818 &amp; B820</f>
        <v>Z000083011Z010109008</v>
      </c>
    </row>
    <row r="821" spans="1:11" outlineLevel="1" x14ac:dyDescent="0.2">
      <c r="A821" s="29"/>
      <c r="B821" s="30" t="s">
        <v>1129</v>
      </c>
      <c r="C821" s="30" t="s">
        <v>2681</v>
      </c>
      <c r="D821" s="34" t="s">
        <v>152</v>
      </c>
      <c r="E821" s="31">
        <v>122.36035</v>
      </c>
      <c r="F821" s="31">
        <v>19.722200000000001</v>
      </c>
      <c r="G821" s="32">
        <f t="shared" si="126"/>
        <v>2413.2152947700001</v>
      </c>
      <c r="H821" s="33">
        <f t="shared" si="113"/>
        <v>1.2512644125383947E-5</v>
      </c>
      <c r="K821" t="str">
        <f xml:space="preserve"> B818 &amp; B821</f>
        <v>Z000083011Z010305001</v>
      </c>
    </row>
    <row r="822" spans="1:11" outlineLevel="1" x14ac:dyDescent="0.2">
      <c r="A822" s="29"/>
      <c r="B822" s="30" t="s">
        <v>423</v>
      </c>
      <c r="C822" s="30" t="s">
        <v>2683</v>
      </c>
      <c r="D822" s="34" t="s">
        <v>1152</v>
      </c>
      <c r="E822" s="31">
        <v>4299.7426989999994</v>
      </c>
      <c r="F822" s="31">
        <v>55.495800000000003</v>
      </c>
      <c r="G822" s="32">
        <f t="shared" si="126"/>
        <v>238617.66087516418</v>
      </c>
      <c r="H822" s="33">
        <f t="shared" si="113"/>
        <v>1.2372447162229045E-3</v>
      </c>
      <c r="K822" t="str">
        <f xml:space="preserve"> B818 &amp; B822</f>
        <v>Z000083011Z010401001</v>
      </c>
    </row>
    <row r="823" spans="1:11" outlineLevel="1" x14ac:dyDescent="0.2">
      <c r="A823" s="29"/>
      <c r="B823" s="30" t="s">
        <v>189</v>
      </c>
      <c r="C823" s="30" t="s">
        <v>2685</v>
      </c>
      <c r="D823" s="34" t="s">
        <v>153</v>
      </c>
      <c r="E823" s="31">
        <v>7427.2732449999994</v>
      </c>
      <c r="F823" s="31">
        <v>11.05</v>
      </c>
      <c r="G823" s="32">
        <f t="shared" si="126"/>
        <v>82071.369357250005</v>
      </c>
      <c r="H823" s="33">
        <f t="shared" si="113"/>
        <v>4.2554422718760594E-4</v>
      </c>
      <c r="K823" t="str">
        <f xml:space="preserve"> B818 &amp; B823</f>
        <v>Z000083011Z010403001</v>
      </c>
    </row>
    <row r="824" spans="1:11" outlineLevel="1" x14ac:dyDescent="0.2">
      <c r="A824" s="29"/>
      <c r="B824" s="30" t="s">
        <v>82</v>
      </c>
      <c r="C824" s="30" t="s">
        <v>2688</v>
      </c>
      <c r="D824" s="34" t="s">
        <v>153</v>
      </c>
      <c r="E824" s="31">
        <v>29724.999825499999</v>
      </c>
      <c r="F824" s="31">
        <v>2.04</v>
      </c>
      <c r="G824" s="32">
        <f t="shared" si="126"/>
        <v>60638.999644019998</v>
      </c>
      <c r="H824" s="33">
        <f t="shared" si="113"/>
        <v>3.1441629941153748E-4</v>
      </c>
      <c r="K824" t="str">
        <f xml:space="preserve"> B818 &amp; B824</f>
        <v>Z000083011Z010404002</v>
      </c>
    </row>
    <row r="825" spans="1:11" outlineLevel="1" x14ac:dyDescent="0.2">
      <c r="A825" s="29"/>
      <c r="B825" s="30" t="s">
        <v>944</v>
      </c>
      <c r="C825" s="30" t="s">
        <v>1601</v>
      </c>
      <c r="D825" s="34" t="s">
        <v>151</v>
      </c>
      <c r="E825" s="31">
        <v>0</v>
      </c>
      <c r="F825" s="31">
        <v>19.170000000000002</v>
      </c>
      <c r="G825" s="32">
        <f t="shared" si="126"/>
        <v>0</v>
      </c>
      <c r="H825" s="33">
        <f t="shared" si="113"/>
        <v>0</v>
      </c>
      <c r="K825" t="str">
        <f xml:space="preserve"> B818 &amp; B825</f>
        <v>Z000083011Z040201005</v>
      </c>
    </row>
    <row r="826" spans="1:11" outlineLevel="1" x14ac:dyDescent="0.2">
      <c r="A826" s="29"/>
      <c r="B826" s="30" t="s">
        <v>794</v>
      </c>
      <c r="C826" s="30" t="s">
        <v>446</v>
      </c>
      <c r="D826" s="34" t="s">
        <v>151</v>
      </c>
      <c r="E826" s="31">
        <v>0</v>
      </c>
      <c r="F826" s="31">
        <v>11.1343</v>
      </c>
      <c r="G826" s="32">
        <f t="shared" si="126"/>
        <v>0</v>
      </c>
      <c r="H826" s="33">
        <f t="shared" si="113"/>
        <v>0</v>
      </c>
      <c r="K826" t="str">
        <f xml:space="preserve"> B818 &amp; B826</f>
        <v>Z000083011Z040202002</v>
      </c>
    </row>
    <row r="827" spans="1:11" outlineLevel="1" x14ac:dyDescent="0.2">
      <c r="A827" s="29"/>
      <c r="B827" s="30" t="s">
        <v>1568</v>
      </c>
      <c r="C827" s="30" t="s">
        <v>2692</v>
      </c>
      <c r="D827" s="34" t="s">
        <v>1152</v>
      </c>
      <c r="E827" s="31">
        <v>12236.035</v>
      </c>
      <c r="F827" s="31">
        <v>49.4</v>
      </c>
      <c r="G827" s="32">
        <f t="shared" si="126"/>
        <v>604460.12899999996</v>
      </c>
      <c r="H827" s="33">
        <f t="shared" si="113"/>
        <v>3.1341565332162077E-3</v>
      </c>
      <c r="K827" t="str">
        <f xml:space="preserve"> B818 &amp; B827</f>
        <v>Z000083011Z040303016</v>
      </c>
    </row>
    <row r="828" spans="1:11" outlineLevel="1" x14ac:dyDescent="0.2">
      <c r="A828" s="29"/>
      <c r="B828" s="30" t="s">
        <v>498</v>
      </c>
      <c r="C828" s="30" t="s">
        <v>773</v>
      </c>
      <c r="D828" s="34" t="s">
        <v>84</v>
      </c>
      <c r="E828" s="31">
        <v>14683.242</v>
      </c>
      <c r="F828" s="31">
        <v>0</v>
      </c>
      <c r="G828" s="32">
        <f t="shared" si="126"/>
        <v>0</v>
      </c>
      <c r="H828" s="33">
        <f t="shared" si="113"/>
        <v>0</v>
      </c>
      <c r="K828" t="str">
        <f xml:space="preserve"> B818 &amp; B828</f>
        <v>Z000083011Z040401001</v>
      </c>
    </row>
    <row r="829" spans="1:11" outlineLevel="1" x14ac:dyDescent="0.2">
      <c r="A829" s="29"/>
      <c r="B829" s="30" t="s">
        <v>1970</v>
      </c>
      <c r="C829" s="30" t="s">
        <v>1166</v>
      </c>
      <c r="D829" s="34" t="s">
        <v>764</v>
      </c>
      <c r="E829" s="31">
        <v>0</v>
      </c>
      <c r="F829" s="31">
        <v>30.29</v>
      </c>
      <c r="G829" s="32">
        <f t="shared" si="126"/>
        <v>0</v>
      </c>
      <c r="H829" s="33">
        <f t="shared" si="113"/>
        <v>0</v>
      </c>
      <c r="K829" t="str">
        <f xml:space="preserve"> B818 &amp; B829</f>
        <v>Z000083011Z050103007</v>
      </c>
    </row>
    <row r="830" spans="1:11" outlineLevel="1" x14ac:dyDescent="0.2">
      <c r="A830" s="29"/>
      <c r="B830" s="30" t="s">
        <v>1971</v>
      </c>
      <c r="C830" s="30" t="s">
        <v>1147</v>
      </c>
      <c r="D830" s="34" t="s">
        <v>742</v>
      </c>
      <c r="E830" s="31">
        <v>0</v>
      </c>
      <c r="F830" s="31">
        <v>28.81</v>
      </c>
      <c r="G830" s="32">
        <f t="shared" si="126"/>
        <v>0</v>
      </c>
      <c r="H830" s="33">
        <f t="shared" si="113"/>
        <v>0</v>
      </c>
      <c r="K830" t="str">
        <f xml:space="preserve"> B818 &amp; B830</f>
        <v>Z000083011Z050103008</v>
      </c>
    </row>
    <row r="831" spans="1:11" outlineLevel="1" x14ac:dyDescent="0.2">
      <c r="A831" s="11" t="s">
        <v>1413</v>
      </c>
      <c r="B831" s="11" t="s">
        <v>1824</v>
      </c>
      <c r="C831" s="11" t="s">
        <v>2730</v>
      </c>
      <c r="D831" s="12" t="s">
        <v>1152</v>
      </c>
      <c r="E831" s="13">
        <v>12236.035</v>
      </c>
      <c r="F831" s="14">
        <v>89.664504519999994</v>
      </c>
      <c r="G831" s="15">
        <f>SUM(G832:G843)</f>
        <v>1097138.0155643781</v>
      </c>
      <c r="H831" s="16">
        <f t="shared" si="113"/>
        <v>5.6887164501812177E-3</v>
      </c>
    </row>
    <row r="832" spans="1:11" outlineLevel="1" x14ac:dyDescent="0.2">
      <c r="A832" s="29"/>
      <c r="B832" s="30" t="s">
        <v>1047</v>
      </c>
      <c r="C832" s="30" t="s">
        <v>1127</v>
      </c>
      <c r="D832" s="34" t="s">
        <v>1052</v>
      </c>
      <c r="E832" s="31">
        <v>805.13110299999994</v>
      </c>
      <c r="F832" s="31">
        <v>13.77</v>
      </c>
      <c r="G832" s="32">
        <f t="shared" ref="G832:G843" si="127">F832*E832</f>
        <v>11086.655288309999</v>
      </c>
      <c r="H832" s="33">
        <f t="shared" si="113"/>
        <v>5.748487193168171E-5</v>
      </c>
      <c r="K832" t="str">
        <f xml:space="preserve"> B831 &amp; B832</f>
        <v>Z000083012Z010109004</v>
      </c>
    </row>
    <row r="833" spans="1:11" outlineLevel="1" x14ac:dyDescent="0.2">
      <c r="A833" s="29"/>
      <c r="B833" s="30" t="s">
        <v>1065</v>
      </c>
      <c r="C833" s="30" t="s">
        <v>1026</v>
      </c>
      <c r="D833" s="34" t="s">
        <v>1052</v>
      </c>
      <c r="E833" s="31">
        <v>403.78915499999999</v>
      </c>
      <c r="F833" s="31">
        <v>14.2</v>
      </c>
      <c r="G833" s="32">
        <f t="shared" si="127"/>
        <v>5733.8060009999999</v>
      </c>
      <c r="H833" s="33">
        <f t="shared" si="113"/>
        <v>2.9730075940589373E-5</v>
      </c>
      <c r="K833" t="str">
        <f xml:space="preserve"> B831 &amp; B833</f>
        <v>Z000083012Z010109008</v>
      </c>
    </row>
    <row r="834" spans="1:11" outlineLevel="1" x14ac:dyDescent="0.2">
      <c r="A834" s="29"/>
      <c r="B834" s="30" t="s">
        <v>1129</v>
      </c>
      <c r="C834" s="30" t="s">
        <v>2681</v>
      </c>
      <c r="D834" s="34" t="s">
        <v>152</v>
      </c>
      <c r="E834" s="31">
        <v>122.36035</v>
      </c>
      <c r="F834" s="31">
        <v>19.722200000000001</v>
      </c>
      <c r="G834" s="32">
        <f t="shared" si="127"/>
        <v>2413.2152947700001</v>
      </c>
      <c r="H834" s="33">
        <f t="shared" si="113"/>
        <v>1.2512644125383947E-5</v>
      </c>
      <c r="K834" t="str">
        <f xml:space="preserve"> B831 &amp; B834</f>
        <v>Z000083012Z010305001</v>
      </c>
    </row>
    <row r="835" spans="1:11" outlineLevel="1" x14ac:dyDescent="0.2">
      <c r="A835" s="29"/>
      <c r="B835" s="30" t="s">
        <v>423</v>
      </c>
      <c r="C835" s="30" t="s">
        <v>2683</v>
      </c>
      <c r="D835" s="34" t="s">
        <v>1152</v>
      </c>
      <c r="E835" s="31">
        <v>5804.7750040000001</v>
      </c>
      <c r="F835" s="31">
        <v>55.495800000000003</v>
      </c>
      <c r="G835" s="32">
        <f t="shared" si="127"/>
        <v>322140.63266698323</v>
      </c>
      <c r="H835" s="33">
        <f t="shared" si="113"/>
        <v>1.6703155759139046E-3</v>
      </c>
      <c r="K835" t="str">
        <f xml:space="preserve"> B831 &amp; B835</f>
        <v>Z000083012Z010401001</v>
      </c>
    </row>
    <row r="836" spans="1:11" outlineLevel="1" x14ac:dyDescent="0.2">
      <c r="A836" s="29"/>
      <c r="B836" s="30" t="s">
        <v>189</v>
      </c>
      <c r="C836" s="30" t="s">
        <v>2685</v>
      </c>
      <c r="D836" s="34" t="s">
        <v>153</v>
      </c>
      <c r="E836" s="31">
        <v>7191.1177694999997</v>
      </c>
      <c r="F836" s="31">
        <v>11.05</v>
      </c>
      <c r="G836" s="32">
        <f t="shared" si="127"/>
        <v>79461.851352975005</v>
      </c>
      <c r="H836" s="33">
        <f t="shared" si="113"/>
        <v>4.120137435224975E-4</v>
      </c>
      <c r="K836" t="str">
        <f xml:space="preserve"> B831 &amp; B836</f>
        <v>Z000083012Z010403001</v>
      </c>
    </row>
    <row r="837" spans="1:11" outlineLevel="1" x14ac:dyDescent="0.2">
      <c r="A837" s="29"/>
      <c r="B837" s="30" t="s">
        <v>82</v>
      </c>
      <c r="C837" s="30" t="s">
        <v>2688</v>
      </c>
      <c r="D837" s="34" t="s">
        <v>153</v>
      </c>
      <c r="E837" s="31">
        <v>35216.532333499999</v>
      </c>
      <c r="F837" s="31">
        <v>2.04</v>
      </c>
      <c r="G837" s="32">
        <f t="shared" si="127"/>
        <v>71841.725960340002</v>
      </c>
      <c r="H837" s="33">
        <f t="shared" si="113"/>
        <v>3.7250300553095384E-4</v>
      </c>
      <c r="K837" t="str">
        <f xml:space="preserve"> B831 &amp; B837</f>
        <v>Z000083012Z010404002</v>
      </c>
    </row>
    <row r="838" spans="1:11" outlineLevel="1" x14ac:dyDescent="0.2">
      <c r="A838" s="29"/>
      <c r="B838" s="30" t="s">
        <v>944</v>
      </c>
      <c r="C838" s="30" t="s">
        <v>1601</v>
      </c>
      <c r="D838" s="34" t="s">
        <v>151</v>
      </c>
      <c r="E838" s="31">
        <v>0</v>
      </c>
      <c r="F838" s="31">
        <v>19.170000000000002</v>
      </c>
      <c r="G838" s="32">
        <f t="shared" si="127"/>
        <v>0</v>
      </c>
      <c r="H838" s="33">
        <f t="shared" si="113"/>
        <v>0</v>
      </c>
      <c r="K838" t="str">
        <f xml:space="preserve"> B831 &amp; B838</f>
        <v>Z000083012Z040201005</v>
      </c>
    </row>
    <row r="839" spans="1:11" outlineLevel="1" x14ac:dyDescent="0.2">
      <c r="A839" s="29"/>
      <c r="B839" s="30" t="s">
        <v>794</v>
      </c>
      <c r="C839" s="30" t="s">
        <v>446</v>
      </c>
      <c r="D839" s="34" t="s">
        <v>151</v>
      </c>
      <c r="E839" s="31">
        <v>0</v>
      </c>
      <c r="F839" s="31">
        <v>11.1343</v>
      </c>
      <c r="G839" s="32">
        <f t="shared" si="127"/>
        <v>0</v>
      </c>
      <c r="H839" s="33">
        <f t="shared" si="113"/>
        <v>0</v>
      </c>
      <c r="K839" t="str">
        <f xml:space="preserve"> B831 &amp; B839</f>
        <v>Z000083012Z040202002</v>
      </c>
    </row>
    <row r="840" spans="1:11" outlineLevel="1" x14ac:dyDescent="0.2">
      <c r="A840" s="29"/>
      <c r="B840" s="30" t="s">
        <v>1568</v>
      </c>
      <c r="C840" s="30" t="s">
        <v>2692</v>
      </c>
      <c r="D840" s="34" t="s">
        <v>1152</v>
      </c>
      <c r="E840" s="31">
        <v>12236.035</v>
      </c>
      <c r="F840" s="31">
        <v>49.4</v>
      </c>
      <c r="G840" s="32">
        <f t="shared" si="127"/>
        <v>604460.12899999996</v>
      </c>
      <c r="H840" s="33">
        <f t="shared" si="113"/>
        <v>3.1341565332162077E-3</v>
      </c>
      <c r="K840" t="str">
        <f xml:space="preserve"> B831 &amp; B840</f>
        <v>Z000083012Z040303016</v>
      </c>
    </row>
    <row r="841" spans="1:11" outlineLevel="1" x14ac:dyDescent="0.2">
      <c r="A841" s="29"/>
      <c r="B841" s="30" t="s">
        <v>498</v>
      </c>
      <c r="C841" s="30" t="s">
        <v>773</v>
      </c>
      <c r="D841" s="34" t="s">
        <v>84</v>
      </c>
      <c r="E841" s="31">
        <v>14683.242</v>
      </c>
      <c r="F841" s="31">
        <v>0</v>
      </c>
      <c r="G841" s="32">
        <f t="shared" si="127"/>
        <v>0</v>
      </c>
      <c r="H841" s="33">
        <f t="shared" si="113"/>
        <v>0</v>
      </c>
      <c r="K841" t="str">
        <f xml:space="preserve"> B831 &amp; B841</f>
        <v>Z000083012Z040401001</v>
      </c>
    </row>
    <row r="842" spans="1:11" outlineLevel="1" x14ac:dyDescent="0.2">
      <c r="A842" s="29"/>
      <c r="B842" s="30" t="s">
        <v>1970</v>
      </c>
      <c r="C842" s="30" t="s">
        <v>1166</v>
      </c>
      <c r="D842" s="34" t="s">
        <v>764</v>
      </c>
      <c r="E842" s="31">
        <v>0</v>
      </c>
      <c r="F842" s="31">
        <v>30.29</v>
      </c>
      <c r="G842" s="32">
        <f t="shared" si="127"/>
        <v>0</v>
      </c>
      <c r="H842" s="33">
        <f t="shared" si="113"/>
        <v>0</v>
      </c>
      <c r="K842" t="str">
        <f xml:space="preserve"> B831 &amp; B842</f>
        <v>Z000083012Z050103007</v>
      </c>
    </row>
    <row r="843" spans="1:11" outlineLevel="1" x14ac:dyDescent="0.2">
      <c r="A843" s="29"/>
      <c r="B843" s="30" t="s">
        <v>1971</v>
      </c>
      <c r="C843" s="30" t="s">
        <v>1147</v>
      </c>
      <c r="D843" s="34" t="s">
        <v>742</v>
      </c>
      <c r="E843" s="31">
        <v>0</v>
      </c>
      <c r="F843" s="31">
        <v>28.81</v>
      </c>
      <c r="G843" s="32">
        <f t="shared" si="127"/>
        <v>0</v>
      </c>
      <c r="H843" s="33">
        <f t="shared" si="113"/>
        <v>0</v>
      </c>
      <c r="K843" t="str">
        <f xml:space="preserve"> B831 &amp; B843</f>
        <v>Z000083012Z050103008</v>
      </c>
    </row>
    <row r="844" spans="1:11" outlineLevel="1" x14ac:dyDescent="0.2">
      <c r="A844" s="11" t="s">
        <v>1417</v>
      </c>
      <c r="B844" s="11" t="s">
        <v>1826</v>
      </c>
      <c r="C844" s="11" t="s">
        <v>2743</v>
      </c>
      <c r="D844" s="12" t="s">
        <v>1152</v>
      </c>
      <c r="E844" s="13">
        <v>40834</v>
      </c>
      <c r="F844" s="14">
        <v>64.037299999999988</v>
      </c>
      <c r="G844" s="15">
        <f>SUM(G845:G849)</f>
        <v>2614899.1081999997</v>
      </c>
      <c r="H844" s="16">
        <f t="shared" si="113"/>
        <v>1.3558384962833941E-2</v>
      </c>
    </row>
    <row r="845" spans="1:11" outlineLevel="1" x14ac:dyDescent="0.2">
      <c r="A845" s="29"/>
      <c r="B845" s="30" t="s">
        <v>944</v>
      </c>
      <c r="C845" s="30" t="s">
        <v>1601</v>
      </c>
      <c r="D845" s="34" t="s">
        <v>151</v>
      </c>
      <c r="E845" s="31">
        <v>0</v>
      </c>
      <c r="F845" s="31">
        <v>19.170000000000002</v>
      </c>
      <c r="G845" s="32">
        <f t="shared" ref="G845:G849" si="128">F845*E845</f>
        <v>0</v>
      </c>
      <c r="H845" s="33">
        <f t="shared" si="113"/>
        <v>0</v>
      </c>
      <c r="K845" t="str">
        <f xml:space="preserve"> B844 &amp; B845</f>
        <v>Z000083014Z040201005</v>
      </c>
    </row>
    <row r="846" spans="1:11" outlineLevel="1" x14ac:dyDescent="0.2">
      <c r="A846" s="29"/>
      <c r="B846" s="30" t="s">
        <v>794</v>
      </c>
      <c r="C846" s="30" t="s">
        <v>446</v>
      </c>
      <c r="D846" s="34" t="s">
        <v>151</v>
      </c>
      <c r="E846" s="31">
        <v>0</v>
      </c>
      <c r="F846" s="31">
        <v>11.1343</v>
      </c>
      <c r="G846" s="32">
        <f t="shared" si="128"/>
        <v>0</v>
      </c>
      <c r="H846" s="33">
        <f t="shared" si="113"/>
        <v>0</v>
      </c>
      <c r="K846" t="str">
        <f xml:space="preserve"> B844 &amp; B846</f>
        <v>Z000083014Z040202002</v>
      </c>
    </row>
    <row r="847" spans="1:11" outlineLevel="1" x14ac:dyDescent="0.2">
      <c r="A847" s="29"/>
      <c r="B847" s="30" t="s">
        <v>1557</v>
      </c>
      <c r="C847" s="30" t="s">
        <v>1481</v>
      </c>
      <c r="D847" s="34" t="s">
        <v>1152</v>
      </c>
      <c r="E847" s="31">
        <v>40834</v>
      </c>
      <c r="F847" s="31">
        <v>14.6373</v>
      </c>
      <c r="G847" s="32">
        <f t="shared" si="128"/>
        <v>597699.50820000004</v>
      </c>
      <c r="H847" s="33">
        <f t="shared" si="113"/>
        <v>3.0991023702824647E-3</v>
      </c>
      <c r="K847" t="str">
        <f xml:space="preserve"> B844 &amp; B847</f>
        <v>Z000083014Z040303014</v>
      </c>
    </row>
    <row r="848" spans="1:11" outlineLevel="1" x14ac:dyDescent="0.2">
      <c r="A848" s="29"/>
      <c r="B848" s="30" t="s">
        <v>1568</v>
      </c>
      <c r="C848" s="30" t="s">
        <v>2692</v>
      </c>
      <c r="D848" s="34" t="s">
        <v>1152</v>
      </c>
      <c r="E848" s="31">
        <v>40834</v>
      </c>
      <c r="F848" s="31">
        <v>49.4</v>
      </c>
      <c r="G848" s="32">
        <f t="shared" si="128"/>
        <v>2017199.5999999999</v>
      </c>
      <c r="H848" s="33">
        <f t="shared" si="113"/>
        <v>1.0459282592551477E-2</v>
      </c>
      <c r="K848" t="str">
        <f xml:space="preserve"> B844 &amp; B848</f>
        <v>Z000083014Z040303016</v>
      </c>
    </row>
    <row r="849" spans="1:11" outlineLevel="1" x14ac:dyDescent="0.2">
      <c r="A849" s="29"/>
      <c r="B849" s="30" t="s">
        <v>498</v>
      </c>
      <c r="C849" s="30" t="s">
        <v>773</v>
      </c>
      <c r="D849" s="34" t="s">
        <v>84</v>
      </c>
      <c r="E849" s="31">
        <v>49000.799999999996</v>
      </c>
      <c r="F849" s="31">
        <v>0</v>
      </c>
      <c r="G849" s="32">
        <f t="shared" si="128"/>
        <v>0</v>
      </c>
      <c r="H849" s="33">
        <f t="shared" si="113"/>
        <v>0</v>
      </c>
      <c r="K849" t="str">
        <f xml:space="preserve"> B844 &amp; B849</f>
        <v>Z000083014Z040401001</v>
      </c>
    </row>
    <row r="850" spans="1:11" ht="15" x14ac:dyDescent="0.2">
      <c r="A850" s="17" t="s">
        <v>2020</v>
      </c>
      <c r="B850" s="17" t="s">
        <v>328</v>
      </c>
      <c r="C850" s="17" t="s">
        <v>721</v>
      </c>
      <c r="D850" s="18"/>
      <c r="E850" s="19"/>
      <c r="F850" s="20"/>
      <c r="G850" s="21">
        <f>SUM(G851)</f>
        <v>1551692</v>
      </c>
      <c r="H850" s="22">
        <f t="shared" si="113"/>
        <v>8.0456019942703686E-3</v>
      </c>
    </row>
    <row r="851" spans="1:11" outlineLevel="1" x14ac:dyDescent="0.2">
      <c r="A851" s="11" t="s">
        <v>1285</v>
      </c>
      <c r="B851" s="11" t="s">
        <v>1479</v>
      </c>
      <c r="C851" s="11" t="s">
        <v>2798</v>
      </c>
      <c r="D851" s="12" t="s">
        <v>1152</v>
      </c>
      <c r="E851" s="13">
        <v>40834</v>
      </c>
      <c r="F851" s="14">
        <v>38</v>
      </c>
      <c r="G851" s="15">
        <f>SUM(G852:G852)</f>
        <v>1551692</v>
      </c>
      <c r="H851" s="16">
        <f t="shared" si="113"/>
        <v>8.0456019942703686E-3</v>
      </c>
    </row>
    <row r="852" spans="1:11" outlineLevel="1" x14ac:dyDescent="0.2">
      <c r="A852" s="29"/>
      <c r="B852" s="30" t="s">
        <v>1495</v>
      </c>
      <c r="C852" s="30" t="s">
        <v>1040</v>
      </c>
      <c r="D852" s="34" t="s">
        <v>1152</v>
      </c>
      <c r="E852" s="31">
        <v>40834</v>
      </c>
      <c r="F852" s="31">
        <v>38</v>
      </c>
      <c r="G852" s="32">
        <f>F852*E852</f>
        <v>1551692</v>
      </c>
      <c r="H852" s="33">
        <f t="shared" ref="H852:H914" si="129">G852/$F$2</f>
        <v>8.0456019942703686E-3</v>
      </c>
      <c r="K852" t="str">
        <f xml:space="preserve"> B851 &amp; B852</f>
        <v>Z000085001Z040303005</v>
      </c>
    </row>
    <row r="853" spans="1:11" ht="15" x14ac:dyDescent="0.2">
      <c r="A853" s="17" t="s">
        <v>2021</v>
      </c>
      <c r="B853" s="17" t="s">
        <v>328</v>
      </c>
      <c r="C853" s="17" t="s">
        <v>6</v>
      </c>
      <c r="D853" s="18"/>
      <c r="E853" s="19"/>
      <c r="F853" s="20"/>
      <c r="G853" s="21">
        <v>0</v>
      </c>
      <c r="H853" s="22">
        <f t="shared" si="129"/>
        <v>0</v>
      </c>
    </row>
    <row r="854" spans="1:11" ht="15" x14ac:dyDescent="0.2">
      <c r="A854" s="17" t="s">
        <v>2022</v>
      </c>
      <c r="B854" s="17" t="s">
        <v>328</v>
      </c>
      <c r="C854" s="17" t="s">
        <v>566</v>
      </c>
      <c r="D854" s="18"/>
      <c r="E854" s="19"/>
      <c r="F854" s="20"/>
      <c r="G854" s="21">
        <v>0</v>
      </c>
      <c r="H854" s="22">
        <f t="shared" si="129"/>
        <v>0</v>
      </c>
    </row>
    <row r="855" spans="1:11" ht="15" x14ac:dyDescent="0.2">
      <c r="A855" s="17" t="s">
        <v>2023</v>
      </c>
      <c r="B855" s="17" t="s">
        <v>328</v>
      </c>
      <c r="C855" s="17" t="s">
        <v>767</v>
      </c>
      <c r="D855" s="18"/>
      <c r="E855" s="19"/>
      <c r="F855" s="20"/>
      <c r="G855" s="21">
        <f>SUM(G856)</f>
        <v>12622112.7796</v>
      </c>
      <c r="H855" s="22">
        <f t="shared" si="129"/>
        <v>6.5446297172025936E-2</v>
      </c>
    </row>
    <row r="856" spans="1:11" outlineLevel="1" x14ac:dyDescent="0.2">
      <c r="A856" s="11" t="s">
        <v>31</v>
      </c>
      <c r="B856" s="11" t="s">
        <v>1775</v>
      </c>
      <c r="C856" s="11" t="s">
        <v>2794</v>
      </c>
      <c r="D856" s="12" t="s">
        <v>1153</v>
      </c>
      <c r="E856" s="13">
        <v>1</v>
      </c>
      <c r="F856" s="14">
        <v>12622112.7796</v>
      </c>
      <c r="G856" s="15">
        <f>SUM(G857:G857)</f>
        <v>12622112.7796</v>
      </c>
      <c r="H856" s="16">
        <f t="shared" si="129"/>
        <v>6.5446297172025936E-2</v>
      </c>
    </row>
    <row r="857" spans="1:11" outlineLevel="1" x14ac:dyDescent="0.2">
      <c r="A857" s="29"/>
      <c r="B857" s="30" t="s">
        <v>1651</v>
      </c>
      <c r="C857" s="30" t="s">
        <v>1635</v>
      </c>
      <c r="D857" s="34" t="s">
        <v>1819</v>
      </c>
      <c r="E857" s="31">
        <v>1</v>
      </c>
      <c r="F857" s="31">
        <v>12622112.7796</v>
      </c>
      <c r="G857" s="32">
        <f>F857*E857</f>
        <v>12622112.7796</v>
      </c>
      <c r="H857" s="33">
        <f t="shared" si="129"/>
        <v>6.5446297172025936E-2</v>
      </c>
      <c r="K857" t="str">
        <f xml:space="preserve"> B856 &amp; B857</f>
        <v>Z000084022Z040303029</v>
      </c>
    </row>
    <row r="858" spans="1:11" ht="15" x14ac:dyDescent="0.2">
      <c r="A858" s="17" t="s">
        <v>2024</v>
      </c>
      <c r="B858" s="17" t="s">
        <v>328</v>
      </c>
      <c r="C858" s="17" t="s">
        <v>1083</v>
      </c>
      <c r="D858" s="18"/>
      <c r="E858" s="19"/>
      <c r="F858" s="20"/>
      <c r="G858" s="21">
        <v>0</v>
      </c>
      <c r="H858" s="22">
        <f t="shared" si="129"/>
        <v>0</v>
      </c>
    </row>
    <row r="859" spans="1:11" ht="15" x14ac:dyDescent="0.2">
      <c r="A859" s="17" t="s">
        <v>2025</v>
      </c>
      <c r="B859" s="17" t="s">
        <v>328</v>
      </c>
      <c r="C859" s="17" t="s">
        <v>312</v>
      </c>
      <c r="D859" s="18"/>
      <c r="E859" s="19"/>
      <c r="F859" s="20"/>
      <c r="G859" s="21">
        <v>0</v>
      </c>
      <c r="H859" s="22">
        <f t="shared" si="129"/>
        <v>0</v>
      </c>
    </row>
    <row r="860" spans="1:11" ht="15" x14ac:dyDescent="0.2">
      <c r="A860" s="17" t="s">
        <v>2026</v>
      </c>
      <c r="B860" s="17" t="s">
        <v>328</v>
      </c>
      <c r="C860" s="17" t="s">
        <v>20</v>
      </c>
      <c r="D860" s="18"/>
      <c r="E860" s="19"/>
      <c r="F860" s="20"/>
      <c r="G860" s="21">
        <v>0</v>
      </c>
      <c r="H860" s="22">
        <f t="shared" si="129"/>
        <v>0</v>
      </c>
    </row>
    <row r="861" spans="1:11" ht="15" x14ac:dyDescent="0.2">
      <c r="A861" s="17" t="s">
        <v>2027</v>
      </c>
      <c r="B861" s="17" t="s">
        <v>328</v>
      </c>
      <c r="C861" s="17" t="s">
        <v>1242</v>
      </c>
      <c r="D861" s="18"/>
      <c r="E861" s="19"/>
      <c r="F861" s="20"/>
      <c r="G861" s="21">
        <f>SUM(G862)</f>
        <v>296592.18036</v>
      </c>
      <c r="H861" s="22">
        <f t="shared" si="129"/>
        <v>1.5378455503987987E-3</v>
      </c>
    </row>
    <row r="862" spans="1:11" outlineLevel="1" x14ac:dyDescent="0.2">
      <c r="A862" s="11" t="s">
        <v>1504</v>
      </c>
      <c r="B862" s="11" t="s">
        <v>957</v>
      </c>
      <c r="C862" s="11" t="s">
        <v>2820</v>
      </c>
      <c r="D862" s="12" t="s">
        <v>1052</v>
      </c>
      <c r="E862" s="13">
        <v>8580.4599999999991</v>
      </c>
      <c r="F862" s="14">
        <v>34.566000000000003</v>
      </c>
      <c r="G862" s="15">
        <f>SUM(G863:G863)</f>
        <v>296592.18036</v>
      </c>
      <c r="H862" s="16">
        <f t="shared" si="129"/>
        <v>1.5378455503987987E-3</v>
      </c>
    </row>
    <row r="863" spans="1:11" outlineLevel="1" x14ac:dyDescent="0.2">
      <c r="A863" s="29"/>
      <c r="B863" s="30" t="s">
        <v>1499</v>
      </c>
      <c r="C863" s="30" t="s">
        <v>2818</v>
      </c>
      <c r="D863" s="34" t="s">
        <v>1819</v>
      </c>
      <c r="E863" s="31">
        <v>8580.4599999999991</v>
      </c>
      <c r="F863" s="31">
        <v>34.566000000000003</v>
      </c>
      <c r="G863" s="32">
        <f>F863*E863</f>
        <v>296592.18036</v>
      </c>
      <c r="H863" s="33">
        <f t="shared" si="129"/>
        <v>1.5378455503987987E-3</v>
      </c>
      <c r="K863" t="str">
        <f xml:space="preserve"> B862 &amp; B863</f>
        <v>Z000089001Z040303007</v>
      </c>
    </row>
    <row r="864" spans="1:11" ht="18.75" x14ac:dyDescent="0.2">
      <c r="A864" s="5">
        <v>9</v>
      </c>
      <c r="B864" s="5" t="s">
        <v>328</v>
      </c>
      <c r="C864" s="5" t="s">
        <v>2099</v>
      </c>
      <c r="D864" s="6"/>
      <c r="E864" s="7"/>
      <c r="F864" s="8"/>
      <c r="G864" s="9">
        <f>SUM(G865,G936,G943,G952)+5.1</f>
        <v>10007800.215129629</v>
      </c>
      <c r="H864" s="10">
        <f t="shared" si="129"/>
        <v>5.1890953468282597E-2</v>
      </c>
    </row>
    <row r="865" spans="1:11" ht="15" x14ac:dyDescent="0.2">
      <c r="A865" s="17" t="s">
        <v>2028</v>
      </c>
      <c r="B865" s="17" t="s">
        <v>328</v>
      </c>
      <c r="C865" s="17" t="s">
        <v>536</v>
      </c>
      <c r="D865" s="18"/>
      <c r="E865" s="19"/>
      <c r="F865" s="20"/>
      <c r="G865" s="21">
        <f>SUM(G866,G878,G896,G916)</f>
        <v>1700578.7363107894</v>
      </c>
      <c r="H865" s="22">
        <f t="shared" si="129"/>
        <v>8.8175872997191904E-3</v>
      </c>
    </row>
    <row r="866" spans="1:11" outlineLevel="1" x14ac:dyDescent="0.2">
      <c r="A866" s="11" t="s">
        <v>253</v>
      </c>
      <c r="B866" s="11" t="s">
        <v>1917</v>
      </c>
      <c r="C866" s="11" t="s">
        <v>2823</v>
      </c>
      <c r="D866" s="12" t="s">
        <v>1152</v>
      </c>
      <c r="E866" s="13">
        <v>18499.439999999999</v>
      </c>
      <c r="F866" s="14">
        <v>82.225603000000007</v>
      </c>
      <c r="G866" s="15">
        <f>SUM(G867:G877)</f>
        <v>1521127.6091623199</v>
      </c>
      <c r="H866" s="16">
        <f t="shared" si="129"/>
        <v>7.8871240721844794E-3</v>
      </c>
    </row>
    <row r="867" spans="1:11" outlineLevel="1" x14ac:dyDescent="0.2">
      <c r="A867" s="29"/>
      <c r="B867" s="30" t="s">
        <v>1429</v>
      </c>
      <c r="C867" s="30" t="s">
        <v>2821</v>
      </c>
      <c r="D867" s="34" t="s">
        <v>153</v>
      </c>
      <c r="E867" s="31">
        <v>7769.764799999999</v>
      </c>
      <c r="F867" s="31">
        <v>2.5099999999999998</v>
      </c>
      <c r="G867" s="32">
        <f t="shared" ref="G867:G877" si="130">F867*E867</f>
        <v>19502.109647999994</v>
      </c>
      <c r="H867" s="33">
        <f t="shared" si="129"/>
        <v>1.0111943109613773E-4</v>
      </c>
      <c r="K867" t="str">
        <f xml:space="preserve"> B866 &amp; B867</f>
        <v>Z000091011Z010106001</v>
      </c>
    </row>
    <row r="868" spans="1:11" outlineLevel="1" x14ac:dyDescent="0.2">
      <c r="A868" s="29"/>
      <c r="B868" s="30" t="s">
        <v>472</v>
      </c>
      <c r="C868" s="30" t="s">
        <v>1979</v>
      </c>
      <c r="D868" s="34" t="s">
        <v>1052</v>
      </c>
      <c r="E868" s="31">
        <v>319013.59307999996</v>
      </c>
      <c r="F868" s="31">
        <v>0.45400000000000001</v>
      </c>
      <c r="G868" s="32">
        <f t="shared" si="130"/>
        <v>144832.17125831998</v>
      </c>
      <c r="H868" s="33">
        <f t="shared" si="129"/>
        <v>7.5096217929231232E-4</v>
      </c>
      <c r="K868" t="str">
        <f xml:space="preserve"> B866 &amp; B868</f>
        <v>Z000091011Z010204005</v>
      </c>
    </row>
    <row r="869" spans="1:11" outlineLevel="1" x14ac:dyDescent="0.2">
      <c r="A869" s="29"/>
      <c r="B869" s="30" t="s">
        <v>1901</v>
      </c>
      <c r="C869" s="30" t="s">
        <v>2825</v>
      </c>
      <c r="D869" s="34" t="s">
        <v>1781</v>
      </c>
      <c r="E869" s="31">
        <v>261767.076</v>
      </c>
      <c r="F869" s="31">
        <v>1.76</v>
      </c>
      <c r="G869" s="32">
        <f t="shared" si="130"/>
        <v>460710.05375999998</v>
      </c>
      <c r="H869" s="33">
        <f t="shared" si="129"/>
        <v>2.3888050768527931E-3</v>
      </c>
      <c r="K869" t="str">
        <f xml:space="preserve"> B866 &amp; B869</f>
        <v>Z000091011Z010602003</v>
      </c>
    </row>
    <row r="870" spans="1:11" outlineLevel="1" x14ac:dyDescent="0.2">
      <c r="A870" s="29"/>
      <c r="B870" s="30" t="s">
        <v>891</v>
      </c>
      <c r="C870" s="30" t="s">
        <v>1719</v>
      </c>
      <c r="D870" s="34" t="s">
        <v>2827</v>
      </c>
      <c r="E870" s="31">
        <v>184.99439999999998</v>
      </c>
      <c r="F870" s="31">
        <v>43.84</v>
      </c>
      <c r="G870" s="32">
        <f t="shared" si="130"/>
        <v>8110.1544960000001</v>
      </c>
      <c r="H870" s="33">
        <f t="shared" si="129"/>
        <v>4.2051563832808568E-5</v>
      </c>
      <c r="K870" t="str">
        <f xml:space="preserve"> B866 &amp; B870</f>
        <v>Z000091011Z030201006</v>
      </c>
    </row>
    <row r="871" spans="1:11" outlineLevel="1" x14ac:dyDescent="0.2">
      <c r="A871" s="29"/>
      <c r="B871" s="30" t="s">
        <v>1009</v>
      </c>
      <c r="C871" s="30" t="s">
        <v>672</v>
      </c>
      <c r="D871" s="34" t="s">
        <v>151</v>
      </c>
      <c r="E871" s="31">
        <v>0</v>
      </c>
      <c r="F871" s="31">
        <v>16.489999999999998</v>
      </c>
      <c r="G871" s="32">
        <f t="shared" si="130"/>
        <v>0</v>
      </c>
      <c r="H871" s="33">
        <f t="shared" si="129"/>
        <v>0</v>
      </c>
      <c r="K871" t="str">
        <f xml:space="preserve"> B866 &amp; B871</f>
        <v>Z000091011Z040201013</v>
      </c>
    </row>
    <row r="872" spans="1:11" outlineLevel="1" x14ac:dyDescent="0.2">
      <c r="A872" s="29"/>
      <c r="B872" s="30" t="s">
        <v>801</v>
      </c>
      <c r="C872" s="30" t="s">
        <v>402</v>
      </c>
      <c r="D872" s="34" t="s">
        <v>151</v>
      </c>
      <c r="E872" s="31">
        <v>0</v>
      </c>
      <c r="F872" s="31">
        <v>10.3</v>
      </c>
      <c r="G872" s="32">
        <f t="shared" si="130"/>
        <v>0</v>
      </c>
      <c r="H872" s="33">
        <f t="shared" si="129"/>
        <v>0</v>
      </c>
      <c r="K872" t="str">
        <f xml:space="preserve"> B866 &amp; B872</f>
        <v>Z000091011Z040202006</v>
      </c>
    </row>
    <row r="873" spans="1:11" outlineLevel="1" x14ac:dyDescent="0.2">
      <c r="A873" s="29"/>
      <c r="B873" s="30" t="s">
        <v>547</v>
      </c>
      <c r="C873" s="30" t="s">
        <v>2320</v>
      </c>
      <c r="D873" s="34" t="s">
        <v>151</v>
      </c>
      <c r="E873" s="31">
        <v>0</v>
      </c>
      <c r="F873" s="31">
        <v>13.51</v>
      </c>
      <c r="G873" s="32">
        <f t="shared" si="130"/>
        <v>0</v>
      </c>
      <c r="H873" s="33">
        <f t="shared" si="129"/>
        <v>0</v>
      </c>
      <c r="K873" t="str">
        <f xml:space="preserve"> B866 &amp; B873</f>
        <v>Z000091011Z040204001</v>
      </c>
    </row>
    <row r="874" spans="1:11" outlineLevel="1" x14ac:dyDescent="0.2">
      <c r="A874" s="29"/>
      <c r="B874" s="30" t="s">
        <v>1359</v>
      </c>
      <c r="C874" s="30" t="s">
        <v>2832</v>
      </c>
      <c r="D874" s="34" t="s">
        <v>1152</v>
      </c>
      <c r="E874" s="31">
        <v>18499.439999999999</v>
      </c>
      <c r="F874" s="31">
        <v>48</v>
      </c>
      <c r="G874" s="32">
        <f t="shared" si="130"/>
        <v>887973.11999999988</v>
      </c>
      <c r="H874" s="33">
        <f t="shared" si="129"/>
        <v>4.6041858211104264E-3</v>
      </c>
      <c r="K874" t="str">
        <f xml:space="preserve"> B866 &amp; B874</f>
        <v>Z000091011Z040304004</v>
      </c>
    </row>
    <row r="875" spans="1:11" outlineLevel="1" x14ac:dyDescent="0.2">
      <c r="A875" s="29"/>
      <c r="B875" s="30" t="s">
        <v>498</v>
      </c>
      <c r="C875" s="30" t="s">
        <v>773</v>
      </c>
      <c r="D875" s="34" t="s">
        <v>84</v>
      </c>
      <c r="E875" s="31">
        <v>22199.327999999998</v>
      </c>
      <c r="F875" s="31">
        <v>0</v>
      </c>
      <c r="G875" s="32">
        <f t="shared" si="130"/>
        <v>0</v>
      </c>
      <c r="H875" s="33">
        <f t="shared" si="129"/>
        <v>0</v>
      </c>
      <c r="K875" t="str">
        <f xml:space="preserve"> B866 &amp; B875</f>
        <v>Z000091011Z040401001</v>
      </c>
    </row>
    <row r="876" spans="1:11" outlineLevel="1" x14ac:dyDescent="0.2">
      <c r="A876" s="29"/>
      <c r="B876" s="30" t="s">
        <v>66</v>
      </c>
      <c r="C876" s="30" t="s">
        <v>617</v>
      </c>
      <c r="D876" s="34" t="s">
        <v>764</v>
      </c>
      <c r="E876" s="31">
        <v>0</v>
      </c>
      <c r="F876" s="31">
        <v>5.45</v>
      </c>
      <c r="G876" s="32">
        <f t="shared" si="130"/>
        <v>0</v>
      </c>
      <c r="H876" s="33">
        <f t="shared" si="129"/>
        <v>0</v>
      </c>
      <c r="K876" t="str">
        <f xml:space="preserve"> B866 &amp; B876</f>
        <v>Z000091011Z050103019</v>
      </c>
    </row>
    <row r="877" spans="1:11" outlineLevel="1" x14ac:dyDescent="0.2">
      <c r="A877" s="29"/>
      <c r="B877" s="30" t="s">
        <v>120</v>
      </c>
      <c r="C877" s="30" t="s">
        <v>597</v>
      </c>
      <c r="D877" s="34" t="s">
        <v>742</v>
      </c>
      <c r="E877" s="31">
        <v>0</v>
      </c>
      <c r="F877" s="31">
        <v>1.52</v>
      </c>
      <c r="G877" s="32">
        <f t="shared" si="130"/>
        <v>0</v>
      </c>
      <c r="H877" s="33">
        <f t="shared" si="129"/>
        <v>0</v>
      </c>
      <c r="K877" t="str">
        <f xml:space="preserve"> B866 &amp; B877</f>
        <v>Z000091011Z050103020</v>
      </c>
    </row>
    <row r="878" spans="1:11" outlineLevel="1" x14ac:dyDescent="0.2">
      <c r="A878" s="11" t="s">
        <v>255</v>
      </c>
      <c r="B878" s="11" t="s">
        <v>1586</v>
      </c>
      <c r="C878" s="11" t="s">
        <v>2838</v>
      </c>
      <c r="D878" s="12" t="s">
        <v>153</v>
      </c>
      <c r="E878" s="13">
        <v>1531.07</v>
      </c>
      <c r="F878" s="14">
        <v>29.510707650000004</v>
      </c>
      <c r="G878" s="15">
        <f>SUM(G879:G895)</f>
        <v>45182.959161685503</v>
      </c>
      <c r="H878" s="16">
        <f t="shared" si="129"/>
        <v>2.3427594286642804E-4</v>
      </c>
    </row>
    <row r="879" spans="1:11" outlineLevel="1" x14ac:dyDescent="0.2">
      <c r="A879" s="29"/>
      <c r="B879" s="30" t="s">
        <v>1489</v>
      </c>
      <c r="C879" s="30" t="s">
        <v>250</v>
      </c>
      <c r="D879" s="34" t="s">
        <v>1052</v>
      </c>
      <c r="E879" s="31">
        <v>1342.5952829999999</v>
      </c>
      <c r="F879" s="31">
        <v>0.87</v>
      </c>
      <c r="G879" s="32">
        <f t="shared" ref="G879:G894" si="131">F879*E879</f>
        <v>1168.0578962099999</v>
      </c>
      <c r="H879" s="33">
        <f t="shared" si="129"/>
        <v>6.0564396408375021E-6</v>
      </c>
      <c r="K879" t="str">
        <f xml:space="preserve"> B878 &amp; B879</f>
        <v>Z000093001Z040303002</v>
      </c>
    </row>
    <row r="880" spans="1:11" outlineLevel="1" x14ac:dyDescent="0.2">
      <c r="A880" s="29"/>
      <c r="B880" s="30" t="s">
        <v>606</v>
      </c>
      <c r="C880" s="30" t="s">
        <v>2851</v>
      </c>
      <c r="D880" s="34" t="s">
        <v>1052</v>
      </c>
      <c r="E880" s="31">
        <v>8175.9137999999994</v>
      </c>
      <c r="F880" s="31">
        <v>3.32</v>
      </c>
      <c r="G880" s="32">
        <f t="shared" si="131"/>
        <v>27144.033815999996</v>
      </c>
      <c r="H880" s="33">
        <f t="shared" si="129"/>
        <v>1.4074319684741037E-4</v>
      </c>
      <c r="K880" t="str">
        <f xml:space="preserve"> B878 &amp; B880</f>
        <v>Z000093001Z010702001</v>
      </c>
    </row>
    <row r="881" spans="1:11" outlineLevel="1" x14ac:dyDescent="0.2">
      <c r="A881" s="29"/>
      <c r="B881" s="30" t="s">
        <v>105</v>
      </c>
      <c r="C881" s="30" t="s">
        <v>707</v>
      </c>
      <c r="D881" s="34" t="s">
        <v>1153</v>
      </c>
      <c r="E881" s="31">
        <v>1342.5952829999999</v>
      </c>
      <c r="F881" s="31">
        <v>5.5869</v>
      </c>
      <c r="G881" s="32">
        <f t="shared" si="131"/>
        <v>7500.9455865926993</v>
      </c>
      <c r="H881" s="33">
        <f t="shared" si="129"/>
        <v>3.8892784631488552E-5</v>
      </c>
      <c r="K881" t="str">
        <f xml:space="preserve"> B878 &amp; B881</f>
        <v>Z000093001Z010101003</v>
      </c>
    </row>
    <row r="882" spans="1:11" outlineLevel="1" x14ac:dyDescent="0.2">
      <c r="A882" s="29"/>
      <c r="B882" s="30" t="s">
        <v>1376</v>
      </c>
      <c r="C882" s="30" t="s">
        <v>1622</v>
      </c>
      <c r="D882" s="34" t="s">
        <v>1153</v>
      </c>
      <c r="E882" s="31">
        <v>9.9519549999999999</v>
      </c>
      <c r="F882" s="31">
        <v>134.02000000000001</v>
      </c>
      <c r="G882" s="32">
        <f t="shared" si="131"/>
        <v>1333.7610091000001</v>
      </c>
      <c r="H882" s="33">
        <f t="shared" si="129"/>
        <v>6.9156187147288374E-6</v>
      </c>
      <c r="K882" t="str">
        <f xml:space="preserve"> B878 &amp; B882</f>
        <v>Z000093001Z010303002</v>
      </c>
    </row>
    <row r="883" spans="1:11" outlineLevel="1" x14ac:dyDescent="0.2">
      <c r="A883" s="29"/>
      <c r="B883" s="30" t="s">
        <v>1260</v>
      </c>
      <c r="C883" s="30" t="s">
        <v>1455</v>
      </c>
      <c r="D883" s="34" t="s">
        <v>1153</v>
      </c>
      <c r="E883" s="31">
        <v>10.71749</v>
      </c>
      <c r="F883" s="31">
        <v>131.69</v>
      </c>
      <c r="G883" s="32">
        <f t="shared" si="131"/>
        <v>1411.3862580999998</v>
      </c>
      <c r="H883" s="33">
        <f t="shared" si="129"/>
        <v>7.3181095815762088E-6</v>
      </c>
      <c r="K883" t="str">
        <f xml:space="preserve"> B878 &amp; B883</f>
        <v>Z000093001Z010304002</v>
      </c>
    </row>
    <row r="884" spans="1:11" outlineLevel="1" x14ac:dyDescent="0.2">
      <c r="A884" s="29"/>
      <c r="B884" s="30" t="s">
        <v>1136</v>
      </c>
      <c r="C884" s="30" t="s">
        <v>2849</v>
      </c>
      <c r="D884" s="34" t="s">
        <v>152</v>
      </c>
      <c r="E884" s="31">
        <v>14.851379</v>
      </c>
      <c r="F884" s="31">
        <v>7.81</v>
      </c>
      <c r="G884" s="32">
        <f t="shared" si="131"/>
        <v>115.98926999</v>
      </c>
      <c r="H884" s="33">
        <f t="shared" si="129"/>
        <v>6.014102682397719E-7</v>
      </c>
      <c r="K884" t="str">
        <f xml:space="preserve"> B878 &amp; B884</f>
        <v>Z000093001Z010305005</v>
      </c>
    </row>
    <row r="885" spans="1:11" outlineLevel="1" x14ac:dyDescent="0.2">
      <c r="A885" s="29"/>
      <c r="B885" s="30" t="s">
        <v>547</v>
      </c>
      <c r="C885" s="30" t="s">
        <v>2320</v>
      </c>
      <c r="D885" s="34" t="s">
        <v>152</v>
      </c>
      <c r="E885" s="31">
        <v>0</v>
      </c>
      <c r="F885" s="31">
        <v>13.51</v>
      </c>
      <c r="G885" s="32">
        <f t="shared" si="131"/>
        <v>0</v>
      </c>
      <c r="H885" s="33">
        <f t="shared" si="129"/>
        <v>0</v>
      </c>
      <c r="K885" t="str">
        <f xml:space="preserve"> B878 &amp; B885</f>
        <v>Z000093001Z040204001</v>
      </c>
    </row>
    <row r="886" spans="1:11" outlineLevel="1" x14ac:dyDescent="0.2">
      <c r="A886" s="29"/>
      <c r="B886" s="30" t="s">
        <v>935</v>
      </c>
      <c r="C886" s="30" t="s">
        <v>1352</v>
      </c>
      <c r="D886" s="34" t="s">
        <v>1781</v>
      </c>
      <c r="E886" s="31">
        <v>0</v>
      </c>
      <c r="F886" s="31">
        <v>15.1457</v>
      </c>
      <c r="G886" s="32">
        <f t="shared" si="131"/>
        <v>0</v>
      </c>
      <c r="H886" s="33">
        <f t="shared" si="129"/>
        <v>0</v>
      </c>
      <c r="K886" t="str">
        <f xml:space="preserve"> B878 &amp; B886</f>
        <v>Z000093001Z040201001</v>
      </c>
    </row>
    <row r="887" spans="1:11" outlineLevel="1" x14ac:dyDescent="0.2">
      <c r="A887" s="29"/>
      <c r="B887" s="30" t="s">
        <v>498</v>
      </c>
      <c r="C887" s="30" t="s">
        <v>773</v>
      </c>
      <c r="D887" s="34" t="s">
        <v>151</v>
      </c>
      <c r="E887" s="31">
        <v>1837.2839999999999</v>
      </c>
      <c r="F887" s="31">
        <v>0</v>
      </c>
      <c r="G887" s="32">
        <f t="shared" si="131"/>
        <v>0</v>
      </c>
      <c r="H887" s="33">
        <f t="shared" si="129"/>
        <v>0</v>
      </c>
      <c r="K887" t="str">
        <f xml:space="preserve"> B878 &amp; B887</f>
        <v>Z000093001Z040401001</v>
      </c>
    </row>
    <row r="888" spans="1:11" outlineLevel="1" x14ac:dyDescent="0.2">
      <c r="A888" s="29"/>
      <c r="B888" s="30" t="s">
        <v>66</v>
      </c>
      <c r="C888" s="30" t="s">
        <v>617</v>
      </c>
      <c r="D888" s="34" t="s">
        <v>151</v>
      </c>
      <c r="E888" s="31">
        <v>0</v>
      </c>
      <c r="F888" s="31">
        <v>5.45</v>
      </c>
      <c r="G888" s="32">
        <f t="shared" si="131"/>
        <v>0</v>
      </c>
      <c r="H888" s="33">
        <f t="shared" si="129"/>
        <v>0</v>
      </c>
      <c r="K888" t="str">
        <f xml:space="preserve"> B878 &amp; B888</f>
        <v>Z000093001Z050103019</v>
      </c>
    </row>
    <row r="889" spans="1:11" outlineLevel="1" x14ac:dyDescent="0.2">
      <c r="A889" s="29"/>
      <c r="B889" s="30" t="s">
        <v>1133</v>
      </c>
      <c r="C889" s="30" t="s">
        <v>2843</v>
      </c>
      <c r="D889" s="34" t="s">
        <v>151</v>
      </c>
      <c r="E889" s="31">
        <v>0.15310699999999999</v>
      </c>
      <c r="F889" s="31">
        <v>8.93</v>
      </c>
      <c r="G889" s="32">
        <f t="shared" si="131"/>
        <v>1.3672455099999998</v>
      </c>
      <c r="H889" s="33">
        <f t="shared" si="129"/>
        <v>7.0892375561085612E-9</v>
      </c>
      <c r="K889" t="str">
        <f xml:space="preserve"> B878 &amp; B889</f>
        <v>Z000093001Z010305003</v>
      </c>
    </row>
    <row r="890" spans="1:11" outlineLevel="1" x14ac:dyDescent="0.2">
      <c r="A890" s="29"/>
      <c r="B890" s="30" t="s">
        <v>792</v>
      </c>
      <c r="C890" s="30" t="s">
        <v>335</v>
      </c>
      <c r="D890" s="34" t="s">
        <v>151</v>
      </c>
      <c r="E890" s="31">
        <v>0</v>
      </c>
      <c r="F890" s="31">
        <v>11.1343</v>
      </c>
      <c r="G890" s="32">
        <f t="shared" si="131"/>
        <v>0</v>
      </c>
      <c r="H890" s="33">
        <f t="shared" si="129"/>
        <v>0</v>
      </c>
      <c r="K890" t="str">
        <f xml:space="preserve"> B878 &amp; B890</f>
        <v>Z000093001Z040202001</v>
      </c>
    </row>
    <row r="891" spans="1:11" outlineLevel="1" x14ac:dyDescent="0.2">
      <c r="A891" s="29"/>
      <c r="B891" s="30" t="s">
        <v>1009</v>
      </c>
      <c r="C891" s="30" t="s">
        <v>672</v>
      </c>
      <c r="D891" s="34" t="s">
        <v>151</v>
      </c>
      <c r="E891" s="31">
        <v>0</v>
      </c>
      <c r="F891" s="31">
        <v>16.489999999999998</v>
      </c>
      <c r="G891" s="32">
        <f t="shared" si="131"/>
        <v>0</v>
      </c>
      <c r="H891" s="33">
        <f t="shared" si="129"/>
        <v>0</v>
      </c>
      <c r="K891" t="str">
        <f xml:space="preserve"> B878 &amp; B891</f>
        <v>Z000093001Z040201013</v>
      </c>
    </row>
    <row r="892" spans="1:11" outlineLevel="1" x14ac:dyDescent="0.2">
      <c r="A892" s="29"/>
      <c r="B892" s="30" t="s">
        <v>801</v>
      </c>
      <c r="C892" s="30" t="s">
        <v>402</v>
      </c>
      <c r="D892" s="34" t="s">
        <v>84</v>
      </c>
      <c r="E892" s="31">
        <v>0</v>
      </c>
      <c r="F892" s="31">
        <v>10.3</v>
      </c>
      <c r="G892" s="32">
        <f t="shared" si="131"/>
        <v>0</v>
      </c>
      <c r="H892" s="33">
        <f t="shared" si="129"/>
        <v>0</v>
      </c>
      <c r="K892" t="str">
        <f xml:space="preserve"> B878 &amp; B892</f>
        <v>Z000093001Z040202006</v>
      </c>
    </row>
    <row r="893" spans="1:11" outlineLevel="1" x14ac:dyDescent="0.2">
      <c r="A893" s="29"/>
      <c r="B893" s="30" t="s">
        <v>1654</v>
      </c>
      <c r="C893" s="30" t="s">
        <v>1551</v>
      </c>
      <c r="D893" s="34" t="s">
        <v>764</v>
      </c>
      <c r="E893" s="31">
        <v>7677.7036219999991</v>
      </c>
      <c r="F893" s="31">
        <v>0.7974</v>
      </c>
      <c r="G893" s="32">
        <f t="shared" si="131"/>
        <v>6122.2008681827992</v>
      </c>
      <c r="H893" s="33">
        <f t="shared" si="129"/>
        <v>3.1743923094515733E-5</v>
      </c>
      <c r="K893" t="str">
        <f xml:space="preserve"> B878 &amp; B893</f>
        <v>Z000093001Z010301001</v>
      </c>
    </row>
    <row r="894" spans="1:11" outlineLevel="1" x14ac:dyDescent="0.2">
      <c r="A894" s="29"/>
      <c r="B894" s="30" t="s">
        <v>120</v>
      </c>
      <c r="C894" s="30" t="s">
        <v>597</v>
      </c>
      <c r="D894" s="34" t="s">
        <v>742</v>
      </c>
      <c r="E894" s="31">
        <v>0</v>
      </c>
      <c r="F894" s="31">
        <v>1.52</v>
      </c>
      <c r="G894" s="32">
        <f t="shared" si="131"/>
        <v>0</v>
      </c>
      <c r="H894" s="33">
        <f t="shared" si="129"/>
        <v>0</v>
      </c>
      <c r="K894" t="str">
        <f xml:space="preserve"> B878 &amp; B894</f>
        <v>Z000093001Z050103020</v>
      </c>
    </row>
    <row r="895" spans="1:11" outlineLevel="1" x14ac:dyDescent="0.2">
      <c r="A895" s="29"/>
      <c r="B895" s="30" t="s">
        <v>1258</v>
      </c>
      <c r="C895" s="30" t="s">
        <v>1526</v>
      </c>
      <c r="D895" s="34" t="s">
        <v>742</v>
      </c>
      <c r="E895" s="31">
        <v>2.6028189999999998</v>
      </c>
      <c r="F895" s="31">
        <v>148</v>
      </c>
      <c r="G895" s="32">
        <f t="shared" ref="G895" si="132">F895*E895</f>
        <v>385.21721199999996</v>
      </c>
      <c r="H895" s="33">
        <f t="shared" ref="H895" si="133">G895/$F$2</f>
        <v>1.9973708500749316E-6</v>
      </c>
      <c r="K895" t="str">
        <f xml:space="preserve"> B878 &amp; B895</f>
        <v>Z000093001Z010304001</v>
      </c>
    </row>
    <row r="896" spans="1:11" outlineLevel="1" x14ac:dyDescent="0.2">
      <c r="A896" s="11" t="s">
        <v>259</v>
      </c>
      <c r="B896" s="11" t="s">
        <v>1588</v>
      </c>
      <c r="C896" s="11" t="s">
        <v>2858</v>
      </c>
      <c r="D896" s="12" t="s">
        <v>153</v>
      </c>
      <c r="E896" s="13">
        <v>1531.07</v>
      </c>
      <c r="F896" s="14">
        <v>34.855293649999993</v>
      </c>
      <c r="G896" s="15">
        <f>SUM(G897:G915)</f>
        <v>53365.894448705483</v>
      </c>
      <c r="H896" s="16">
        <f t="shared" si="129"/>
        <v>2.7670487880489605E-4</v>
      </c>
    </row>
    <row r="897" spans="1:11" outlineLevel="1" x14ac:dyDescent="0.2">
      <c r="A897" s="29"/>
      <c r="B897" s="30" t="s">
        <v>1258</v>
      </c>
      <c r="C897" s="30" t="s">
        <v>1526</v>
      </c>
      <c r="D897" s="34" t="s">
        <v>1052</v>
      </c>
      <c r="E897" s="31">
        <v>2.6028189999999998</v>
      </c>
      <c r="F897" s="31">
        <v>148</v>
      </c>
      <c r="G897" s="32">
        <f t="shared" ref="G897:G914" si="134">F897*E897</f>
        <v>385.21721199999996</v>
      </c>
      <c r="H897" s="33">
        <f t="shared" si="129"/>
        <v>1.9973708500749316E-6</v>
      </c>
      <c r="K897" t="str">
        <f xml:space="preserve"> B896 &amp; B897</f>
        <v>Z000093002Z010304001</v>
      </c>
    </row>
    <row r="898" spans="1:11" outlineLevel="1" x14ac:dyDescent="0.2">
      <c r="A898" s="29"/>
      <c r="B898" s="30" t="s">
        <v>120</v>
      </c>
      <c r="C898" s="30" t="s">
        <v>597</v>
      </c>
      <c r="D898" s="34" t="s">
        <v>1052</v>
      </c>
      <c r="E898" s="31">
        <v>0</v>
      </c>
      <c r="F898" s="31">
        <v>1.52</v>
      </c>
      <c r="G898" s="32">
        <f t="shared" si="134"/>
        <v>0</v>
      </c>
      <c r="H898" s="33">
        <f t="shared" si="129"/>
        <v>0</v>
      </c>
      <c r="K898" t="str">
        <f xml:space="preserve"> B896 &amp; B898</f>
        <v>Z000093002Z050103020</v>
      </c>
    </row>
    <row r="899" spans="1:11" outlineLevel="1" x14ac:dyDescent="0.2">
      <c r="A899" s="29"/>
      <c r="B899" s="30" t="s">
        <v>1654</v>
      </c>
      <c r="C899" s="30" t="s">
        <v>1551</v>
      </c>
      <c r="D899" s="34" t="s">
        <v>1153</v>
      </c>
      <c r="E899" s="31">
        <v>7677.7036219999991</v>
      </c>
      <c r="F899" s="31">
        <v>0.7974</v>
      </c>
      <c r="G899" s="32">
        <f t="shared" si="134"/>
        <v>6122.2008681827992</v>
      </c>
      <c r="H899" s="33">
        <f t="shared" si="129"/>
        <v>3.1743923094515733E-5</v>
      </c>
      <c r="K899" t="str">
        <f xml:space="preserve"> B896 &amp; B899</f>
        <v>Z000093002Z010301001</v>
      </c>
    </row>
    <row r="900" spans="1:11" outlineLevel="1" x14ac:dyDescent="0.2">
      <c r="A900" s="29"/>
      <c r="B900" s="30" t="s">
        <v>801</v>
      </c>
      <c r="C900" s="30" t="s">
        <v>402</v>
      </c>
      <c r="D900" s="34" t="s">
        <v>1153</v>
      </c>
      <c r="E900" s="31">
        <v>0</v>
      </c>
      <c r="F900" s="31">
        <v>10.3</v>
      </c>
      <c r="G900" s="32">
        <f t="shared" si="134"/>
        <v>0</v>
      </c>
      <c r="H900" s="33">
        <f t="shared" si="129"/>
        <v>0</v>
      </c>
      <c r="K900" t="str">
        <f xml:space="preserve"> B896 &amp; B900</f>
        <v>Z000093002Z040202006</v>
      </c>
    </row>
    <row r="901" spans="1:11" outlineLevel="1" x14ac:dyDescent="0.2">
      <c r="A901" s="29"/>
      <c r="B901" s="30" t="s">
        <v>1009</v>
      </c>
      <c r="C901" s="30" t="s">
        <v>672</v>
      </c>
      <c r="D901" s="34" t="s">
        <v>1153</v>
      </c>
      <c r="E901" s="31">
        <v>0</v>
      </c>
      <c r="F901" s="31">
        <v>16.489999999999998</v>
      </c>
      <c r="G901" s="32">
        <f t="shared" si="134"/>
        <v>0</v>
      </c>
      <c r="H901" s="33">
        <f t="shared" si="129"/>
        <v>0</v>
      </c>
      <c r="K901" t="str">
        <f xml:space="preserve"> B896 &amp; B901</f>
        <v>Z000093002Z040201013</v>
      </c>
    </row>
    <row r="902" spans="1:11" outlineLevel="1" x14ac:dyDescent="0.2">
      <c r="A902" s="29"/>
      <c r="B902" s="30" t="s">
        <v>792</v>
      </c>
      <c r="C902" s="30" t="s">
        <v>335</v>
      </c>
      <c r="D902" s="34" t="s">
        <v>152</v>
      </c>
      <c r="E902" s="31">
        <v>0</v>
      </c>
      <c r="F902" s="31">
        <v>11.1343</v>
      </c>
      <c r="G902" s="32">
        <f t="shared" si="134"/>
        <v>0</v>
      </c>
      <c r="H902" s="33">
        <f t="shared" si="129"/>
        <v>0</v>
      </c>
      <c r="K902" t="str">
        <f xml:space="preserve"> B896 &amp; B902</f>
        <v>Z000093002Z040202001</v>
      </c>
    </row>
    <row r="903" spans="1:11" outlineLevel="1" x14ac:dyDescent="0.2">
      <c r="A903" s="29"/>
      <c r="B903" s="30" t="s">
        <v>1133</v>
      </c>
      <c r="C903" s="30" t="s">
        <v>2843</v>
      </c>
      <c r="D903" s="34" t="s">
        <v>152</v>
      </c>
      <c r="E903" s="31">
        <v>0.15310699999999999</v>
      </c>
      <c r="F903" s="31">
        <v>8.93</v>
      </c>
      <c r="G903" s="32">
        <f t="shared" si="134"/>
        <v>1.3672455099999998</v>
      </c>
      <c r="H903" s="33">
        <f t="shared" si="129"/>
        <v>7.0892375561085612E-9</v>
      </c>
      <c r="K903" t="str">
        <f xml:space="preserve"> B896 &amp; B903</f>
        <v>Z000093002Z010305003</v>
      </c>
    </row>
    <row r="904" spans="1:11" outlineLevel="1" x14ac:dyDescent="0.2">
      <c r="A904" s="29"/>
      <c r="B904" s="30" t="s">
        <v>189</v>
      </c>
      <c r="C904" s="30" t="s">
        <v>2685</v>
      </c>
      <c r="D904" s="34" t="s">
        <v>153</v>
      </c>
      <c r="E904" s="31">
        <v>310.80721</v>
      </c>
      <c r="F904" s="31">
        <v>11.05</v>
      </c>
      <c r="G904" s="32">
        <f t="shared" si="134"/>
        <v>3434.4196705000004</v>
      </c>
      <c r="H904" s="33">
        <f t="shared" si="129"/>
        <v>1.7807640788336977E-5</v>
      </c>
      <c r="K904" t="str">
        <f xml:space="preserve"> B896 &amp; B904</f>
        <v>Z000093002Z010403001</v>
      </c>
    </row>
    <row r="905" spans="1:11" outlineLevel="1" x14ac:dyDescent="0.2">
      <c r="A905" s="29"/>
      <c r="B905" s="30" t="s">
        <v>66</v>
      </c>
      <c r="C905" s="30" t="s">
        <v>617</v>
      </c>
      <c r="D905" s="34" t="s">
        <v>153</v>
      </c>
      <c r="E905" s="31">
        <v>0</v>
      </c>
      <c r="F905" s="31">
        <v>5.45</v>
      </c>
      <c r="G905" s="32">
        <f t="shared" si="134"/>
        <v>0</v>
      </c>
      <c r="H905" s="33">
        <f t="shared" si="129"/>
        <v>0</v>
      </c>
      <c r="K905" t="str">
        <f xml:space="preserve"> B896 &amp; B905</f>
        <v>Z000093002Z050103019</v>
      </c>
    </row>
    <row r="906" spans="1:11" outlineLevel="1" x14ac:dyDescent="0.2">
      <c r="A906" s="29"/>
      <c r="B906" s="30" t="s">
        <v>498</v>
      </c>
      <c r="C906" s="30" t="s">
        <v>773</v>
      </c>
      <c r="D906" s="34" t="s">
        <v>1781</v>
      </c>
      <c r="E906" s="31">
        <v>1837.2839999999999</v>
      </c>
      <c r="F906" s="31">
        <v>0</v>
      </c>
      <c r="G906" s="32">
        <f t="shared" si="134"/>
        <v>0</v>
      </c>
      <c r="H906" s="33">
        <f t="shared" si="129"/>
        <v>0</v>
      </c>
      <c r="K906" t="str">
        <f xml:space="preserve"> B896 &amp; B906</f>
        <v>Z000093002Z040401001</v>
      </c>
    </row>
    <row r="907" spans="1:11" outlineLevel="1" x14ac:dyDescent="0.2">
      <c r="A907" s="29"/>
      <c r="B907" s="30" t="s">
        <v>935</v>
      </c>
      <c r="C907" s="30" t="s">
        <v>1352</v>
      </c>
      <c r="D907" s="34" t="s">
        <v>151</v>
      </c>
      <c r="E907" s="31">
        <v>0</v>
      </c>
      <c r="F907" s="31">
        <v>15.1457</v>
      </c>
      <c r="G907" s="32">
        <f t="shared" si="134"/>
        <v>0</v>
      </c>
      <c r="H907" s="33">
        <f t="shared" si="129"/>
        <v>0</v>
      </c>
      <c r="K907" t="str">
        <f xml:space="preserve"> B896 &amp; B907</f>
        <v>Z000093002Z040201001</v>
      </c>
    </row>
    <row r="908" spans="1:11" outlineLevel="1" x14ac:dyDescent="0.2">
      <c r="A908" s="29"/>
      <c r="B908" s="30" t="s">
        <v>547</v>
      </c>
      <c r="C908" s="30" t="s">
        <v>2320</v>
      </c>
      <c r="D908" s="34" t="s">
        <v>151</v>
      </c>
      <c r="E908" s="31">
        <v>0</v>
      </c>
      <c r="F908" s="31">
        <v>13.51</v>
      </c>
      <c r="G908" s="32">
        <f t="shared" si="134"/>
        <v>0</v>
      </c>
      <c r="H908" s="33">
        <f t="shared" si="129"/>
        <v>0</v>
      </c>
      <c r="K908" t="str">
        <f xml:space="preserve"> B896 &amp; B908</f>
        <v>Z000093002Z040204001</v>
      </c>
    </row>
    <row r="909" spans="1:11" outlineLevel="1" x14ac:dyDescent="0.2">
      <c r="A909" s="29"/>
      <c r="B909" s="30" t="s">
        <v>1136</v>
      </c>
      <c r="C909" s="30" t="s">
        <v>2849</v>
      </c>
      <c r="D909" s="34" t="s">
        <v>151</v>
      </c>
      <c r="E909" s="31">
        <v>14.851379</v>
      </c>
      <c r="F909" s="31">
        <v>7.81</v>
      </c>
      <c r="G909" s="32">
        <f t="shared" si="134"/>
        <v>115.98926999</v>
      </c>
      <c r="H909" s="33">
        <f t="shared" si="129"/>
        <v>6.014102682397719E-7</v>
      </c>
      <c r="K909" t="str">
        <f xml:space="preserve"> B896 &amp; B909</f>
        <v>Z000093002Z010305005</v>
      </c>
    </row>
    <row r="910" spans="1:11" outlineLevel="1" x14ac:dyDescent="0.2">
      <c r="A910" s="29"/>
      <c r="B910" s="30" t="s">
        <v>1260</v>
      </c>
      <c r="C910" s="30" t="s">
        <v>1455</v>
      </c>
      <c r="D910" s="34" t="s">
        <v>151</v>
      </c>
      <c r="E910" s="31">
        <v>10.71749</v>
      </c>
      <c r="F910" s="31">
        <v>131.69</v>
      </c>
      <c r="G910" s="32">
        <f t="shared" si="134"/>
        <v>1411.3862580999998</v>
      </c>
      <c r="H910" s="33">
        <f t="shared" si="129"/>
        <v>7.3181095815762088E-6</v>
      </c>
      <c r="K910" t="str">
        <f xml:space="preserve"> B896 &amp; B910</f>
        <v>Z000093002Z010304002</v>
      </c>
    </row>
    <row r="911" spans="1:11" outlineLevel="1" x14ac:dyDescent="0.2">
      <c r="A911" s="29"/>
      <c r="B911" s="30" t="s">
        <v>1376</v>
      </c>
      <c r="C911" s="30" t="s">
        <v>1622</v>
      </c>
      <c r="D911" s="34" t="s">
        <v>151</v>
      </c>
      <c r="E911" s="31">
        <v>9.9519549999999999</v>
      </c>
      <c r="F911" s="31">
        <v>134.02000000000001</v>
      </c>
      <c r="G911" s="32">
        <f t="shared" si="134"/>
        <v>1333.7610091000001</v>
      </c>
      <c r="H911" s="33">
        <f t="shared" si="129"/>
        <v>6.9156187147288374E-6</v>
      </c>
      <c r="K911" t="str">
        <f xml:space="preserve"> B896 &amp; B911</f>
        <v>Z000093002Z010303002</v>
      </c>
    </row>
    <row r="912" spans="1:11" outlineLevel="1" x14ac:dyDescent="0.2">
      <c r="A912" s="29"/>
      <c r="B912" s="30" t="s">
        <v>105</v>
      </c>
      <c r="C912" s="30" t="s">
        <v>707</v>
      </c>
      <c r="D912" s="34" t="s">
        <v>84</v>
      </c>
      <c r="E912" s="31">
        <v>1342.5952829999999</v>
      </c>
      <c r="F912" s="31">
        <v>5.5869</v>
      </c>
      <c r="G912" s="32">
        <f t="shared" si="134"/>
        <v>7500.9455865926993</v>
      </c>
      <c r="H912" s="33">
        <f t="shared" si="129"/>
        <v>3.8892784631488552E-5</v>
      </c>
      <c r="K912" t="str">
        <f xml:space="preserve"> B896 &amp; B912</f>
        <v>Z000093002Z010101003</v>
      </c>
    </row>
    <row r="913" spans="1:11" outlineLevel="1" x14ac:dyDescent="0.2">
      <c r="A913" s="29"/>
      <c r="B913" s="30" t="s">
        <v>320</v>
      </c>
      <c r="C913" s="30" t="s">
        <v>2871</v>
      </c>
      <c r="D913" s="34" t="s">
        <v>764</v>
      </c>
      <c r="E913" s="31">
        <v>259.05704399999996</v>
      </c>
      <c r="F913" s="31">
        <v>18.329999999999998</v>
      </c>
      <c r="G913" s="32">
        <f t="shared" si="134"/>
        <v>4748.5156165199987</v>
      </c>
      <c r="H913" s="33">
        <f t="shared" si="129"/>
        <v>2.4621295150131139E-5</v>
      </c>
      <c r="K913" t="str">
        <f xml:space="preserve"> B896 &amp; B913</f>
        <v>Z000093002Z010402003</v>
      </c>
    </row>
    <row r="914" spans="1:11" outlineLevel="1" x14ac:dyDescent="0.2">
      <c r="A914" s="29"/>
      <c r="B914" s="30" t="s">
        <v>606</v>
      </c>
      <c r="C914" s="30" t="s">
        <v>2851</v>
      </c>
      <c r="D914" s="34" t="s">
        <v>742</v>
      </c>
      <c r="E914" s="31">
        <v>8175.9137999999994</v>
      </c>
      <c r="F914" s="31">
        <v>3.32</v>
      </c>
      <c r="G914" s="32">
        <f t="shared" si="134"/>
        <v>27144.033815999996</v>
      </c>
      <c r="H914" s="33">
        <f t="shared" si="129"/>
        <v>1.4074319684741037E-4</v>
      </c>
      <c r="K914" t="str">
        <f xml:space="preserve"> B896 &amp; B914</f>
        <v>Z000093002Z010702001</v>
      </c>
    </row>
    <row r="915" spans="1:11" outlineLevel="1" x14ac:dyDescent="0.2">
      <c r="A915" s="29"/>
      <c r="B915" s="30" t="s">
        <v>1489</v>
      </c>
      <c r="C915" s="30" t="s">
        <v>250</v>
      </c>
      <c r="D915" s="34" t="s">
        <v>742</v>
      </c>
      <c r="E915" s="31">
        <v>1342.5952829999999</v>
      </c>
      <c r="F915" s="31">
        <v>0.87</v>
      </c>
      <c r="G915" s="32">
        <f t="shared" ref="G915" si="135">F915*E915</f>
        <v>1168.0578962099999</v>
      </c>
      <c r="H915" s="33">
        <f t="shared" ref="H915" si="136">G915/$F$2</f>
        <v>6.0564396408375021E-6</v>
      </c>
      <c r="K915" t="str">
        <f xml:space="preserve"> B896 &amp; B915</f>
        <v>Z000093002Z040303002</v>
      </c>
    </row>
    <row r="916" spans="1:11" outlineLevel="1" x14ac:dyDescent="0.2">
      <c r="A916" s="11" t="s">
        <v>261</v>
      </c>
      <c r="B916" s="11" t="s">
        <v>1593</v>
      </c>
      <c r="C916" s="11" t="s">
        <v>2878</v>
      </c>
      <c r="D916" s="12" t="s">
        <v>153</v>
      </c>
      <c r="E916" s="13">
        <v>2321.09</v>
      </c>
      <c r="F916" s="14">
        <v>34.855293650000007</v>
      </c>
      <c r="G916" s="15">
        <f>SUM(G917:G935)</f>
        <v>80902.273538078516</v>
      </c>
      <c r="H916" s="16">
        <f t="shared" ref="H916:H980" si="137">G916/$F$2</f>
        <v>4.1948240586338738E-4</v>
      </c>
    </row>
    <row r="917" spans="1:11" outlineLevel="1" x14ac:dyDescent="0.2">
      <c r="A917" s="29"/>
      <c r="B917" s="30" t="s">
        <v>1489</v>
      </c>
      <c r="C917" s="30" t="s">
        <v>250</v>
      </c>
      <c r="D917" s="34" t="s">
        <v>1052</v>
      </c>
      <c r="E917" s="31">
        <v>2035.3638210000001</v>
      </c>
      <c r="F917" s="31">
        <v>0.87</v>
      </c>
      <c r="G917" s="32">
        <f t="shared" ref="G917:G934" si="138">F917*E917</f>
        <v>1770.7665242700002</v>
      </c>
      <c r="H917" s="33">
        <f t="shared" si="137"/>
        <v>9.1815145525361494E-6</v>
      </c>
      <c r="K917" t="str">
        <f xml:space="preserve"> B916 &amp; B917</f>
        <v>Z000093003Z040303002</v>
      </c>
    </row>
    <row r="918" spans="1:11" outlineLevel="1" x14ac:dyDescent="0.2">
      <c r="A918" s="29"/>
      <c r="B918" s="30" t="s">
        <v>606</v>
      </c>
      <c r="C918" s="30" t="s">
        <v>2851</v>
      </c>
      <c r="D918" s="34" t="s">
        <v>1052</v>
      </c>
      <c r="E918" s="31">
        <v>12394.6206</v>
      </c>
      <c r="F918" s="31">
        <v>3.32</v>
      </c>
      <c r="G918" s="32">
        <f t="shared" si="138"/>
        <v>41150.140392000001</v>
      </c>
      <c r="H918" s="33">
        <f t="shared" si="137"/>
        <v>2.1336557229294269E-4</v>
      </c>
      <c r="K918" t="str">
        <f xml:space="preserve"> B916 &amp; B918</f>
        <v>Z000093003Z010702001</v>
      </c>
    </row>
    <row r="919" spans="1:11" outlineLevel="1" x14ac:dyDescent="0.2">
      <c r="A919" s="29"/>
      <c r="B919" s="30" t="s">
        <v>320</v>
      </c>
      <c r="C919" s="30" t="s">
        <v>2871</v>
      </c>
      <c r="D919" s="34" t="s">
        <v>1153</v>
      </c>
      <c r="E919" s="31">
        <v>392.72842800000001</v>
      </c>
      <c r="F919" s="31">
        <v>18.329999999999998</v>
      </c>
      <c r="G919" s="32">
        <f t="shared" si="138"/>
        <v>7198.7120852399994</v>
      </c>
      <c r="H919" s="33">
        <f t="shared" si="137"/>
        <v>3.7325688544624277E-5</v>
      </c>
      <c r="K919" t="str">
        <f xml:space="preserve"> B916 &amp; B919</f>
        <v>Z000093003Z010402003</v>
      </c>
    </row>
    <row r="920" spans="1:11" outlineLevel="1" x14ac:dyDescent="0.2">
      <c r="A920" s="29"/>
      <c r="B920" s="30" t="s">
        <v>105</v>
      </c>
      <c r="C920" s="30" t="s">
        <v>707</v>
      </c>
      <c r="D920" s="34" t="s">
        <v>1153</v>
      </c>
      <c r="E920" s="31">
        <v>2035.3638210000001</v>
      </c>
      <c r="F920" s="31">
        <v>5.5869</v>
      </c>
      <c r="G920" s="32">
        <f t="shared" si="138"/>
        <v>11371.374131544901</v>
      </c>
      <c r="H920" s="33">
        <f t="shared" si="137"/>
        <v>5.8961153624786442E-5</v>
      </c>
      <c r="K920" t="str">
        <f xml:space="preserve"> B916 &amp; B920</f>
        <v>Z000093003Z010101003</v>
      </c>
    </row>
    <row r="921" spans="1:11" outlineLevel="1" x14ac:dyDescent="0.2">
      <c r="A921" s="29"/>
      <c r="B921" s="30" t="s">
        <v>1376</v>
      </c>
      <c r="C921" s="30" t="s">
        <v>1622</v>
      </c>
      <c r="D921" s="34" t="s">
        <v>1153</v>
      </c>
      <c r="E921" s="31">
        <v>15.087085</v>
      </c>
      <c r="F921" s="31">
        <v>134.02000000000001</v>
      </c>
      <c r="G921" s="32">
        <f t="shared" si="138"/>
        <v>2021.9711317000001</v>
      </c>
      <c r="H921" s="33">
        <f t="shared" si="137"/>
        <v>1.0484023227265871E-5</v>
      </c>
      <c r="K921" t="str">
        <f xml:space="preserve"> B916 &amp; B921</f>
        <v>Z000093003Z010303002</v>
      </c>
    </row>
    <row r="922" spans="1:11" outlineLevel="1" x14ac:dyDescent="0.2">
      <c r="A922" s="29"/>
      <c r="B922" s="30" t="s">
        <v>1260</v>
      </c>
      <c r="C922" s="30" t="s">
        <v>1455</v>
      </c>
      <c r="D922" s="34" t="s">
        <v>152</v>
      </c>
      <c r="E922" s="31">
        <v>16.247630000000001</v>
      </c>
      <c r="F922" s="31">
        <v>131.69</v>
      </c>
      <c r="G922" s="32">
        <f t="shared" si="138"/>
        <v>2139.6503947000001</v>
      </c>
      <c r="H922" s="33">
        <f t="shared" si="137"/>
        <v>1.1094196195275674E-5</v>
      </c>
      <c r="K922" t="str">
        <f xml:space="preserve"> B916 &amp; B922</f>
        <v>Z000093003Z010304002</v>
      </c>
    </row>
    <row r="923" spans="1:11" outlineLevel="1" x14ac:dyDescent="0.2">
      <c r="A923" s="29"/>
      <c r="B923" s="30" t="s">
        <v>1136</v>
      </c>
      <c r="C923" s="30" t="s">
        <v>2849</v>
      </c>
      <c r="D923" s="34" t="s">
        <v>152</v>
      </c>
      <c r="E923" s="31">
        <v>22.514573000000002</v>
      </c>
      <c r="F923" s="31">
        <v>7.81</v>
      </c>
      <c r="G923" s="32">
        <f t="shared" si="138"/>
        <v>175.83881513</v>
      </c>
      <c r="H923" s="33">
        <f t="shared" si="137"/>
        <v>9.1173320586821772E-7</v>
      </c>
      <c r="K923" t="str">
        <f xml:space="preserve"> B916 &amp; B923</f>
        <v>Z000093003Z010305005</v>
      </c>
    </row>
    <row r="924" spans="1:11" outlineLevel="1" x14ac:dyDescent="0.2">
      <c r="A924" s="29"/>
      <c r="B924" s="30" t="s">
        <v>547</v>
      </c>
      <c r="C924" s="30" t="s">
        <v>2320</v>
      </c>
      <c r="D924" s="34" t="s">
        <v>153</v>
      </c>
      <c r="E924" s="31">
        <v>0</v>
      </c>
      <c r="F924" s="31">
        <v>13.51</v>
      </c>
      <c r="G924" s="32">
        <f t="shared" si="138"/>
        <v>0</v>
      </c>
      <c r="H924" s="33">
        <f t="shared" si="137"/>
        <v>0</v>
      </c>
      <c r="K924" t="str">
        <f xml:space="preserve"> B916 &amp; B924</f>
        <v>Z000093003Z040204001</v>
      </c>
    </row>
    <row r="925" spans="1:11" outlineLevel="1" x14ac:dyDescent="0.2">
      <c r="A925" s="29"/>
      <c r="B925" s="30" t="s">
        <v>935</v>
      </c>
      <c r="C925" s="30" t="s">
        <v>1352</v>
      </c>
      <c r="D925" s="34" t="s">
        <v>153</v>
      </c>
      <c r="E925" s="31">
        <v>0</v>
      </c>
      <c r="F925" s="31">
        <v>15.1457</v>
      </c>
      <c r="G925" s="32">
        <f t="shared" si="138"/>
        <v>0</v>
      </c>
      <c r="H925" s="33">
        <f t="shared" si="137"/>
        <v>0</v>
      </c>
      <c r="K925" t="str">
        <f xml:space="preserve"> B916 &amp; B925</f>
        <v>Z000093003Z040201001</v>
      </c>
    </row>
    <row r="926" spans="1:11" outlineLevel="1" x14ac:dyDescent="0.2">
      <c r="A926" s="29"/>
      <c r="B926" s="30" t="s">
        <v>498</v>
      </c>
      <c r="C926" s="30" t="s">
        <v>773</v>
      </c>
      <c r="D926" s="34" t="s">
        <v>1781</v>
      </c>
      <c r="E926" s="31">
        <v>2785.308</v>
      </c>
      <c r="F926" s="31">
        <v>0</v>
      </c>
      <c r="G926" s="32">
        <f t="shared" si="138"/>
        <v>0</v>
      </c>
      <c r="H926" s="33">
        <f t="shared" si="137"/>
        <v>0</v>
      </c>
      <c r="K926" t="str">
        <f xml:space="preserve"> B916 &amp; B926</f>
        <v>Z000093003Z040401001</v>
      </c>
    </row>
    <row r="927" spans="1:11" outlineLevel="1" x14ac:dyDescent="0.2">
      <c r="A927" s="29"/>
      <c r="B927" s="30" t="s">
        <v>66</v>
      </c>
      <c r="C927" s="30" t="s">
        <v>617</v>
      </c>
      <c r="D927" s="34" t="s">
        <v>151</v>
      </c>
      <c r="E927" s="31">
        <v>0</v>
      </c>
      <c r="F927" s="31">
        <v>5.45</v>
      </c>
      <c r="G927" s="32">
        <f t="shared" si="138"/>
        <v>0</v>
      </c>
      <c r="H927" s="33">
        <f t="shared" si="137"/>
        <v>0</v>
      </c>
      <c r="K927" t="str">
        <f xml:space="preserve"> B916 &amp; B927</f>
        <v>Z000093003Z050103019</v>
      </c>
    </row>
    <row r="928" spans="1:11" outlineLevel="1" x14ac:dyDescent="0.2">
      <c r="A928" s="29"/>
      <c r="B928" s="30" t="s">
        <v>189</v>
      </c>
      <c r="C928" s="30" t="s">
        <v>2685</v>
      </c>
      <c r="D928" s="34" t="s">
        <v>151</v>
      </c>
      <c r="E928" s="31">
        <v>471.18127000000004</v>
      </c>
      <c r="F928" s="31">
        <v>11.05</v>
      </c>
      <c r="G928" s="32">
        <f t="shared" si="138"/>
        <v>5206.5530335000012</v>
      </c>
      <c r="H928" s="33">
        <f t="shared" si="137"/>
        <v>2.6996242469254236E-5</v>
      </c>
      <c r="K928" t="str">
        <f xml:space="preserve"> B916 &amp; B928</f>
        <v>Z000093003Z010403001</v>
      </c>
    </row>
    <row r="929" spans="1:11" outlineLevel="1" x14ac:dyDescent="0.2">
      <c r="A929" s="29"/>
      <c r="B929" s="30" t="s">
        <v>1133</v>
      </c>
      <c r="C929" s="30" t="s">
        <v>2843</v>
      </c>
      <c r="D929" s="34" t="s">
        <v>151</v>
      </c>
      <c r="E929" s="31">
        <v>0.23210900000000004</v>
      </c>
      <c r="F929" s="31">
        <v>8.93</v>
      </c>
      <c r="G929" s="32">
        <f t="shared" si="138"/>
        <v>2.0727333700000004</v>
      </c>
      <c r="H929" s="33">
        <f t="shared" si="137"/>
        <v>1.074722801642513E-8</v>
      </c>
      <c r="K929" t="str">
        <f xml:space="preserve"> B916 &amp; B929</f>
        <v>Z000093003Z010305003</v>
      </c>
    </row>
    <row r="930" spans="1:11" outlineLevel="1" x14ac:dyDescent="0.2">
      <c r="A930" s="29"/>
      <c r="B930" s="30" t="s">
        <v>792</v>
      </c>
      <c r="C930" s="30" t="s">
        <v>335</v>
      </c>
      <c r="D930" s="34" t="s">
        <v>151</v>
      </c>
      <c r="E930" s="31">
        <v>0</v>
      </c>
      <c r="F930" s="31">
        <v>11.1343</v>
      </c>
      <c r="G930" s="32">
        <f t="shared" si="138"/>
        <v>0</v>
      </c>
      <c r="H930" s="33">
        <f t="shared" si="137"/>
        <v>0</v>
      </c>
      <c r="K930" t="str">
        <f xml:space="preserve"> B916 &amp; B930</f>
        <v>Z000093003Z040202001</v>
      </c>
    </row>
    <row r="931" spans="1:11" outlineLevel="1" x14ac:dyDescent="0.2">
      <c r="A931" s="29"/>
      <c r="B931" s="30" t="s">
        <v>1009</v>
      </c>
      <c r="C931" s="30" t="s">
        <v>672</v>
      </c>
      <c r="D931" s="34" t="s">
        <v>151</v>
      </c>
      <c r="E931" s="31">
        <v>0</v>
      </c>
      <c r="F931" s="31">
        <v>16.489999999999998</v>
      </c>
      <c r="G931" s="32">
        <f t="shared" si="138"/>
        <v>0</v>
      </c>
      <c r="H931" s="33">
        <f t="shared" si="137"/>
        <v>0</v>
      </c>
      <c r="K931" t="str">
        <f xml:space="preserve"> B916 &amp; B931</f>
        <v>Z000093003Z040201013</v>
      </c>
    </row>
    <row r="932" spans="1:11" outlineLevel="1" x14ac:dyDescent="0.2">
      <c r="A932" s="29"/>
      <c r="B932" s="30" t="s">
        <v>801</v>
      </c>
      <c r="C932" s="30" t="s">
        <v>402</v>
      </c>
      <c r="D932" s="34" t="s">
        <v>84</v>
      </c>
      <c r="E932" s="31">
        <v>0</v>
      </c>
      <c r="F932" s="31">
        <v>10.3</v>
      </c>
      <c r="G932" s="32">
        <f t="shared" si="138"/>
        <v>0</v>
      </c>
      <c r="H932" s="33">
        <f t="shared" si="137"/>
        <v>0</v>
      </c>
      <c r="K932" t="str">
        <f xml:space="preserve"> B916 &amp; B932</f>
        <v>Z000093003Z040202006</v>
      </c>
    </row>
    <row r="933" spans="1:11" outlineLevel="1" x14ac:dyDescent="0.2">
      <c r="A933" s="29"/>
      <c r="B933" s="30" t="s">
        <v>1654</v>
      </c>
      <c r="C933" s="30" t="s">
        <v>1551</v>
      </c>
      <c r="D933" s="34" t="s">
        <v>764</v>
      </c>
      <c r="E933" s="31">
        <v>11639.337914</v>
      </c>
      <c r="F933" s="31">
        <v>0.7974</v>
      </c>
      <c r="G933" s="32">
        <f t="shared" si="138"/>
        <v>9281.2080526236005</v>
      </c>
      <c r="H933" s="33">
        <f t="shared" si="137"/>
        <v>4.8123536125356471E-5</v>
      </c>
      <c r="K933" t="str">
        <f xml:space="preserve"> B916 &amp; B933</f>
        <v>Z000093003Z010301001</v>
      </c>
    </row>
    <row r="934" spans="1:11" outlineLevel="1" x14ac:dyDescent="0.2">
      <c r="A934" s="29"/>
      <c r="B934" s="30" t="s">
        <v>120</v>
      </c>
      <c r="C934" s="30" t="s">
        <v>597</v>
      </c>
      <c r="D934" s="34" t="s">
        <v>742</v>
      </c>
      <c r="E934" s="31">
        <v>0</v>
      </c>
      <c r="F934" s="31">
        <v>1.52</v>
      </c>
      <c r="G934" s="32">
        <f t="shared" si="138"/>
        <v>0</v>
      </c>
      <c r="H934" s="33">
        <f t="shared" si="137"/>
        <v>0</v>
      </c>
      <c r="K934" t="str">
        <f xml:space="preserve"> B916 &amp; B934</f>
        <v>Z000093003Z050103020</v>
      </c>
    </row>
    <row r="935" spans="1:11" outlineLevel="1" x14ac:dyDescent="0.2">
      <c r="A935" s="29"/>
      <c r="B935" s="30" t="s">
        <v>1258</v>
      </c>
      <c r="C935" s="30" t="s">
        <v>1526</v>
      </c>
      <c r="D935" s="34" t="s">
        <v>742</v>
      </c>
      <c r="E935" s="31">
        <v>3.9458530000000001</v>
      </c>
      <c r="F935" s="31">
        <v>148</v>
      </c>
      <c r="G935" s="32">
        <f t="shared" ref="G935" si="139">F935*E935</f>
        <v>583.98624400000006</v>
      </c>
      <c r="H935" s="33">
        <f t="shared" ref="H935" si="140">G935/$F$2</f>
        <v>3.0279983974608762E-6</v>
      </c>
      <c r="K935" t="str">
        <f xml:space="preserve"> B916 &amp; B935</f>
        <v>Z000093003Z010304001</v>
      </c>
    </row>
    <row r="936" spans="1:11" ht="15" x14ac:dyDescent="0.2">
      <c r="A936" s="17" t="s">
        <v>2029</v>
      </c>
      <c r="B936" s="17" t="s">
        <v>328</v>
      </c>
      <c r="C936" s="17" t="s">
        <v>652</v>
      </c>
      <c r="D936" s="18"/>
      <c r="E936" s="19"/>
      <c r="F936" s="20"/>
      <c r="G936" s="21">
        <f>SUM(G937,G940)</f>
        <v>1899442.4849999999</v>
      </c>
      <c r="H936" s="22">
        <f t="shared" si="137"/>
        <v>9.8487059579593517E-3</v>
      </c>
    </row>
    <row r="937" spans="1:11" outlineLevel="1" x14ac:dyDescent="0.2">
      <c r="A937" s="11" t="s">
        <v>139</v>
      </c>
      <c r="B937" s="11" t="s">
        <v>1442</v>
      </c>
      <c r="C937" s="11" t="s">
        <v>2897</v>
      </c>
      <c r="D937" s="12" t="s">
        <v>1152</v>
      </c>
      <c r="E937" s="13">
        <v>10232.15</v>
      </c>
      <c r="F937" s="14">
        <v>157.5</v>
      </c>
      <c r="G937" s="15">
        <f>SUM(G938:G939)</f>
        <v>1611563.625</v>
      </c>
      <c r="H937" s="16">
        <f t="shared" si="137"/>
        <v>8.356039417096681E-3</v>
      </c>
    </row>
    <row r="938" spans="1:11" outlineLevel="1" x14ac:dyDescent="0.2">
      <c r="A938" s="29"/>
      <c r="B938" s="30" t="s">
        <v>1579</v>
      </c>
      <c r="C938" s="30" t="s">
        <v>1349</v>
      </c>
      <c r="D938" s="34" t="s">
        <v>1819</v>
      </c>
      <c r="E938" s="31">
        <v>10743.7575</v>
      </c>
      <c r="F938" s="31">
        <v>125</v>
      </c>
      <c r="G938" s="32">
        <f t="shared" ref="G938:G939" si="141">F938*E938</f>
        <v>1342969.6875</v>
      </c>
      <c r="H938" s="33">
        <f t="shared" si="137"/>
        <v>6.9633661809139014E-3</v>
      </c>
      <c r="K938" t="str">
        <f xml:space="preserve"> B937 &amp; B938</f>
        <v>Z000094001Z010801001</v>
      </c>
    </row>
    <row r="939" spans="1:11" outlineLevel="1" x14ac:dyDescent="0.2">
      <c r="A939" s="29"/>
      <c r="B939" s="30" t="s">
        <v>1354</v>
      </c>
      <c r="C939" s="30" t="s">
        <v>963</v>
      </c>
      <c r="D939" s="34" t="s">
        <v>1819</v>
      </c>
      <c r="E939" s="31">
        <v>10743.7575</v>
      </c>
      <c r="F939" s="31">
        <v>25</v>
      </c>
      <c r="G939" s="32">
        <f t="shared" si="141"/>
        <v>268593.9375</v>
      </c>
      <c r="H939" s="33">
        <f t="shared" si="137"/>
        <v>1.3926732361827802E-3</v>
      </c>
      <c r="K939" t="str">
        <f xml:space="preserve"> B937 &amp; B939</f>
        <v>Z000094001Z040304001</v>
      </c>
    </row>
    <row r="940" spans="1:11" outlineLevel="1" x14ac:dyDescent="0.2">
      <c r="A940" s="11" t="s">
        <v>142</v>
      </c>
      <c r="B940" s="11" t="s">
        <v>1444</v>
      </c>
      <c r="C940" s="11" t="s">
        <v>1001</v>
      </c>
      <c r="D940" s="12" t="s">
        <v>153</v>
      </c>
      <c r="E940" s="13">
        <v>2569.1999999999998</v>
      </c>
      <c r="F940" s="14">
        <v>112.05</v>
      </c>
      <c r="G940" s="15">
        <f>SUM(G941:G942)</f>
        <v>287878.86</v>
      </c>
      <c r="H940" s="16">
        <f t="shared" si="137"/>
        <v>1.4926665408626712E-3</v>
      </c>
    </row>
    <row r="941" spans="1:11" outlineLevel="1" x14ac:dyDescent="0.2">
      <c r="A941" s="29"/>
      <c r="B941" s="30" t="s">
        <v>1436</v>
      </c>
      <c r="C941" s="30" t="s">
        <v>2899</v>
      </c>
      <c r="D941" s="34" t="s">
        <v>153</v>
      </c>
      <c r="E941" s="31">
        <v>2569.1999999999998</v>
      </c>
      <c r="F941" s="31">
        <v>95.25</v>
      </c>
      <c r="G941" s="32">
        <f t="shared" ref="G941:G942" si="142">F941*E941</f>
        <v>244716.3</v>
      </c>
      <c r="H941" s="33">
        <f t="shared" si="137"/>
        <v>1.2688664704789774E-3</v>
      </c>
      <c r="K941" t="str">
        <f xml:space="preserve"> B940 &amp; B941</f>
        <v>Z000094002Z010802001</v>
      </c>
    </row>
    <row r="942" spans="1:11" outlineLevel="1" x14ac:dyDescent="0.2">
      <c r="A942" s="29"/>
      <c r="B942" s="30" t="s">
        <v>1357</v>
      </c>
      <c r="C942" s="30" t="s">
        <v>2901</v>
      </c>
      <c r="D942" s="34" t="s">
        <v>153</v>
      </c>
      <c r="E942" s="31">
        <v>2569.1999999999998</v>
      </c>
      <c r="F942" s="31">
        <v>16.8</v>
      </c>
      <c r="G942" s="32">
        <f t="shared" si="142"/>
        <v>43162.559999999998</v>
      </c>
      <c r="H942" s="33">
        <f t="shared" si="137"/>
        <v>2.2380007038369366E-4</v>
      </c>
      <c r="K942" t="str">
        <f xml:space="preserve"> B940 &amp; B942</f>
        <v>Z000094002Z040304002</v>
      </c>
    </row>
    <row r="943" spans="1:11" ht="15" x14ac:dyDescent="0.2">
      <c r="A943" s="17" t="s">
        <v>2030</v>
      </c>
      <c r="B943" s="17" t="s">
        <v>328</v>
      </c>
      <c r="C943" s="17" t="s">
        <v>1892</v>
      </c>
      <c r="D943" s="18"/>
      <c r="E943" s="19"/>
      <c r="F943" s="20"/>
      <c r="G943" s="21">
        <f>SUM(G944)</f>
        <v>3019315.4356049998</v>
      </c>
      <c r="H943" s="22">
        <f t="shared" si="137"/>
        <v>1.5655304203433987E-2</v>
      </c>
    </row>
    <row r="944" spans="1:11" outlineLevel="1" x14ac:dyDescent="0.2">
      <c r="A944" s="11" t="s">
        <v>3</v>
      </c>
      <c r="B944" s="11" t="s">
        <v>1307</v>
      </c>
      <c r="C944" s="11" t="s">
        <v>2904</v>
      </c>
      <c r="D944" s="12" t="s">
        <v>1152</v>
      </c>
      <c r="E944" s="13">
        <v>31901.31</v>
      </c>
      <c r="F944" s="14">
        <v>94.645499999999984</v>
      </c>
      <c r="G944" s="15">
        <f>SUM(G945:G951)</f>
        <v>3019315.4356049998</v>
      </c>
      <c r="H944" s="16">
        <f t="shared" si="137"/>
        <v>1.5655304203433987E-2</v>
      </c>
    </row>
    <row r="945" spans="1:11" outlineLevel="1" x14ac:dyDescent="0.2">
      <c r="A945" s="29"/>
      <c r="B945" s="30" t="s">
        <v>814</v>
      </c>
      <c r="C945" s="30" t="s">
        <v>1959</v>
      </c>
      <c r="D945" s="34" t="s">
        <v>1153</v>
      </c>
      <c r="E945" s="31">
        <v>1981.071351</v>
      </c>
      <c r="F945" s="31">
        <v>55</v>
      </c>
      <c r="G945" s="32">
        <f t="shared" ref="G945:G951" si="143">F945*E945</f>
        <v>108958.92430500001</v>
      </c>
      <c r="H945" s="33">
        <f t="shared" si="137"/>
        <v>5.6495756804949833E-4</v>
      </c>
      <c r="K945" t="str">
        <f xml:space="preserve"> B944 &amp; B945</f>
        <v>Z000095002Z010201001</v>
      </c>
    </row>
    <row r="946" spans="1:11" outlineLevel="1" x14ac:dyDescent="0.2">
      <c r="A946" s="29"/>
      <c r="B946" s="30" t="s">
        <v>818</v>
      </c>
      <c r="C946" s="30" t="s">
        <v>2424</v>
      </c>
      <c r="D946" s="34" t="s">
        <v>1153</v>
      </c>
      <c r="E946" s="31">
        <v>220.11903900000001</v>
      </c>
      <c r="F946" s="31">
        <v>100</v>
      </c>
      <c r="G946" s="32">
        <f t="shared" si="143"/>
        <v>22011.903900000001</v>
      </c>
      <c r="H946" s="33">
        <f t="shared" si="137"/>
        <v>1.1413284203020168E-4</v>
      </c>
      <c r="K946" t="str">
        <f xml:space="preserve"> B944 &amp; B946</f>
        <v>Z000095002Z010201002</v>
      </c>
    </row>
    <row r="947" spans="1:11" outlineLevel="1" x14ac:dyDescent="0.2">
      <c r="A947" s="29"/>
      <c r="B947" s="30" t="s">
        <v>468</v>
      </c>
      <c r="C947" s="30" t="s">
        <v>1646</v>
      </c>
      <c r="D947" s="34" t="s">
        <v>1153</v>
      </c>
      <c r="E947" s="31">
        <v>2201.1903900000002</v>
      </c>
      <c r="F947" s="31">
        <v>660</v>
      </c>
      <c r="G947" s="32">
        <f t="shared" si="143"/>
        <v>1452785.6574000001</v>
      </c>
      <c r="H947" s="33">
        <f t="shared" si="137"/>
        <v>7.5327675739933113E-3</v>
      </c>
      <c r="K947" t="str">
        <f xml:space="preserve"> B944 &amp; B947</f>
        <v>Z000095002Z010204001</v>
      </c>
    </row>
    <row r="948" spans="1:11" outlineLevel="1" x14ac:dyDescent="0.2">
      <c r="A948" s="29"/>
      <c r="B948" s="30" t="s">
        <v>1009</v>
      </c>
      <c r="C948" s="30" t="s">
        <v>672</v>
      </c>
      <c r="D948" s="34" t="s">
        <v>151</v>
      </c>
      <c r="E948" s="31">
        <v>0</v>
      </c>
      <c r="F948" s="31">
        <v>16.489999999999998</v>
      </c>
      <c r="G948" s="32">
        <f t="shared" si="143"/>
        <v>0</v>
      </c>
      <c r="H948" s="33">
        <f t="shared" si="137"/>
        <v>0</v>
      </c>
      <c r="K948" t="str">
        <f xml:space="preserve"> B944 &amp; B948</f>
        <v>Z000095002Z040201013</v>
      </c>
    </row>
    <row r="949" spans="1:11" outlineLevel="1" x14ac:dyDescent="0.2">
      <c r="A949" s="29"/>
      <c r="B949" s="30" t="s">
        <v>801</v>
      </c>
      <c r="C949" s="30" t="s">
        <v>402</v>
      </c>
      <c r="D949" s="34" t="s">
        <v>151</v>
      </c>
      <c r="E949" s="31">
        <v>0</v>
      </c>
      <c r="F949" s="31">
        <v>10.3</v>
      </c>
      <c r="G949" s="32">
        <f t="shared" si="143"/>
        <v>0</v>
      </c>
      <c r="H949" s="33">
        <f t="shared" si="137"/>
        <v>0</v>
      </c>
      <c r="K949" t="str">
        <f xml:space="preserve"> B944 &amp; B949</f>
        <v>Z000095002Z040202006</v>
      </c>
    </row>
    <row r="950" spans="1:11" outlineLevel="1" x14ac:dyDescent="0.2">
      <c r="A950" s="29"/>
      <c r="B950" s="30" t="s">
        <v>1361</v>
      </c>
      <c r="C950" s="30" t="s">
        <v>1709</v>
      </c>
      <c r="D950" s="34" t="s">
        <v>1152</v>
      </c>
      <c r="E950" s="31">
        <v>31901.31</v>
      </c>
      <c r="F950" s="31">
        <v>45</v>
      </c>
      <c r="G950" s="32">
        <f t="shared" si="143"/>
        <v>1435558.95</v>
      </c>
      <c r="H950" s="33">
        <f t="shared" si="137"/>
        <v>7.4434462193609784E-3</v>
      </c>
      <c r="K950" t="str">
        <f xml:space="preserve"> B944 &amp; B950</f>
        <v>Z000095002Z040304005</v>
      </c>
    </row>
    <row r="951" spans="1:11" outlineLevel="1" x14ac:dyDescent="0.2">
      <c r="A951" s="29"/>
      <c r="B951" s="30" t="s">
        <v>498</v>
      </c>
      <c r="C951" s="30" t="s">
        <v>773</v>
      </c>
      <c r="D951" s="34" t="s">
        <v>84</v>
      </c>
      <c r="E951" s="31">
        <v>38281.572</v>
      </c>
      <c r="F951" s="31">
        <v>0</v>
      </c>
      <c r="G951" s="32">
        <f t="shared" si="143"/>
        <v>0</v>
      </c>
      <c r="H951" s="33">
        <f t="shared" si="137"/>
        <v>0</v>
      </c>
      <c r="K951" t="str">
        <f xml:space="preserve"> B944 &amp; B951</f>
        <v>Z000095002Z040401001</v>
      </c>
    </row>
    <row r="952" spans="1:11" ht="15" x14ac:dyDescent="0.2">
      <c r="A952" s="17" t="s">
        <v>2031</v>
      </c>
      <c r="B952" s="17" t="s">
        <v>328</v>
      </c>
      <c r="C952" s="17" t="s">
        <v>1567</v>
      </c>
      <c r="D952" s="18"/>
      <c r="E952" s="19"/>
      <c r="F952" s="20"/>
      <c r="G952" s="21">
        <f>SUM(G953,G962,G971,G981,G990,G1004)</f>
        <v>3388458.4582138397</v>
      </c>
      <c r="H952" s="22">
        <f t="shared" si="137"/>
        <v>1.75693295634105E-2</v>
      </c>
    </row>
    <row r="953" spans="1:11" outlineLevel="1" x14ac:dyDescent="0.2">
      <c r="A953" s="11" t="s">
        <v>1874</v>
      </c>
      <c r="B953" s="11" t="s">
        <v>1193</v>
      </c>
      <c r="C953" s="11" t="s">
        <v>2921</v>
      </c>
      <c r="D953" s="12" t="s">
        <v>1152</v>
      </c>
      <c r="E953" s="13">
        <v>18267.52</v>
      </c>
      <c r="F953" s="14">
        <v>9.8971999999999998</v>
      </c>
      <c r="G953" s="15">
        <f>SUM(G954:G961)</f>
        <v>180797.29894400001</v>
      </c>
      <c r="H953" s="16">
        <f t="shared" si="137"/>
        <v>9.3744319680873678E-4</v>
      </c>
    </row>
    <row r="954" spans="1:11" outlineLevel="1" x14ac:dyDescent="0.2">
      <c r="A954" s="29"/>
      <c r="B954" s="30" t="s">
        <v>473</v>
      </c>
      <c r="C954" s="30" t="s">
        <v>136</v>
      </c>
      <c r="D954" s="34" t="s">
        <v>1052</v>
      </c>
      <c r="E954" s="31">
        <v>100471.36</v>
      </c>
      <c r="F954" s="31">
        <v>0.89039999999999997</v>
      </c>
      <c r="G954" s="32">
        <f t="shared" ref="G954:G961" si="144">F954*E954</f>
        <v>89459.698944000003</v>
      </c>
      <c r="H954" s="33">
        <f t="shared" si="137"/>
        <v>4.6385309212825302E-4</v>
      </c>
      <c r="K954" t="str">
        <f xml:space="preserve"> B953 &amp; B954</f>
        <v>Z000096005Z010204006</v>
      </c>
    </row>
    <row r="955" spans="1:11" outlineLevel="1" x14ac:dyDescent="0.2">
      <c r="A955" s="29"/>
      <c r="B955" s="30" t="s">
        <v>1009</v>
      </c>
      <c r="C955" s="30" t="s">
        <v>672</v>
      </c>
      <c r="D955" s="34" t="s">
        <v>151</v>
      </c>
      <c r="E955" s="31">
        <v>0</v>
      </c>
      <c r="F955" s="31">
        <v>16.489999999999998</v>
      </c>
      <c r="G955" s="32">
        <f t="shared" si="144"/>
        <v>0</v>
      </c>
      <c r="H955" s="33">
        <f t="shared" si="137"/>
        <v>0</v>
      </c>
      <c r="K955" t="str">
        <f xml:space="preserve"> B953 &amp; B955</f>
        <v>Z000096005Z040201013</v>
      </c>
    </row>
    <row r="956" spans="1:11" outlineLevel="1" x14ac:dyDescent="0.2">
      <c r="A956" s="29"/>
      <c r="B956" s="30" t="s">
        <v>801</v>
      </c>
      <c r="C956" s="30" t="s">
        <v>402</v>
      </c>
      <c r="D956" s="34" t="s">
        <v>151</v>
      </c>
      <c r="E956" s="31">
        <v>0</v>
      </c>
      <c r="F956" s="31">
        <v>10.3</v>
      </c>
      <c r="G956" s="32">
        <f t="shared" si="144"/>
        <v>0</v>
      </c>
      <c r="H956" s="33">
        <f t="shared" si="137"/>
        <v>0</v>
      </c>
      <c r="K956" t="str">
        <f xml:space="preserve"> B953 &amp; B956</f>
        <v>Z000096005Z040202006</v>
      </c>
    </row>
    <row r="957" spans="1:11" outlineLevel="1" x14ac:dyDescent="0.2">
      <c r="A957" s="29"/>
      <c r="B957" s="30" t="s">
        <v>547</v>
      </c>
      <c r="C957" s="30" t="s">
        <v>2320</v>
      </c>
      <c r="D957" s="34" t="s">
        <v>151</v>
      </c>
      <c r="E957" s="31">
        <v>0</v>
      </c>
      <c r="F957" s="31">
        <v>13.51</v>
      </c>
      <c r="G957" s="32">
        <f t="shared" si="144"/>
        <v>0</v>
      </c>
      <c r="H957" s="33">
        <f t="shared" si="137"/>
        <v>0</v>
      </c>
      <c r="K957" t="str">
        <f xml:space="preserve"> B953 &amp; B957</f>
        <v>Z000096005Z040204001</v>
      </c>
    </row>
    <row r="958" spans="1:11" outlineLevel="1" x14ac:dyDescent="0.2">
      <c r="A958" s="29"/>
      <c r="B958" s="30" t="s">
        <v>1425</v>
      </c>
      <c r="C958" s="30" t="s">
        <v>237</v>
      </c>
      <c r="D958" s="34" t="s">
        <v>1152</v>
      </c>
      <c r="E958" s="31">
        <v>18267.52</v>
      </c>
      <c r="F958" s="31">
        <v>5</v>
      </c>
      <c r="G958" s="32">
        <f t="shared" si="144"/>
        <v>91337.600000000006</v>
      </c>
      <c r="H958" s="33">
        <f t="shared" si="137"/>
        <v>4.7359010468048376E-4</v>
      </c>
      <c r="K958" t="str">
        <f xml:space="preserve"> B953 &amp; B958</f>
        <v>Z000096005Z040304013</v>
      </c>
    </row>
    <row r="959" spans="1:11" outlineLevel="1" x14ac:dyDescent="0.2">
      <c r="A959" s="29"/>
      <c r="B959" s="30" t="s">
        <v>498</v>
      </c>
      <c r="C959" s="30" t="s">
        <v>773</v>
      </c>
      <c r="D959" s="34" t="s">
        <v>84</v>
      </c>
      <c r="E959" s="31">
        <v>21921.024000000001</v>
      </c>
      <c r="F959" s="31">
        <v>0</v>
      </c>
      <c r="G959" s="32">
        <f t="shared" si="144"/>
        <v>0</v>
      </c>
      <c r="H959" s="33">
        <f t="shared" si="137"/>
        <v>0</v>
      </c>
      <c r="K959" t="str">
        <f xml:space="preserve"> B953 &amp; B959</f>
        <v>Z000096005Z040401001</v>
      </c>
    </row>
    <row r="960" spans="1:11" outlineLevel="1" x14ac:dyDescent="0.2">
      <c r="A960" s="29"/>
      <c r="B960" s="30" t="s">
        <v>66</v>
      </c>
      <c r="C960" s="30" t="s">
        <v>617</v>
      </c>
      <c r="D960" s="34" t="s">
        <v>764</v>
      </c>
      <c r="E960" s="31">
        <v>0</v>
      </c>
      <c r="F960" s="31">
        <v>5.45</v>
      </c>
      <c r="G960" s="32">
        <f t="shared" si="144"/>
        <v>0</v>
      </c>
      <c r="H960" s="33">
        <f t="shared" si="137"/>
        <v>0</v>
      </c>
      <c r="K960" t="str">
        <f xml:space="preserve"> B953 &amp; B960</f>
        <v>Z000096005Z050103019</v>
      </c>
    </row>
    <row r="961" spans="1:11" outlineLevel="1" x14ac:dyDescent="0.2">
      <c r="A961" s="29"/>
      <c r="B961" s="30" t="s">
        <v>120</v>
      </c>
      <c r="C961" s="30" t="s">
        <v>597</v>
      </c>
      <c r="D961" s="34" t="s">
        <v>742</v>
      </c>
      <c r="E961" s="31">
        <v>0</v>
      </c>
      <c r="F961" s="31">
        <v>1.52</v>
      </c>
      <c r="G961" s="32">
        <f t="shared" si="144"/>
        <v>0</v>
      </c>
      <c r="H961" s="33">
        <f t="shared" si="137"/>
        <v>0</v>
      </c>
      <c r="K961" t="str">
        <f xml:space="preserve"> B953 &amp; B961</f>
        <v>Z000096005Z050103020</v>
      </c>
    </row>
    <row r="962" spans="1:11" outlineLevel="1" x14ac:dyDescent="0.2">
      <c r="A962" s="11" t="s">
        <v>1878</v>
      </c>
      <c r="B962" s="11" t="s">
        <v>1186</v>
      </c>
      <c r="C962" s="11" t="s">
        <v>2912</v>
      </c>
      <c r="D962" s="12" t="s">
        <v>1152</v>
      </c>
      <c r="E962" s="13">
        <v>19370.05</v>
      </c>
      <c r="F962" s="14">
        <v>9.8971999999999998</v>
      </c>
      <c r="G962" s="15">
        <f>SUM(G963:G970)</f>
        <v>191709.25886</v>
      </c>
      <c r="H962" s="16">
        <f t="shared" si="137"/>
        <v>9.9402226434376802E-4</v>
      </c>
    </row>
    <row r="963" spans="1:11" outlineLevel="1" x14ac:dyDescent="0.2">
      <c r="A963" s="29"/>
      <c r="B963" s="30" t="s">
        <v>473</v>
      </c>
      <c r="C963" s="30" t="s">
        <v>136</v>
      </c>
      <c r="D963" s="34" t="s">
        <v>1052</v>
      </c>
      <c r="E963" s="31">
        <v>106535.27499999999</v>
      </c>
      <c r="F963" s="31">
        <v>0.89039999999999997</v>
      </c>
      <c r="G963" s="32">
        <f t="shared" ref="G963:G970" si="145">F963*E963</f>
        <v>94859.008859999987</v>
      </c>
      <c r="H963" s="33">
        <f t="shared" si="137"/>
        <v>4.9184878884374371E-4</v>
      </c>
      <c r="K963" t="str">
        <f xml:space="preserve"> B962 &amp; B963</f>
        <v>Z000096003Z010204006</v>
      </c>
    </row>
    <row r="964" spans="1:11" outlineLevel="1" x14ac:dyDescent="0.2">
      <c r="A964" s="29"/>
      <c r="B964" s="30" t="s">
        <v>1009</v>
      </c>
      <c r="C964" s="30" t="s">
        <v>672</v>
      </c>
      <c r="D964" s="34" t="s">
        <v>151</v>
      </c>
      <c r="E964" s="31">
        <v>0</v>
      </c>
      <c r="F964" s="31">
        <v>16.489999999999998</v>
      </c>
      <c r="G964" s="32">
        <f t="shared" si="145"/>
        <v>0</v>
      </c>
      <c r="H964" s="33">
        <f t="shared" si="137"/>
        <v>0</v>
      </c>
      <c r="K964" t="str">
        <f xml:space="preserve"> B962 &amp; B964</f>
        <v>Z000096003Z040201013</v>
      </c>
    </row>
    <row r="965" spans="1:11" outlineLevel="1" x14ac:dyDescent="0.2">
      <c r="A965" s="29"/>
      <c r="B965" s="30" t="s">
        <v>801</v>
      </c>
      <c r="C965" s="30" t="s">
        <v>402</v>
      </c>
      <c r="D965" s="34" t="s">
        <v>151</v>
      </c>
      <c r="E965" s="31">
        <v>0</v>
      </c>
      <c r="F965" s="31">
        <v>10.3</v>
      </c>
      <c r="G965" s="32">
        <f t="shared" si="145"/>
        <v>0</v>
      </c>
      <c r="H965" s="33">
        <f t="shared" si="137"/>
        <v>0</v>
      </c>
      <c r="K965" t="str">
        <f xml:space="preserve"> B962 &amp; B965</f>
        <v>Z000096003Z040202006</v>
      </c>
    </row>
    <row r="966" spans="1:11" outlineLevel="1" x14ac:dyDescent="0.2">
      <c r="A966" s="29"/>
      <c r="B966" s="30" t="s">
        <v>547</v>
      </c>
      <c r="C966" s="30" t="s">
        <v>2320</v>
      </c>
      <c r="D966" s="34" t="s">
        <v>151</v>
      </c>
      <c r="E966" s="31">
        <v>0</v>
      </c>
      <c r="F966" s="31">
        <v>13.51</v>
      </c>
      <c r="G966" s="32">
        <f t="shared" si="145"/>
        <v>0</v>
      </c>
      <c r="H966" s="33">
        <f t="shared" si="137"/>
        <v>0</v>
      </c>
      <c r="K966" t="str">
        <f xml:space="preserve"> B962 &amp; B966</f>
        <v>Z000096003Z040204001</v>
      </c>
    </row>
    <row r="967" spans="1:11" outlineLevel="1" x14ac:dyDescent="0.2">
      <c r="A967" s="29"/>
      <c r="B967" s="30" t="s">
        <v>1424</v>
      </c>
      <c r="C967" s="30" t="s">
        <v>1017</v>
      </c>
      <c r="D967" s="34" t="s">
        <v>1152</v>
      </c>
      <c r="E967" s="31">
        <v>19370.05</v>
      </c>
      <c r="F967" s="31">
        <v>5</v>
      </c>
      <c r="G967" s="32">
        <f t="shared" si="145"/>
        <v>96850.25</v>
      </c>
      <c r="H967" s="33">
        <f t="shared" si="137"/>
        <v>5.021734755000243E-4</v>
      </c>
      <c r="K967" t="str">
        <f xml:space="preserve"> B962 &amp; B967</f>
        <v>Z000096003Z040304012</v>
      </c>
    </row>
    <row r="968" spans="1:11" outlineLevel="1" x14ac:dyDescent="0.2">
      <c r="A968" s="29"/>
      <c r="B968" s="30" t="s">
        <v>498</v>
      </c>
      <c r="C968" s="30" t="s">
        <v>773</v>
      </c>
      <c r="D968" s="34" t="s">
        <v>84</v>
      </c>
      <c r="E968" s="31">
        <v>23244.059999999998</v>
      </c>
      <c r="F968" s="31">
        <v>0</v>
      </c>
      <c r="G968" s="32">
        <f t="shared" si="145"/>
        <v>0</v>
      </c>
      <c r="H968" s="33">
        <f t="shared" si="137"/>
        <v>0</v>
      </c>
      <c r="K968" t="str">
        <f xml:space="preserve"> B962 &amp; B968</f>
        <v>Z000096003Z040401001</v>
      </c>
    </row>
    <row r="969" spans="1:11" outlineLevel="1" x14ac:dyDescent="0.2">
      <c r="A969" s="29"/>
      <c r="B969" s="30" t="s">
        <v>66</v>
      </c>
      <c r="C969" s="30" t="s">
        <v>617</v>
      </c>
      <c r="D969" s="34" t="s">
        <v>764</v>
      </c>
      <c r="E969" s="31">
        <v>0</v>
      </c>
      <c r="F969" s="31">
        <v>5.45</v>
      </c>
      <c r="G969" s="32">
        <f t="shared" si="145"/>
        <v>0</v>
      </c>
      <c r="H969" s="33">
        <f t="shared" si="137"/>
        <v>0</v>
      </c>
      <c r="K969" t="str">
        <f xml:space="preserve"> B962 &amp; B969</f>
        <v>Z000096003Z050103019</v>
      </c>
    </row>
    <row r="970" spans="1:11" outlineLevel="1" x14ac:dyDescent="0.2">
      <c r="A970" s="29"/>
      <c r="B970" s="30" t="s">
        <v>120</v>
      </c>
      <c r="C970" s="30" t="s">
        <v>597</v>
      </c>
      <c r="D970" s="34" t="s">
        <v>742</v>
      </c>
      <c r="E970" s="31">
        <v>0</v>
      </c>
      <c r="F970" s="31">
        <v>1.52</v>
      </c>
      <c r="G970" s="32">
        <f t="shared" si="145"/>
        <v>0</v>
      </c>
      <c r="H970" s="33">
        <f t="shared" si="137"/>
        <v>0</v>
      </c>
      <c r="K970" t="str">
        <f xml:space="preserve"> B962 &amp; B970</f>
        <v>Z000096003Z050103020</v>
      </c>
    </row>
    <row r="971" spans="1:11" outlineLevel="1" x14ac:dyDescent="0.2">
      <c r="A971" s="11" t="s">
        <v>1880</v>
      </c>
      <c r="B971" s="11" t="s">
        <v>1075</v>
      </c>
      <c r="C971" s="11" t="s">
        <v>2931</v>
      </c>
      <c r="D971" s="12" t="s">
        <v>1152</v>
      </c>
      <c r="E971" s="13">
        <v>18267.52</v>
      </c>
      <c r="F971" s="14">
        <v>93.385011999999989</v>
      </c>
      <c r="G971" s="15">
        <f>SUM(G972:G980)</f>
        <v>1705912.5744102399</v>
      </c>
      <c r="H971" s="16">
        <f t="shared" si="137"/>
        <v>8.845243521733645E-3</v>
      </c>
    </row>
    <row r="972" spans="1:11" outlineLevel="1" x14ac:dyDescent="0.2">
      <c r="A972" s="29"/>
      <c r="B972" s="30" t="s">
        <v>1433</v>
      </c>
      <c r="C972" s="30" t="s">
        <v>2929</v>
      </c>
      <c r="D972" s="34" t="s">
        <v>1152</v>
      </c>
      <c r="E972" s="31">
        <v>2535.5317760000003</v>
      </c>
      <c r="F972" s="31">
        <v>16.010000000000002</v>
      </c>
      <c r="G972" s="32">
        <f t="shared" ref="G972:G980" si="146">F972*E972</f>
        <v>40593.863733760008</v>
      </c>
      <c r="H972" s="33">
        <f t="shared" si="137"/>
        <v>2.10481249507943E-4</v>
      </c>
      <c r="K972" t="str">
        <f xml:space="preserve"> B971 &amp; B972</f>
        <v>Z000097008Z010106003</v>
      </c>
    </row>
    <row r="973" spans="1:11" outlineLevel="1" x14ac:dyDescent="0.2">
      <c r="A973" s="29"/>
      <c r="B973" s="30" t="s">
        <v>471</v>
      </c>
      <c r="C973" s="30" t="s">
        <v>1599</v>
      </c>
      <c r="D973" s="34" t="s">
        <v>1052</v>
      </c>
      <c r="E973" s="31">
        <v>1083081.2608</v>
      </c>
      <c r="F973" s="31">
        <v>0.52559999999999996</v>
      </c>
      <c r="G973" s="32">
        <f t="shared" si="146"/>
        <v>569267.51067648001</v>
      </c>
      <c r="H973" s="33">
        <f t="shared" si="137"/>
        <v>2.951681016059898E-3</v>
      </c>
      <c r="K973" t="str">
        <f xml:space="preserve"> B971 &amp; B973</f>
        <v>Z000097008Z010204004</v>
      </c>
    </row>
    <row r="974" spans="1:11" outlineLevel="1" x14ac:dyDescent="0.2">
      <c r="A974" s="29"/>
      <c r="B974" s="30" t="s">
        <v>1009</v>
      </c>
      <c r="C974" s="30" t="s">
        <v>672</v>
      </c>
      <c r="D974" s="34" t="s">
        <v>151</v>
      </c>
      <c r="E974" s="31">
        <v>0</v>
      </c>
      <c r="F974" s="31">
        <v>16.489999999999998</v>
      </c>
      <c r="G974" s="32">
        <f t="shared" si="146"/>
        <v>0</v>
      </c>
      <c r="H974" s="33">
        <f t="shared" si="137"/>
        <v>0</v>
      </c>
      <c r="K974" t="str">
        <f xml:space="preserve"> B971 &amp; B974</f>
        <v>Z000097008Z040201013</v>
      </c>
    </row>
    <row r="975" spans="1:11" outlineLevel="1" x14ac:dyDescent="0.2">
      <c r="A975" s="29"/>
      <c r="B975" s="30" t="s">
        <v>801</v>
      </c>
      <c r="C975" s="30" t="s">
        <v>402</v>
      </c>
      <c r="D975" s="34" t="s">
        <v>151</v>
      </c>
      <c r="E975" s="31">
        <v>0</v>
      </c>
      <c r="F975" s="31">
        <v>10.3</v>
      </c>
      <c r="G975" s="32">
        <f t="shared" si="146"/>
        <v>0</v>
      </c>
      <c r="H975" s="33">
        <f t="shared" si="137"/>
        <v>0</v>
      </c>
      <c r="K975" t="str">
        <f xml:space="preserve"> B971 &amp; B975</f>
        <v>Z000097008Z040202006</v>
      </c>
    </row>
    <row r="976" spans="1:11" outlineLevel="1" x14ac:dyDescent="0.2">
      <c r="A976" s="29"/>
      <c r="B976" s="30" t="s">
        <v>547</v>
      </c>
      <c r="C976" s="30" t="s">
        <v>2320</v>
      </c>
      <c r="D976" s="34" t="s">
        <v>151</v>
      </c>
      <c r="E976" s="31">
        <v>0</v>
      </c>
      <c r="F976" s="31">
        <v>13.51</v>
      </c>
      <c r="G976" s="32">
        <f t="shared" si="146"/>
        <v>0</v>
      </c>
      <c r="H976" s="33">
        <f t="shared" si="137"/>
        <v>0</v>
      </c>
      <c r="K976" t="str">
        <f xml:space="preserve"> B971 &amp; B976</f>
        <v>Z000097008Z040204001</v>
      </c>
    </row>
    <row r="977" spans="1:11" outlineLevel="1" x14ac:dyDescent="0.2">
      <c r="A977" s="29"/>
      <c r="B977" s="30" t="s">
        <v>1365</v>
      </c>
      <c r="C977" s="30" t="s">
        <v>25</v>
      </c>
      <c r="D977" s="34" t="s">
        <v>1152</v>
      </c>
      <c r="E977" s="31">
        <v>18267.52</v>
      </c>
      <c r="F977" s="31">
        <v>60</v>
      </c>
      <c r="G977" s="32">
        <f t="shared" si="146"/>
        <v>1096051.2</v>
      </c>
      <c r="H977" s="33">
        <f t="shared" si="137"/>
        <v>5.6830812561658043E-3</v>
      </c>
      <c r="K977" t="str">
        <f xml:space="preserve"> B971 &amp; B977</f>
        <v>Z000097008Z040304007</v>
      </c>
    </row>
    <row r="978" spans="1:11" outlineLevel="1" x14ac:dyDescent="0.2">
      <c r="A978" s="29"/>
      <c r="B978" s="30" t="s">
        <v>498</v>
      </c>
      <c r="C978" s="30" t="s">
        <v>773</v>
      </c>
      <c r="D978" s="34" t="s">
        <v>84</v>
      </c>
      <c r="E978" s="31">
        <v>21921.024000000001</v>
      </c>
      <c r="F978" s="31">
        <v>0</v>
      </c>
      <c r="G978" s="32">
        <f t="shared" si="146"/>
        <v>0</v>
      </c>
      <c r="H978" s="33">
        <f t="shared" si="137"/>
        <v>0</v>
      </c>
      <c r="K978" t="str">
        <f xml:space="preserve"> B971 &amp; B978</f>
        <v>Z000097008Z040401001</v>
      </c>
    </row>
    <row r="979" spans="1:11" outlineLevel="1" x14ac:dyDescent="0.2">
      <c r="A979" s="29"/>
      <c r="B979" s="30" t="s">
        <v>66</v>
      </c>
      <c r="C979" s="30" t="s">
        <v>617</v>
      </c>
      <c r="D979" s="34" t="s">
        <v>764</v>
      </c>
      <c r="E979" s="31">
        <v>0</v>
      </c>
      <c r="F979" s="31">
        <v>5.45</v>
      </c>
      <c r="G979" s="32">
        <f t="shared" si="146"/>
        <v>0</v>
      </c>
      <c r="H979" s="33">
        <f t="shared" si="137"/>
        <v>0</v>
      </c>
      <c r="K979" t="str">
        <f xml:space="preserve"> B971 &amp; B979</f>
        <v>Z000097008Z050103019</v>
      </c>
    </row>
    <row r="980" spans="1:11" outlineLevel="1" x14ac:dyDescent="0.2">
      <c r="A980" s="29"/>
      <c r="B980" s="30" t="s">
        <v>120</v>
      </c>
      <c r="C980" s="30" t="s">
        <v>597</v>
      </c>
      <c r="D980" s="34" t="s">
        <v>742</v>
      </c>
      <c r="E980" s="31">
        <v>0</v>
      </c>
      <c r="F980" s="31">
        <v>1.52</v>
      </c>
      <c r="G980" s="32">
        <f t="shared" si="146"/>
        <v>0</v>
      </c>
      <c r="H980" s="33">
        <f t="shared" si="137"/>
        <v>0</v>
      </c>
      <c r="K980" t="str">
        <f xml:space="preserve"> B971 &amp; B980</f>
        <v>Z000097008Z050103020</v>
      </c>
    </row>
    <row r="981" spans="1:11" outlineLevel="1" x14ac:dyDescent="0.2">
      <c r="A981" s="11" t="s">
        <v>1882</v>
      </c>
      <c r="B981" s="11" t="s">
        <v>1078</v>
      </c>
      <c r="C981" s="11" t="s">
        <v>2941</v>
      </c>
      <c r="D981" s="12" t="s">
        <v>1152</v>
      </c>
      <c r="E981" s="13">
        <v>19370.05</v>
      </c>
      <c r="F981" s="14">
        <v>66.71099199999999</v>
      </c>
      <c r="G981" s="15">
        <f>SUM(G982:G989)</f>
        <v>1292195.2505895998</v>
      </c>
      <c r="H981" s="16">
        <f t="shared" ref="H981:H1047" si="147">G981/$F$2</f>
        <v>6.7000981413388623E-3</v>
      </c>
    </row>
    <row r="982" spans="1:11" outlineLevel="1" x14ac:dyDescent="0.2">
      <c r="A982" s="29"/>
      <c r="B982" s="30" t="s">
        <v>471</v>
      </c>
      <c r="C982" s="30" t="s">
        <v>1599</v>
      </c>
      <c r="D982" s="34" t="s">
        <v>1052</v>
      </c>
      <c r="E982" s="31">
        <v>984385.94099999999</v>
      </c>
      <c r="F982" s="31">
        <v>0.52559999999999996</v>
      </c>
      <c r="G982" s="32">
        <f t="shared" ref="G982:G989" si="148">F982*E982</f>
        <v>517393.25058959995</v>
      </c>
      <c r="H982" s="33">
        <f t="shared" si="147"/>
        <v>2.6827103373386688E-3</v>
      </c>
      <c r="K982" t="str">
        <f xml:space="preserve"> B981 &amp; B982</f>
        <v>Z000097009Z010204004</v>
      </c>
    </row>
    <row r="983" spans="1:11" outlineLevel="1" x14ac:dyDescent="0.2">
      <c r="A983" s="29"/>
      <c r="B983" s="30" t="s">
        <v>1009</v>
      </c>
      <c r="C983" s="30" t="s">
        <v>672</v>
      </c>
      <c r="D983" s="34" t="s">
        <v>151</v>
      </c>
      <c r="E983" s="31">
        <v>0</v>
      </c>
      <c r="F983" s="31">
        <v>16.489999999999998</v>
      </c>
      <c r="G983" s="32">
        <f t="shared" si="148"/>
        <v>0</v>
      </c>
      <c r="H983" s="33">
        <f t="shared" si="147"/>
        <v>0</v>
      </c>
      <c r="K983" t="str">
        <f xml:space="preserve"> B981 &amp; B983</f>
        <v>Z000097009Z040201013</v>
      </c>
    </row>
    <row r="984" spans="1:11" outlineLevel="1" x14ac:dyDescent="0.2">
      <c r="A984" s="29"/>
      <c r="B984" s="30" t="s">
        <v>801</v>
      </c>
      <c r="C984" s="30" t="s">
        <v>402</v>
      </c>
      <c r="D984" s="34" t="s">
        <v>151</v>
      </c>
      <c r="E984" s="31">
        <v>0</v>
      </c>
      <c r="F984" s="31">
        <v>10.3</v>
      </c>
      <c r="G984" s="32">
        <f t="shared" si="148"/>
        <v>0</v>
      </c>
      <c r="H984" s="33">
        <f t="shared" si="147"/>
        <v>0</v>
      </c>
      <c r="K984" t="str">
        <f xml:space="preserve"> B981 &amp; B984</f>
        <v>Z000097009Z040202006</v>
      </c>
    </row>
    <row r="985" spans="1:11" outlineLevel="1" x14ac:dyDescent="0.2">
      <c r="A985" s="29"/>
      <c r="B985" s="30" t="s">
        <v>547</v>
      </c>
      <c r="C985" s="30" t="s">
        <v>2320</v>
      </c>
      <c r="D985" s="34" t="s">
        <v>151</v>
      </c>
      <c r="E985" s="31">
        <v>0</v>
      </c>
      <c r="F985" s="31">
        <v>13.51</v>
      </c>
      <c r="G985" s="32">
        <f t="shared" si="148"/>
        <v>0</v>
      </c>
      <c r="H985" s="33">
        <f t="shared" si="147"/>
        <v>0</v>
      </c>
      <c r="K985" t="str">
        <f xml:space="preserve"> B981 &amp; B985</f>
        <v>Z000097009Z040204001</v>
      </c>
    </row>
    <row r="986" spans="1:11" outlineLevel="1" x14ac:dyDescent="0.2">
      <c r="A986" s="29"/>
      <c r="B986" s="30" t="s">
        <v>1364</v>
      </c>
      <c r="C986" s="30" t="s">
        <v>1408</v>
      </c>
      <c r="D986" s="34" t="s">
        <v>1152</v>
      </c>
      <c r="E986" s="31">
        <v>19370.05</v>
      </c>
      <c r="F986" s="31">
        <v>40</v>
      </c>
      <c r="G986" s="32">
        <f t="shared" si="148"/>
        <v>774802</v>
      </c>
      <c r="H986" s="33">
        <f t="shared" si="147"/>
        <v>4.0173878040001944E-3</v>
      </c>
      <c r="K986" t="str">
        <f xml:space="preserve"> B981 &amp; B986</f>
        <v>Z000097009Z040304006</v>
      </c>
    </row>
    <row r="987" spans="1:11" outlineLevel="1" x14ac:dyDescent="0.2">
      <c r="A987" s="29"/>
      <c r="B987" s="30" t="s">
        <v>498</v>
      </c>
      <c r="C987" s="30" t="s">
        <v>773</v>
      </c>
      <c r="D987" s="34" t="s">
        <v>84</v>
      </c>
      <c r="E987" s="31">
        <v>23244.059999999998</v>
      </c>
      <c r="F987" s="31">
        <v>0</v>
      </c>
      <c r="G987" s="32">
        <f t="shared" si="148"/>
        <v>0</v>
      </c>
      <c r="H987" s="33">
        <f t="shared" si="147"/>
        <v>0</v>
      </c>
      <c r="K987" t="str">
        <f xml:space="preserve"> B981 &amp; B987</f>
        <v>Z000097009Z040401001</v>
      </c>
    </row>
    <row r="988" spans="1:11" outlineLevel="1" x14ac:dyDescent="0.2">
      <c r="A988" s="29"/>
      <c r="B988" s="30" t="s">
        <v>66</v>
      </c>
      <c r="C988" s="30" t="s">
        <v>617</v>
      </c>
      <c r="D988" s="34" t="s">
        <v>764</v>
      </c>
      <c r="E988" s="31">
        <v>0</v>
      </c>
      <c r="F988" s="31">
        <v>5.45</v>
      </c>
      <c r="G988" s="32">
        <f t="shared" si="148"/>
        <v>0</v>
      </c>
      <c r="H988" s="33">
        <f t="shared" si="147"/>
        <v>0</v>
      </c>
      <c r="K988" t="str">
        <f xml:space="preserve"> B981 &amp; B988</f>
        <v>Z000097009Z050103019</v>
      </c>
    </row>
    <row r="989" spans="1:11" outlineLevel="1" x14ac:dyDescent="0.2">
      <c r="A989" s="29"/>
      <c r="B989" s="30" t="s">
        <v>120</v>
      </c>
      <c r="C989" s="30" t="s">
        <v>597</v>
      </c>
      <c r="D989" s="34" t="s">
        <v>742</v>
      </c>
      <c r="E989" s="31">
        <v>0</v>
      </c>
      <c r="F989" s="31">
        <v>1.52</v>
      </c>
      <c r="G989" s="32">
        <f t="shared" si="148"/>
        <v>0</v>
      </c>
      <c r="H989" s="33">
        <f t="shared" si="147"/>
        <v>0</v>
      </c>
      <c r="K989" t="str">
        <f xml:space="preserve"> B981 &amp; B989</f>
        <v>Z000097009Z050103020</v>
      </c>
    </row>
    <row r="990" spans="1:11" outlineLevel="1" x14ac:dyDescent="0.2">
      <c r="A990" s="11" t="s">
        <v>1884</v>
      </c>
      <c r="B990" s="11" t="s">
        <v>915</v>
      </c>
      <c r="C990" s="11" t="s">
        <v>2950</v>
      </c>
      <c r="D990" s="12" t="s">
        <v>153</v>
      </c>
      <c r="E990" s="13">
        <v>393.75</v>
      </c>
      <c r="F990" s="14">
        <v>44.090969119999997</v>
      </c>
      <c r="G990" s="15">
        <f>SUM(G991:G1003)</f>
        <v>17360.819090999998</v>
      </c>
      <c r="H990" s="16">
        <f t="shared" si="147"/>
        <v>9.0016730575859547E-5</v>
      </c>
    </row>
    <row r="991" spans="1:11" outlineLevel="1" x14ac:dyDescent="0.2">
      <c r="A991" s="29"/>
      <c r="B991" s="30" t="s">
        <v>1654</v>
      </c>
      <c r="C991" s="30" t="s">
        <v>1551</v>
      </c>
      <c r="D991" s="34" t="s">
        <v>1052</v>
      </c>
      <c r="E991" s="31">
        <v>672.84</v>
      </c>
      <c r="F991" s="31">
        <v>0.7974</v>
      </c>
      <c r="G991" s="32">
        <f t="shared" ref="G991:G1003" si="149">F991*E991</f>
        <v>536.52261599999997</v>
      </c>
      <c r="H991" s="33">
        <f t="shared" si="147"/>
        <v>2.7818970705918149E-6</v>
      </c>
      <c r="K991" t="str">
        <f xml:space="preserve"> B990 &amp; B991</f>
        <v>Z000098001Z010301001</v>
      </c>
    </row>
    <row r="992" spans="1:11" outlineLevel="1" x14ac:dyDescent="0.2">
      <c r="A992" s="29"/>
      <c r="B992" s="30" t="s">
        <v>1258</v>
      </c>
      <c r="C992" s="30" t="s">
        <v>1526</v>
      </c>
      <c r="D992" s="34" t="s">
        <v>1153</v>
      </c>
      <c r="E992" s="31">
        <v>2.9925000000000002</v>
      </c>
      <c r="F992" s="31">
        <v>148</v>
      </c>
      <c r="G992" s="32">
        <f t="shared" si="149"/>
        <v>442.89000000000004</v>
      </c>
      <c r="H992" s="33">
        <f t="shared" si="147"/>
        <v>2.2964071911451523E-6</v>
      </c>
      <c r="K992" t="str">
        <f xml:space="preserve"> B990 &amp; B992</f>
        <v>Z000098001Z010304001</v>
      </c>
    </row>
    <row r="993" spans="1:11" outlineLevel="1" x14ac:dyDescent="0.2">
      <c r="A993" s="29"/>
      <c r="B993" s="30" t="s">
        <v>1133</v>
      </c>
      <c r="C993" s="30" t="s">
        <v>2843</v>
      </c>
      <c r="D993" s="34" t="s">
        <v>152</v>
      </c>
      <c r="E993" s="31">
        <v>0.1575</v>
      </c>
      <c r="F993" s="31">
        <v>8.93</v>
      </c>
      <c r="G993" s="32">
        <f t="shared" si="149"/>
        <v>1.4064749999999999</v>
      </c>
      <c r="H993" s="33">
        <f t="shared" si="147"/>
        <v>7.2926444583663607E-9</v>
      </c>
      <c r="K993" t="str">
        <f xml:space="preserve"> B990 &amp; B993</f>
        <v>Z000098001Z010305003</v>
      </c>
    </row>
    <row r="994" spans="1:11" outlineLevel="1" x14ac:dyDescent="0.2">
      <c r="A994" s="29"/>
      <c r="B994" s="30" t="s">
        <v>409</v>
      </c>
      <c r="C994" s="30" t="s">
        <v>494</v>
      </c>
      <c r="D994" s="34" t="s">
        <v>153</v>
      </c>
      <c r="E994" s="31">
        <v>425.25</v>
      </c>
      <c r="F994" s="31">
        <v>20</v>
      </c>
      <c r="G994" s="32">
        <f t="shared" si="149"/>
        <v>8505</v>
      </c>
      <c r="H994" s="33">
        <f t="shared" si="147"/>
        <v>4.4098857866941042E-5</v>
      </c>
      <c r="K994" t="str">
        <f xml:space="preserve"> B990 &amp; B994</f>
        <v>Z000098001Z010704001</v>
      </c>
    </row>
    <row r="995" spans="1:11" outlineLevel="1" x14ac:dyDescent="0.2">
      <c r="A995" s="29"/>
      <c r="B995" s="30" t="s">
        <v>1009</v>
      </c>
      <c r="C995" s="30" t="s">
        <v>672</v>
      </c>
      <c r="D995" s="34" t="s">
        <v>151</v>
      </c>
      <c r="E995" s="31">
        <v>0</v>
      </c>
      <c r="F995" s="31">
        <v>16.489999999999998</v>
      </c>
      <c r="G995" s="32">
        <f t="shared" si="149"/>
        <v>0</v>
      </c>
      <c r="H995" s="33">
        <f t="shared" si="147"/>
        <v>0</v>
      </c>
      <c r="K995" t="str">
        <f xml:space="preserve"> B990 &amp; B995</f>
        <v>Z000098001Z040201013</v>
      </c>
    </row>
    <row r="996" spans="1:11" outlineLevel="1" x14ac:dyDescent="0.2">
      <c r="A996" s="29"/>
      <c r="B996" s="30" t="s">
        <v>801</v>
      </c>
      <c r="C996" s="30" t="s">
        <v>402</v>
      </c>
      <c r="D996" s="34" t="s">
        <v>151</v>
      </c>
      <c r="E996" s="31">
        <v>0</v>
      </c>
      <c r="F996" s="31">
        <v>10.3</v>
      </c>
      <c r="G996" s="32">
        <f t="shared" si="149"/>
        <v>0</v>
      </c>
      <c r="H996" s="33">
        <f t="shared" si="147"/>
        <v>0</v>
      </c>
      <c r="K996" t="str">
        <f xml:space="preserve"> B990 &amp; B996</f>
        <v>Z000098001Z040202006</v>
      </c>
    </row>
    <row r="997" spans="1:11" outlineLevel="1" x14ac:dyDescent="0.2">
      <c r="A997" s="29"/>
      <c r="B997" s="30" t="s">
        <v>547</v>
      </c>
      <c r="C997" s="30" t="s">
        <v>2320</v>
      </c>
      <c r="D997" s="34" t="s">
        <v>151</v>
      </c>
      <c r="E997" s="31">
        <v>0</v>
      </c>
      <c r="F997" s="31">
        <v>13.51</v>
      </c>
      <c r="G997" s="32">
        <f t="shared" si="149"/>
        <v>0</v>
      </c>
      <c r="H997" s="33">
        <f t="shared" si="147"/>
        <v>0</v>
      </c>
      <c r="K997" t="str">
        <f xml:space="preserve"> B990 &amp; B997</f>
        <v>Z000098001Z040204001</v>
      </c>
    </row>
    <row r="998" spans="1:11" outlineLevel="1" x14ac:dyDescent="0.2">
      <c r="A998" s="29"/>
      <c r="B998" s="30" t="s">
        <v>1122</v>
      </c>
      <c r="C998" s="30" t="s">
        <v>2958</v>
      </c>
      <c r="D998" s="34" t="s">
        <v>153</v>
      </c>
      <c r="E998" s="31">
        <v>393.75</v>
      </c>
      <c r="F998" s="31">
        <v>20</v>
      </c>
      <c r="G998" s="32">
        <f t="shared" si="149"/>
        <v>7875</v>
      </c>
      <c r="H998" s="33">
        <f t="shared" si="147"/>
        <v>4.0832275802723187E-5</v>
      </c>
      <c r="K998" t="str">
        <f xml:space="preserve"> B990 &amp; B998</f>
        <v>Z000098001Z040306009</v>
      </c>
    </row>
    <row r="999" spans="1:11" outlineLevel="1" x14ac:dyDescent="0.2">
      <c r="A999" s="29"/>
      <c r="B999" s="30" t="s">
        <v>498</v>
      </c>
      <c r="C999" s="30" t="s">
        <v>773</v>
      </c>
      <c r="D999" s="34" t="s">
        <v>84</v>
      </c>
      <c r="E999" s="31">
        <v>472.5</v>
      </c>
      <c r="F999" s="31">
        <v>0</v>
      </c>
      <c r="G999" s="32">
        <f t="shared" si="149"/>
        <v>0</v>
      </c>
      <c r="H999" s="33">
        <f t="shared" si="147"/>
        <v>0</v>
      </c>
      <c r="K999" t="str">
        <f xml:space="preserve"> B990 &amp; B999</f>
        <v>Z000098001Z040401001</v>
      </c>
    </row>
    <row r="1000" spans="1:11" outlineLevel="1" x14ac:dyDescent="0.2">
      <c r="A1000" s="29"/>
      <c r="B1000" s="30" t="s">
        <v>1970</v>
      </c>
      <c r="C1000" s="30" t="s">
        <v>1166</v>
      </c>
      <c r="D1000" s="34" t="s">
        <v>764</v>
      </c>
      <c r="E1000" s="31">
        <v>0</v>
      </c>
      <c r="F1000" s="31">
        <v>30.29</v>
      </c>
      <c r="G1000" s="32">
        <f t="shared" si="149"/>
        <v>0</v>
      </c>
      <c r="H1000" s="33">
        <f t="shared" si="147"/>
        <v>0</v>
      </c>
      <c r="K1000" t="str">
        <f xml:space="preserve"> B990 &amp; B1000</f>
        <v>Z000098001Z050103007</v>
      </c>
    </row>
    <row r="1001" spans="1:11" outlineLevel="1" x14ac:dyDescent="0.2">
      <c r="A1001" s="29"/>
      <c r="B1001" s="30" t="s">
        <v>1971</v>
      </c>
      <c r="C1001" s="30" t="s">
        <v>1147</v>
      </c>
      <c r="D1001" s="34" t="s">
        <v>742</v>
      </c>
      <c r="E1001" s="31">
        <v>0</v>
      </c>
      <c r="F1001" s="31">
        <v>28.81</v>
      </c>
      <c r="G1001" s="32">
        <f t="shared" si="149"/>
        <v>0</v>
      </c>
      <c r="H1001" s="33">
        <f t="shared" si="147"/>
        <v>0</v>
      </c>
      <c r="K1001" t="str">
        <f xml:space="preserve"> B990 &amp; B1001</f>
        <v>Z000098001Z050103008</v>
      </c>
    </row>
    <row r="1002" spans="1:11" outlineLevel="1" x14ac:dyDescent="0.2">
      <c r="A1002" s="29"/>
      <c r="B1002" s="30" t="s">
        <v>66</v>
      </c>
      <c r="C1002" s="30" t="s">
        <v>617</v>
      </c>
      <c r="D1002" s="34" t="s">
        <v>764</v>
      </c>
      <c r="E1002" s="31">
        <v>0</v>
      </c>
      <c r="F1002" s="31">
        <v>5.45</v>
      </c>
      <c r="G1002" s="32">
        <f t="shared" si="149"/>
        <v>0</v>
      </c>
      <c r="H1002" s="33">
        <f t="shared" si="147"/>
        <v>0</v>
      </c>
      <c r="K1002" t="str">
        <f xml:space="preserve"> B990 &amp; B1002</f>
        <v>Z000098001Z050103019</v>
      </c>
    </row>
    <row r="1003" spans="1:11" outlineLevel="1" x14ac:dyDescent="0.2">
      <c r="A1003" s="29"/>
      <c r="B1003" s="30" t="s">
        <v>120</v>
      </c>
      <c r="C1003" s="30" t="s">
        <v>597</v>
      </c>
      <c r="D1003" s="34" t="s">
        <v>742</v>
      </c>
      <c r="E1003" s="31">
        <v>0</v>
      </c>
      <c r="F1003" s="31">
        <v>1.52</v>
      </c>
      <c r="G1003" s="32">
        <f t="shared" si="149"/>
        <v>0</v>
      </c>
      <c r="H1003" s="33">
        <f t="shared" si="147"/>
        <v>0</v>
      </c>
      <c r="K1003" t="str">
        <f xml:space="preserve"> B990 &amp; B1003</f>
        <v>Z000098001Z050103020</v>
      </c>
    </row>
    <row r="1004" spans="1:11" outlineLevel="1" x14ac:dyDescent="0.2">
      <c r="A1004" s="11" t="s">
        <v>1887</v>
      </c>
      <c r="B1004" s="11" t="s">
        <v>1705</v>
      </c>
      <c r="C1004" s="11" t="s">
        <v>2792</v>
      </c>
      <c r="D1004" s="12" t="s">
        <v>1152</v>
      </c>
      <c r="E1004" s="13">
        <v>10.43</v>
      </c>
      <c r="F1004" s="14">
        <v>46.333300000000001</v>
      </c>
      <c r="G1004" s="15">
        <f>SUM(G1005:G1005)</f>
        <v>483.25631900000002</v>
      </c>
      <c r="H1004" s="16">
        <f t="shared" si="147"/>
        <v>2.5057086096275275E-6</v>
      </c>
    </row>
    <row r="1005" spans="1:11" outlineLevel="1" x14ac:dyDescent="0.2">
      <c r="A1005" s="29"/>
      <c r="B1005" s="30" t="s">
        <v>1367</v>
      </c>
      <c r="C1005" s="30" t="s">
        <v>2790</v>
      </c>
      <c r="D1005" s="34" t="s">
        <v>1152</v>
      </c>
      <c r="E1005" s="31">
        <v>10.43</v>
      </c>
      <c r="F1005" s="31">
        <v>46.333300000000001</v>
      </c>
      <c r="G1005" s="32">
        <f>F1005*E1005</f>
        <v>483.25631900000002</v>
      </c>
      <c r="H1005" s="33">
        <f t="shared" si="147"/>
        <v>2.5057086096275275E-6</v>
      </c>
      <c r="K1005" t="str">
        <f xml:space="preserve"> B1004 &amp; B1005</f>
        <v>Z000084017Z040304008</v>
      </c>
    </row>
    <row r="1006" spans="1:11" ht="18.75" x14ac:dyDescent="0.2">
      <c r="A1006" s="5">
        <v>10</v>
      </c>
      <c r="B1006" s="5" t="s">
        <v>328</v>
      </c>
      <c r="C1006" s="5" t="s">
        <v>176</v>
      </c>
      <c r="D1006" s="6"/>
      <c r="E1006" s="7"/>
      <c r="F1006" s="8"/>
      <c r="G1006" s="9">
        <f>SUM(G1007,G1026,G1030,G1031)</f>
        <v>3938162.4555000002</v>
      </c>
      <c r="H1006" s="10">
        <f t="shared" si="147"/>
        <v>2.0419572766845154E-2</v>
      </c>
    </row>
    <row r="1007" spans="1:11" ht="15" x14ac:dyDescent="0.2">
      <c r="A1007" s="17" t="s">
        <v>2032</v>
      </c>
      <c r="B1007" s="17" t="s">
        <v>328</v>
      </c>
      <c r="C1007" s="17" t="s">
        <v>1380</v>
      </c>
      <c r="D1007" s="18"/>
      <c r="E1007" s="19"/>
      <c r="F1007" s="20"/>
      <c r="G1007" s="21">
        <f>SUM(G1008,G1011,G1014,G1017,G1020,G1023)</f>
        <v>1768962.8554999998</v>
      </c>
      <c r="H1007" s="22">
        <f t="shared" si="147"/>
        <v>9.1721624381649221E-3</v>
      </c>
    </row>
    <row r="1008" spans="1:11" outlineLevel="1" x14ac:dyDescent="0.2">
      <c r="A1008" s="11" t="s">
        <v>28</v>
      </c>
      <c r="B1008" s="11" t="s">
        <v>65</v>
      </c>
      <c r="C1008" s="11" t="s">
        <v>609</v>
      </c>
      <c r="D1008" s="12" t="s">
        <v>1152</v>
      </c>
      <c r="E1008" s="13">
        <v>16143.08</v>
      </c>
      <c r="F1008" s="14">
        <v>87.699999999999989</v>
      </c>
      <c r="G1008" s="15">
        <f>SUM(G1009:G1010)</f>
        <v>1415748.1159999999</v>
      </c>
      <c r="H1008" s="16">
        <f t="shared" si="147"/>
        <v>7.3407260367870141E-3</v>
      </c>
    </row>
    <row r="1009" spans="1:11" outlineLevel="1" x14ac:dyDescent="0.2">
      <c r="A1009" s="29"/>
      <c r="B1009" s="30" t="s">
        <v>369</v>
      </c>
      <c r="C1009" s="30" t="s">
        <v>1077</v>
      </c>
      <c r="D1009" s="34" t="s">
        <v>1819</v>
      </c>
      <c r="E1009" s="31">
        <v>16143.08</v>
      </c>
      <c r="F1009" s="31">
        <v>74.5</v>
      </c>
      <c r="G1009" s="32">
        <f t="shared" ref="G1009:G1010" si="150">F1009*E1009</f>
        <v>1202659.46</v>
      </c>
      <c r="H1009" s="33">
        <f t="shared" si="147"/>
        <v>6.2358505101554459E-3</v>
      </c>
      <c r="K1009" t="str">
        <f xml:space="preserve"> B1008 &amp; B1009</f>
        <v>Z000101001Z010901001</v>
      </c>
    </row>
    <row r="1010" spans="1:11" outlineLevel="1" x14ac:dyDescent="0.2">
      <c r="A1010" s="29"/>
      <c r="B1010" s="30" t="s">
        <v>1241</v>
      </c>
      <c r="C1010" s="30" t="s">
        <v>264</v>
      </c>
      <c r="D1010" s="34" t="s">
        <v>1152</v>
      </c>
      <c r="E1010" s="31">
        <v>16143.08</v>
      </c>
      <c r="F1010" s="31">
        <v>13.2</v>
      </c>
      <c r="G1010" s="32">
        <f t="shared" si="150"/>
        <v>213088.65599999999</v>
      </c>
      <c r="H1010" s="33">
        <f t="shared" si="147"/>
        <v>1.1048755266315688E-3</v>
      </c>
      <c r="K1010" t="str">
        <f xml:space="preserve"> B1008 &amp; B1010</f>
        <v>Z000101001Z040305004</v>
      </c>
    </row>
    <row r="1011" spans="1:11" outlineLevel="1" x14ac:dyDescent="0.2">
      <c r="A1011" s="11" t="s">
        <v>30</v>
      </c>
      <c r="B1011" s="11" t="s">
        <v>67</v>
      </c>
      <c r="C1011" s="11" t="s">
        <v>2967</v>
      </c>
      <c r="D1011" s="12" t="s">
        <v>1152</v>
      </c>
      <c r="E1011" s="13">
        <v>378.07</v>
      </c>
      <c r="F1011" s="14">
        <v>129</v>
      </c>
      <c r="G1011" s="15">
        <f>SUM(G1012:G1013)</f>
        <v>48771.03</v>
      </c>
      <c r="H1011" s="16">
        <f t="shared" si="147"/>
        <v>2.5288027278004907E-4</v>
      </c>
    </row>
    <row r="1012" spans="1:11" outlineLevel="1" x14ac:dyDescent="0.2">
      <c r="A1012" s="29"/>
      <c r="B1012" s="30" t="s">
        <v>138</v>
      </c>
      <c r="C1012" s="30" t="s">
        <v>790</v>
      </c>
      <c r="D1012" s="34" t="s">
        <v>1152</v>
      </c>
      <c r="E1012" s="31">
        <v>378.07</v>
      </c>
      <c r="F1012" s="31">
        <v>110</v>
      </c>
      <c r="G1012" s="32">
        <f t="shared" ref="G1012:G1013" si="151">F1012*E1012</f>
        <v>41587.699999999997</v>
      </c>
      <c r="H1012" s="33">
        <f t="shared" si="147"/>
        <v>2.1563434113027442E-4</v>
      </c>
      <c r="K1012" t="str">
        <f xml:space="preserve"> B1011 &amp; B1012</f>
        <v>Z000101002Z010903001</v>
      </c>
    </row>
    <row r="1013" spans="1:11" outlineLevel="1" x14ac:dyDescent="0.2">
      <c r="A1013" s="29"/>
      <c r="B1013" s="30" t="s">
        <v>1239</v>
      </c>
      <c r="C1013" s="30" t="s">
        <v>194</v>
      </c>
      <c r="D1013" s="34" t="s">
        <v>1152</v>
      </c>
      <c r="E1013" s="31">
        <v>378.07</v>
      </c>
      <c r="F1013" s="31">
        <v>19</v>
      </c>
      <c r="G1013" s="32">
        <f t="shared" si="151"/>
        <v>7183.33</v>
      </c>
      <c r="H1013" s="33">
        <f t="shared" si="147"/>
        <v>3.7245931649774675E-5</v>
      </c>
      <c r="K1013" t="str">
        <f xml:space="preserve"> B1011 &amp; B1013</f>
        <v>Z000101002Z040305002</v>
      </c>
    </row>
    <row r="1014" spans="1:11" outlineLevel="1" x14ac:dyDescent="0.2">
      <c r="A1014" s="11" t="s">
        <v>33</v>
      </c>
      <c r="B1014" s="11" t="s">
        <v>69</v>
      </c>
      <c r="C1014" s="11" t="s">
        <v>1181</v>
      </c>
      <c r="D1014" s="12" t="s">
        <v>153</v>
      </c>
      <c r="E1014" s="13">
        <v>11518.3</v>
      </c>
      <c r="F1014" s="14">
        <v>14.85</v>
      </c>
      <c r="G1014" s="15">
        <f>SUM(G1015:G1016)</f>
        <v>171046.75499999998</v>
      </c>
      <c r="H1014" s="16">
        <f t="shared" si="147"/>
        <v>8.8688613019946929E-4</v>
      </c>
    </row>
    <row r="1015" spans="1:11" outlineLevel="1" x14ac:dyDescent="0.2">
      <c r="A1015" s="29"/>
      <c r="B1015" s="30" t="s">
        <v>252</v>
      </c>
      <c r="C1015" s="30" t="s">
        <v>1301</v>
      </c>
      <c r="D1015" s="34" t="s">
        <v>153</v>
      </c>
      <c r="E1015" s="31">
        <v>11518.3</v>
      </c>
      <c r="F1015" s="31">
        <v>12.35</v>
      </c>
      <c r="G1015" s="32">
        <f t="shared" ref="G1015:G1016" si="152">F1015*E1015</f>
        <v>142251.00499999998</v>
      </c>
      <c r="H1015" s="33">
        <f t="shared" si="147"/>
        <v>7.375787008729593E-4</v>
      </c>
      <c r="K1015" t="str">
        <f xml:space="preserve"> B1014 &amp; B1015</f>
        <v>Z000101003Z010902001</v>
      </c>
    </row>
    <row r="1016" spans="1:11" outlineLevel="1" x14ac:dyDescent="0.2">
      <c r="A1016" s="29"/>
      <c r="B1016" s="30" t="s">
        <v>1237</v>
      </c>
      <c r="C1016" s="30" t="s">
        <v>1035</v>
      </c>
      <c r="D1016" s="34" t="s">
        <v>153</v>
      </c>
      <c r="E1016" s="31">
        <v>11518.3</v>
      </c>
      <c r="F1016" s="31">
        <v>2.5</v>
      </c>
      <c r="G1016" s="32">
        <f t="shared" si="152"/>
        <v>28795.75</v>
      </c>
      <c r="H1016" s="33">
        <f t="shared" si="147"/>
        <v>1.4930742932651E-4</v>
      </c>
      <c r="K1016" t="str">
        <f xml:space="preserve"> B1014 &amp; B1016</f>
        <v>Z000101003Z040305001</v>
      </c>
    </row>
    <row r="1017" spans="1:11" outlineLevel="1" x14ac:dyDescent="0.2">
      <c r="A1017" s="11" t="s">
        <v>37</v>
      </c>
      <c r="B1017" s="11" t="s">
        <v>71</v>
      </c>
      <c r="C1017" s="11" t="s">
        <v>1967</v>
      </c>
      <c r="D1017" s="12" t="s">
        <v>1152</v>
      </c>
      <c r="E1017" s="13">
        <v>604.89</v>
      </c>
      <c r="F1017" s="14">
        <v>135.04999999999998</v>
      </c>
      <c r="G1017" s="15">
        <f>SUM(G1018:G1019)</f>
        <v>81690.394499999995</v>
      </c>
      <c r="H1017" s="16">
        <f t="shared" si="147"/>
        <v>4.2356885316282682E-4</v>
      </c>
    </row>
    <row r="1018" spans="1:11" outlineLevel="1" x14ac:dyDescent="0.2">
      <c r="A1018" s="29"/>
      <c r="B1018" s="30" t="s">
        <v>372</v>
      </c>
      <c r="C1018" s="30" t="s">
        <v>756</v>
      </c>
      <c r="D1018" s="34" t="s">
        <v>1152</v>
      </c>
      <c r="E1018" s="31">
        <v>604.89</v>
      </c>
      <c r="F1018" s="31">
        <v>108.04</v>
      </c>
      <c r="G1018" s="32">
        <f t="shared" ref="G1018:G1019" si="153">F1018*E1018</f>
        <v>65352.315600000002</v>
      </c>
      <c r="H1018" s="33">
        <f t="shared" si="147"/>
        <v>3.3885508253026148E-4</v>
      </c>
      <c r="K1018" t="str">
        <f xml:space="preserve"> B1017 &amp; B1018</f>
        <v>Z000101004Z010901002</v>
      </c>
    </row>
    <row r="1019" spans="1:11" outlineLevel="1" x14ac:dyDescent="0.2">
      <c r="A1019" s="29"/>
      <c r="B1019" s="30" t="s">
        <v>1248</v>
      </c>
      <c r="C1019" s="30" t="s">
        <v>1856</v>
      </c>
      <c r="D1019" s="34" t="s">
        <v>1152</v>
      </c>
      <c r="E1019" s="31">
        <v>604.89</v>
      </c>
      <c r="F1019" s="31">
        <v>27.01</v>
      </c>
      <c r="G1019" s="32">
        <f t="shared" si="153"/>
        <v>16338.0789</v>
      </c>
      <c r="H1019" s="33">
        <f t="shared" si="147"/>
        <v>8.471377063256537E-5</v>
      </c>
      <c r="K1019" t="str">
        <f xml:space="preserve"> B1017 &amp; B1019</f>
        <v>Z000101004Z040305007</v>
      </c>
    </row>
    <row r="1020" spans="1:11" outlineLevel="1" x14ac:dyDescent="0.2">
      <c r="A1020" s="11" t="s">
        <v>4928</v>
      </c>
      <c r="B1020" s="11" t="s">
        <v>4925</v>
      </c>
      <c r="C1020" s="11" t="s">
        <v>4930</v>
      </c>
      <c r="D1020" s="12" t="s">
        <v>1152</v>
      </c>
      <c r="E1020" s="13">
        <v>462.08</v>
      </c>
      <c r="F1020" s="14">
        <v>96.999999999999986</v>
      </c>
      <c r="G1020" s="15">
        <f>SUM(G1021:G1022)</f>
        <v>44821.759999999995</v>
      </c>
      <c r="H1020" s="16">
        <f t="shared" ref="H1020:H1025" si="154">G1020/$F$2</f>
        <v>2.3240310682964645E-4</v>
      </c>
    </row>
    <row r="1021" spans="1:11" outlineLevel="1" x14ac:dyDescent="0.2">
      <c r="A1021" s="29"/>
      <c r="B1021" s="30" t="s">
        <v>4926</v>
      </c>
      <c r="C1021" s="30" t="s">
        <v>4927</v>
      </c>
      <c r="D1021" s="34" t="s">
        <v>1152</v>
      </c>
      <c r="E1021" s="31">
        <v>462.08</v>
      </c>
      <c r="F1021" s="31">
        <v>77.599999999999994</v>
      </c>
      <c r="G1021" s="32">
        <f t="shared" ref="G1021:G1022" si="155">F1021*E1021</f>
        <v>35857.407999999996</v>
      </c>
      <c r="H1021" s="33">
        <f t="shared" si="154"/>
        <v>1.8592248546371717E-4</v>
      </c>
      <c r="K1021" t="str">
        <f xml:space="preserve"> B1020 &amp; B1021</f>
        <v>Z000105001Z010906001</v>
      </c>
    </row>
    <row r="1022" spans="1:11" outlineLevel="1" x14ac:dyDescent="0.2">
      <c r="A1022" s="29"/>
      <c r="B1022" s="30" t="s">
        <v>4931</v>
      </c>
      <c r="C1022" s="30" t="s">
        <v>4932</v>
      </c>
      <c r="D1022" s="34" t="s">
        <v>1152</v>
      </c>
      <c r="E1022" s="31">
        <v>462.08</v>
      </c>
      <c r="F1022" s="31">
        <v>19.399999999999999</v>
      </c>
      <c r="G1022" s="32">
        <f t="shared" si="155"/>
        <v>8964.351999999999</v>
      </c>
      <c r="H1022" s="33">
        <f t="shared" si="154"/>
        <v>4.6480621365929293E-5</v>
      </c>
      <c r="K1022" t="str">
        <f xml:space="preserve"> B1020 &amp; B1022</f>
        <v>Z000105001Z040305008</v>
      </c>
    </row>
    <row r="1023" spans="1:11" outlineLevel="1" x14ac:dyDescent="0.2">
      <c r="A1023" s="11" t="s">
        <v>4937</v>
      </c>
      <c r="B1023" s="11" t="s">
        <v>4934</v>
      </c>
      <c r="C1023" s="11" t="s">
        <v>4939</v>
      </c>
      <c r="D1023" s="12" t="s">
        <v>1152</v>
      </c>
      <c r="E1023" s="13">
        <v>344.24</v>
      </c>
      <c r="F1023" s="14">
        <v>20</v>
      </c>
      <c r="G1023" s="15">
        <f>SUM(G1024:G1025)</f>
        <v>6884.8</v>
      </c>
      <c r="H1023" s="16">
        <f t="shared" si="154"/>
        <v>3.5698038405916017E-5</v>
      </c>
    </row>
    <row r="1024" spans="1:11" outlineLevel="1" x14ac:dyDescent="0.2">
      <c r="A1024" s="29"/>
      <c r="B1024" s="30" t="s">
        <v>4935</v>
      </c>
      <c r="C1024" s="30" t="s">
        <v>4936</v>
      </c>
      <c r="D1024" s="34" t="s">
        <v>1152</v>
      </c>
      <c r="E1024" s="31">
        <v>344.24</v>
      </c>
      <c r="F1024" s="31">
        <v>16</v>
      </c>
      <c r="G1024" s="32">
        <f t="shared" ref="G1024:G1025" si="156">F1024*E1024</f>
        <v>5507.84</v>
      </c>
      <c r="H1024" s="33">
        <f t="shared" si="154"/>
        <v>2.8558430724732811E-5</v>
      </c>
      <c r="K1024" t="str">
        <f xml:space="preserve"> B1023 &amp; B1024</f>
        <v>Z000105002Z010906002</v>
      </c>
    </row>
    <row r="1025" spans="1:11" outlineLevel="1" x14ac:dyDescent="0.2">
      <c r="A1025" s="29"/>
      <c r="B1025" s="30" t="s">
        <v>4940</v>
      </c>
      <c r="C1025" s="30" t="s">
        <v>4941</v>
      </c>
      <c r="D1025" s="34" t="s">
        <v>1152</v>
      </c>
      <c r="E1025" s="31">
        <v>344.24</v>
      </c>
      <c r="F1025" s="31">
        <v>4</v>
      </c>
      <c r="G1025" s="32">
        <f t="shared" si="156"/>
        <v>1376.96</v>
      </c>
      <c r="H1025" s="33">
        <f t="shared" si="154"/>
        <v>7.1396076811832027E-6</v>
      </c>
      <c r="K1025" t="str">
        <f xml:space="preserve"> B1023 &amp; B1025</f>
        <v>Z000105002Z040305009</v>
      </c>
    </row>
    <row r="1026" spans="1:11" ht="15" x14ac:dyDescent="0.2">
      <c r="A1026" s="17" t="s">
        <v>2033</v>
      </c>
      <c r="B1026" s="17" t="s">
        <v>328</v>
      </c>
      <c r="C1026" s="17" t="s">
        <v>1933</v>
      </c>
      <c r="D1026" s="18"/>
      <c r="E1026" s="19"/>
      <c r="F1026" s="20"/>
      <c r="G1026" s="21">
        <f>SUM(G1027)</f>
        <v>41249.600000000006</v>
      </c>
      <c r="H1026" s="22">
        <f t="shared" si="147"/>
        <v>2.1388127542247754E-4</v>
      </c>
    </row>
    <row r="1027" spans="1:11" outlineLevel="1" x14ac:dyDescent="0.2">
      <c r="A1027" s="11" t="s">
        <v>1905</v>
      </c>
      <c r="B1027" s="11" t="s">
        <v>1931</v>
      </c>
      <c r="C1027" s="11" t="s">
        <v>1295</v>
      </c>
      <c r="D1027" s="12" t="s">
        <v>1152</v>
      </c>
      <c r="E1027" s="13">
        <v>71.12</v>
      </c>
      <c r="F1027" s="14">
        <v>580</v>
      </c>
      <c r="G1027" s="15">
        <f>SUM(G1028:G1029)</f>
        <v>41249.600000000006</v>
      </c>
      <c r="H1027" s="16">
        <f t="shared" si="147"/>
        <v>2.1388127542247754E-4</v>
      </c>
    </row>
    <row r="1028" spans="1:11" outlineLevel="1" x14ac:dyDescent="0.2">
      <c r="A1028" s="29"/>
      <c r="B1028" s="30" t="s">
        <v>2</v>
      </c>
      <c r="C1028" s="30" t="s">
        <v>1334</v>
      </c>
      <c r="D1028" s="34" t="s">
        <v>1152</v>
      </c>
      <c r="E1028" s="31">
        <v>71.12</v>
      </c>
      <c r="F1028" s="31">
        <v>417.6</v>
      </c>
      <c r="G1028" s="32">
        <f t="shared" ref="G1028:G1029" si="157">F1028*E1028</f>
        <v>29699.712000000003</v>
      </c>
      <c r="H1028" s="33">
        <f t="shared" si="147"/>
        <v>1.5399451830418382E-4</v>
      </c>
      <c r="K1028" t="str">
        <f xml:space="preserve"> B1027 &amp; B1028</f>
        <v>Z000102001Z010904001</v>
      </c>
    </row>
    <row r="1029" spans="1:11" outlineLevel="1" x14ac:dyDescent="0.2">
      <c r="A1029" s="29"/>
      <c r="B1029" s="30" t="s">
        <v>1240</v>
      </c>
      <c r="C1029" s="30" t="s">
        <v>331</v>
      </c>
      <c r="D1029" s="34" t="s">
        <v>1152</v>
      </c>
      <c r="E1029" s="31">
        <v>71.12</v>
      </c>
      <c r="F1029" s="31">
        <v>162.4</v>
      </c>
      <c r="G1029" s="32">
        <f t="shared" si="157"/>
        <v>11549.888000000001</v>
      </c>
      <c r="H1029" s="33">
        <f t="shared" si="147"/>
        <v>5.9886757118293707E-5</v>
      </c>
      <c r="K1029" t="str">
        <f xml:space="preserve"> B1027 &amp; B1029</f>
        <v>Z000102001Z040305003</v>
      </c>
    </row>
    <row r="1030" spans="1:11" ht="15" x14ac:dyDescent="0.2">
      <c r="A1030" s="17" t="s">
        <v>2034</v>
      </c>
      <c r="B1030" s="17" t="s">
        <v>328</v>
      </c>
      <c r="C1030" s="17" t="s">
        <v>418</v>
      </c>
      <c r="D1030" s="18"/>
      <c r="E1030" s="19"/>
      <c r="F1030" s="20"/>
      <c r="G1030" s="21">
        <v>0</v>
      </c>
      <c r="H1030" s="22">
        <f t="shared" si="147"/>
        <v>0</v>
      </c>
    </row>
    <row r="1031" spans="1:11" ht="15" x14ac:dyDescent="0.2">
      <c r="A1031" s="17" t="s">
        <v>2035</v>
      </c>
      <c r="B1031" s="17" t="s">
        <v>328</v>
      </c>
      <c r="C1031" s="17" t="s">
        <v>845</v>
      </c>
      <c r="D1031" s="18"/>
      <c r="E1031" s="19"/>
      <c r="F1031" s="20"/>
      <c r="G1031" s="21">
        <f>SUM(G1032)</f>
        <v>2127950</v>
      </c>
      <c r="H1031" s="22">
        <f t="shared" si="147"/>
        <v>1.1033529053257753E-2</v>
      </c>
    </row>
    <row r="1032" spans="1:11" outlineLevel="1" x14ac:dyDescent="0.2">
      <c r="A1032" s="11" t="s">
        <v>1643</v>
      </c>
      <c r="B1032" s="11" t="s">
        <v>1672</v>
      </c>
      <c r="C1032" s="11" t="s">
        <v>2976</v>
      </c>
      <c r="D1032" s="12" t="s">
        <v>1152</v>
      </c>
      <c r="E1032" s="13">
        <v>2127.9499999999998</v>
      </c>
      <c r="F1032" s="14">
        <v>1000.0000000000001</v>
      </c>
      <c r="G1032" s="15">
        <f>SUM(G1033:G1033)</f>
        <v>2127950</v>
      </c>
      <c r="H1032" s="16">
        <f t="shared" si="147"/>
        <v>1.1033529053257753E-2</v>
      </c>
    </row>
    <row r="1033" spans="1:11" outlineLevel="1" x14ac:dyDescent="0.2">
      <c r="A1033" s="29"/>
      <c r="B1033" s="30" t="s">
        <v>1246</v>
      </c>
      <c r="C1033" s="30" t="s">
        <v>951</v>
      </c>
      <c r="D1033" s="34" t="s">
        <v>1819</v>
      </c>
      <c r="E1033" s="31">
        <v>2127.9499999999998</v>
      </c>
      <c r="F1033" s="31">
        <v>1000</v>
      </c>
      <c r="G1033" s="32">
        <f>F1033*E1033</f>
        <v>2127950</v>
      </c>
      <c r="H1033" s="33">
        <f t="shared" si="147"/>
        <v>1.1033529053257753E-2</v>
      </c>
      <c r="K1033" t="str">
        <f xml:space="preserve"> B1032 &amp; B1033</f>
        <v>Z000104002Z040305006</v>
      </c>
    </row>
    <row r="1034" spans="1:11" ht="18.75" x14ac:dyDescent="0.2">
      <c r="A1034" s="5">
        <v>11</v>
      </c>
      <c r="B1034" s="5" t="s">
        <v>328</v>
      </c>
      <c r="C1034" s="5" t="s">
        <v>1907</v>
      </c>
      <c r="D1034" s="6"/>
      <c r="E1034" s="7"/>
      <c r="F1034" s="8"/>
      <c r="G1034" s="9">
        <v>0</v>
      </c>
      <c r="H1034" s="10">
        <v>0</v>
      </c>
    </row>
    <row r="1035" spans="1:11" ht="15" x14ac:dyDescent="0.2">
      <c r="A1035" s="17" t="s">
        <v>2036</v>
      </c>
      <c r="B1035" s="17" t="s">
        <v>328</v>
      </c>
      <c r="C1035" s="17" t="s">
        <v>1907</v>
      </c>
      <c r="D1035" s="18"/>
      <c r="E1035" s="19"/>
      <c r="F1035" s="20"/>
      <c r="G1035" s="21">
        <v>0</v>
      </c>
      <c r="H1035" s="22">
        <v>0</v>
      </c>
    </row>
    <row r="1036" spans="1:11" ht="18.75" x14ac:dyDescent="0.2">
      <c r="A1036" s="5">
        <v>12</v>
      </c>
      <c r="B1036" s="5" t="s">
        <v>328</v>
      </c>
      <c r="C1036" s="5" t="s">
        <v>1173</v>
      </c>
      <c r="D1036" s="6"/>
      <c r="E1036" s="7"/>
      <c r="F1036" s="8"/>
      <c r="G1036" s="9">
        <f>SUM(G1037,G1044)</f>
        <v>4689052.2442000043</v>
      </c>
      <c r="H1036" s="10">
        <f t="shared" si="147"/>
        <v>2.4312974538228914E-2</v>
      </c>
    </row>
    <row r="1037" spans="1:11" ht="15" x14ac:dyDescent="0.2">
      <c r="A1037" s="17" t="s">
        <v>2037</v>
      </c>
      <c r="B1037" s="17" t="s">
        <v>328</v>
      </c>
      <c r="C1037" s="17" t="s">
        <v>216</v>
      </c>
      <c r="D1037" s="18"/>
      <c r="E1037" s="19"/>
      <c r="F1037" s="20"/>
      <c r="G1037" s="21">
        <f>SUM(G1038,G1041)</f>
        <v>1773032.1475999998</v>
      </c>
      <c r="H1037" s="22">
        <f t="shared" si="147"/>
        <v>9.1932619248124188E-3</v>
      </c>
    </row>
    <row r="1038" spans="1:11" outlineLevel="1" x14ac:dyDescent="0.2">
      <c r="A1038" s="11" t="s">
        <v>1906</v>
      </c>
      <c r="B1038" s="11" t="s">
        <v>1475</v>
      </c>
      <c r="C1038" s="11" t="s">
        <v>2997</v>
      </c>
      <c r="D1038" s="12" t="s">
        <v>1152</v>
      </c>
      <c r="E1038" s="13">
        <v>5636.47</v>
      </c>
      <c r="F1038" s="14">
        <v>251.99999999999997</v>
      </c>
      <c r="G1038" s="15">
        <f>SUM(G1039:G1040)</f>
        <v>1420390.44</v>
      </c>
      <c r="H1038" s="16">
        <f t="shared" si="147"/>
        <v>7.3647967230008049E-3</v>
      </c>
    </row>
    <row r="1039" spans="1:11" outlineLevel="1" x14ac:dyDescent="0.2">
      <c r="A1039" s="29"/>
      <c r="B1039" s="30" t="s">
        <v>1091</v>
      </c>
      <c r="C1039" s="30" t="s">
        <v>2995</v>
      </c>
      <c r="D1039" s="34" t="s">
        <v>1152</v>
      </c>
      <c r="E1039" s="31">
        <v>5636.47</v>
      </c>
      <c r="F1039" s="31">
        <v>150</v>
      </c>
      <c r="G1039" s="32">
        <f t="shared" ref="G1039:G1040" si="158">F1039*E1039</f>
        <v>845470.5</v>
      </c>
      <c r="H1039" s="33">
        <f t="shared" si="147"/>
        <v>4.3838075732147647E-3</v>
      </c>
      <c r="K1039" t="str">
        <f xml:space="preserve"> B1038 &amp; B1039</f>
        <v>Z000123005Z010502006</v>
      </c>
    </row>
    <row r="1040" spans="1:11" outlineLevel="1" x14ac:dyDescent="0.2">
      <c r="A1040" s="29"/>
      <c r="B1040" s="30" t="s">
        <v>1172</v>
      </c>
      <c r="C1040" s="30" t="s">
        <v>2998</v>
      </c>
      <c r="D1040" s="34" t="s">
        <v>1152</v>
      </c>
      <c r="E1040" s="31">
        <v>5636.47</v>
      </c>
      <c r="F1040" s="31">
        <v>102</v>
      </c>
      <c r="G1040" s="32">
        <f t="shared" si="158"/>
        <v>574919.94000000006</v>
      </c>
      <c r="H1040" s="33">
        <f t="shared" si="147"/>
        <v>2.9809891497860406E-3</v>
      </c>
      <c r="K1040" t="str">
        <f xml:space="preserve"> B1038 &amp; B1040</f>
        <v>Z000123005Z040307030</v>
      </c>
    </row>
    <row r="1041" spans="1:11" outlineLevel="1" x14ac:dyDescent="0.2">
      <c r="A1041" s="11" t="s">
        <v>1910</v>
      </c>
      <c r="B1041" s="11" t="s">
        <v>1468</v>
      </c>
      <c r="C1041" s="11" t="s">
        <v>2992</v>
      </c>
      <c r="D1041" s="12" t="s">
        <v>1152</v>
      </c>
      <c r="E1041" s="13">
        <v>1588.19</v>
      </c>
      <c r="F1041" s="14">
        <v>222.03999999999996</v>
      </c>
      <c r="G1041" s="15">
        <f>SUM(G1042:G1043)</f>
        <v>352641.70759999997</v>
      </c>
      <c r="H1041" s="16">
        <f t="shared" si="147"/>
        <v>1.8284652018116145E-3</v>
      </c>
    </row>
    <row r="1042" spans="1:11" outlineLevel="1" x14ac:dyDescent="0.2">
      <c r="A1042" s="29"/>
      <c r="B1042" s="30" t="s">
        <v>1087</v>
      </c>
      <c r="C1042" s="30" t="s">
        <v>2990</v>
      </c>
      <c r="D1042" s="34" t="s">
        <v>1152</v>
      </c>
      <c r="E1042" s="31">
        <v>1588.19</v>
      </c>
      <c r="F1042" s="31">
        <v>180.04</v>
      </c>
      <c r="G1042" s="32">
        <f t="shared" ref="G1042:G1043" si="159">F1042*E1042</f>
        <v>285937.72759999998</v>
      </c>
      <c r="H1042" s="33">
        <f t="shared" si="147"/>
        <v>1.4826016705736043E-3</v>
      </c>
      <c r="K1042" t="str">
        <f xml:space="preserve"> B1041 &amp; B1042</f>
        <v>Z000123004Z010502005</v>
      </c>
    </row>
    <row r="1043" spans="1:11" outlineLevel="1" x14ac:dyDescent="0.2">
      <c r="A1043" s="29"/>
      <c r="B1043" s="30" t="s">
        <v>1128</v>
      </c>
      <c r="C1043" s="30" t="s">
        <v>2993</v>
      </c>
      <c r="D1043" s="34" t="s">
        <v>1152</v>
      </c>
      <c r="E1043" s="31">
        <v>1588.19</v>
      </c>
      <c r="F1043" s="31">
        <v>42</v>
      </c>
      <c r="G1043" s="32">
        <f t="shared" si="159"/>
        <v>66703.98</v>
      </c>
      <c r="H1043" s="33">
        <f t="shared" si="147"/>
        <v>3.4586353123801031E-4</v>
      </c>
      <c r="K1043" t="str">
        <f xml:space="preserve"> B1041 &amp; B1043</f>
        <v>Z000123004Z040307029</v>
      </c>
    </row>
    <row r="1044" spans="1:11" ht="15" x14ac:dyDescent="0.2">
      <c r="A1044" s="17" t="s">
        <v>2038</v>
      </c>
      <c r="B1044" s="17" t="s">
        <v>328</v>
      </c>
      <c r="C1044" s="17" t="s">
        <v>19</v>
      </c>
      <c r="D1044" s="18"/>
      <c r="E1044" s="19"/>
      <c r="F1044" s="20"/>
      <c r="G1044" s="21">
        <f>SUM(G1045,G1048,G1051,G1054,G1057,G1060)</f>
        <v>2916020.0966000049</v>
      </c>
      <c r="H1044" s="22">
        <f t="shared" si="147"/>
        <v>1.5119712613416497E-2</v>
      </c>
    </row>
    <row r="1045" spans="1:11" outlineLevel="1" x14ac:dyDescent="0.2">
      <c r="A1045" s="11" t="s">
        <v>1791</v>
      </c>
      <c r="B1045" s="11" t="s">
        <v>1682</v>
      </c>
      <c r="C1045" s="11" t="s">
        <v>1487</v>
      </c>
      <c r="D1045" s="12" t="s">
        <v>1152</v>
      </c>
      <c r="E1045" s="13">
        <v>3069.68</v>
      </c>
      <c r="F1045" s="14">
        <v>70</v>
      </c>
      <c r="G1045" s="15">
        <f>SUM(G1046:G1047)</f>
        <v>214877.59999999998</v>
      </c>
      <c r="H1045" s="16">
        <f t="shared" si="147"/>
        <v>1.1141512923209182E-3</v>
      </c>
    </row>
    <row r="1046" spans="1:11" outlineLevel="1" x14ac:dyDescent="0.2">
      <c r="A1046" s="29"/>
      <c r="B1046" s="30" t="s">
        <v>497</v>
      </c>
      <c r="C1046" s="30" t="s">
        <v>1487</v>
      </c>
      <c r="D1046" s="34" t="s">
        <v>1152</v>
      </c>
      <c r="E1046" s="31">
        <v>3069.68</v>
      </c>
      <c r="F1046" s="31">
        <v>42</v>
      </c>
      <c r="G1046" s="32">
        <f t="shared" ref="G1046:G1047" si="160">F1046*E1046</f>
        <v>128926.56</v>
      </c>
      <c r="H1046" s="33">
        <f t="shared" si="147"/>
        <v>6.6849077539255094E-4</v>
      </c>
      <c r="K1046" t="str">
        <f xml:space="preserve"> B1045 &amp; B1046</f>
        <v>Z000122014Z010507014</v>
      </c>
    </row>
    <row r="1047" spans="1:11" outlineLevel="1" x14ac:dyDescent="0.2">
      <c r="A1047" s="29"/>
      <c r="B1047" s="30" t="s">
        <v>1126</v>
      </c>
      <c r="C1047" s="30" t="s">
        <v>2983</v>
      </c>
      <c r="D1047" s="34" t="s">
        <v>1152</v>
      </c>
      <c r="E1047" s="31">
        <v>3069.68</v>
      </c>
      <c r="F1047" s="31">
        <v>28</v>
      </c>
      <c r="G1047" s="32">
        <f t="shared" si="160"/>
        <v>85951.039999999994</v>
      </c>
      <c r="H1047" s="33">
        <f t="shared" si="147"/>
        <v>4.4566051692836731E-4</v>
      </c>
      <c r="K1047" t="str">
        <f xml:space="preserve"> B1045 &amp; B1047</f>
        <v>Z000122014Z040307027</v>
      </c>
    </row>
    <row r="1048" spans="1:11" outlineLevel="1" x14ac:dyDescent="0.2">
      <c r="A1048" s="11" t="s">
        <v>1797</v>
      </c>
      <c r="B1048" s="11" t="s">
        <v>1686</v>
      </c>
      <c r="C1048" s="11" t="s">
        <v>2987</v>
      </c>
      <c r="D1048" s="12" t="s">
        <v>1152</v>
      </c>
      <c r="E1048" s="13">
        <v>6463</v>
      </c>
      <c r="F1048" s="14">
        <v>75.47</v>
      </c>
      <c r="G1048" s="15">
        <f>SUM(G1049:G1050)</f>
        <v>487762.61</v>
      </c>
      <c r="H1048" s="16">
        <f t="shared" ref="H1048:H1105" si="161">G1048/$F$2</f>
        <v>2.5290739578128388E-3</v>
      </c>
    </row>
    <row r="1049" spans="1:11" outlineLevel="1" x14ac:dyDescent="0.2">
      <c r="A1049" s="29"/>
      <c r="B1049" s="30" t="s">
        <v>500</v>
      </c>
      <c r="C1049" s="30" t="s">
        <v>2985</v>
      </c>
      <c r="D1049" s="34" t="s">
        <v>1152</v>
      </c>
      <c r="E1049" s="31">
        <v>6463</v>
      </c>
      <c r="F1049" s="31">
        <v>27.47</v>
      </c>
      <c r="G1049" s="32">
        <f t="shared" ref="G1049:G1050" si="162">F1049*E1049</f>
        <v>177538.61</v>
      </c>
      <c r="H1049" s="33">
        <f t="shared" si="161"/>
        <v>9.2054672878122011E-4</v>
      </c>
      <c r="K1049" t="str">
        <f xml:space="preserve"> B1048 &amp; B1049</f>
        <v>Z000122015Z010507015</v>
      </c>
    </row>
    <row r="1050" spans="1:11" outlineLevel="1" x14ac:dyDescent="0.2">
      <c r="A1050" s="29"/>
      <c r="B1050" s="30" t="s">
        <v>1175</v>
      </c>
      <c r="C1050" s="30" t="s">
        <v>2988</v>
      </c>
      <c r="D1050" s="34" t="s">
        <v>1152</v>
      </c>
      <c r="E1050" s="31">
        <v>6463</v>
      </c>
      <c r="F1050" s="31">
        <v>48</v>
      </c>
      <c r="G1050" s="32">
        <f t="shared" si="162"/>
        <v>310224</v>
      </c>
      <c r="H1050" s="33">
        <f t="shared" si="161"/>
        <v>1.6085272290316188E-3</v>
      </c>
      <c r="K1050" t="str">
        <f xml:space="preserve"> B1048 &amp; B1050</f>
        <v>Z000122015Z040307032</v>
      </c>
    </row>
    <row r="1051" spans="1:11" outlineLevel="1" x14ac:dyDescent="0.2">
      <c r="A1051" s="11" t="s">
        <v>1800</v>
      </c>
      <c r="B1051" s="11" t="s">
        <v>1337</v>
      </c>
      <c r="C1051" s="11" t="s">
        <v>3007</v>
      </c>
      <c r="D1051" s="12" t="s">
        <v>1152</v>
      </c>
      <c r="E1051" s="13">
        <v>71.13</v>
      </c>
      <c r="F1051" s="14">
        <v>112</v>
      </c>
      <c r="G1051" s="15">
        <f>SUM(G1052:G1053)</f>
        <v>7966.5599999999995</v>
      </c>
      <c r="H1051" s="16">
        <f t="shared" si="161"/>
        <v>4.1307019062722845E-5</v>
      </c>
    </row>
    <row r="1052" spans="1:11" outlineLevel="1" x14ac:dyDescent="0.2">
      <c r="A1052" s="29"/>
      <c r="B1052" s="30" t="s">
        <v>558</v>
      </c>
      <c r="C1052" s="30" t="s">
        <v>3005</v>
      </c>
      <c r="D1052" s="34" t="s">
        <v>1152</v>
      </c>
      <c r="E1052" s="31">
        <v>71.13</v>
      </c>
      <c r="F1052" s="31">
        <v>67.2</v>
      </c>
      <c r="G1052" s="32">
        <f t="shared" ref="G1052:G1053" si="163">F1052*E1052</f>
        <v>4779.9359999999997</v>
      </c>
      <c r="H1052" s="33">
        <f t="shared" si="161"/>
        <v>2.4784211437633707E-5</v>
      </c>
      <c r="K1052" t="str">
        <f xml:space="preserve"> B1051 &amp; B1052</f>
        <v>Z000124006Z010506006</v>
      </c>
    </row>
    <row r="1053" spans="1:11" outlineLevel="1" x14ac:dyDescent="0.2">
      <c r="A1053" s="29"/>
      <c r="B1053" s="30" t="s">
        <v>1178</v>
      </c>
      <c r="C1053" s="30" t="s">
        <v>3008</v>
      </c>
      <c r="D1053" s="34" t="s">
        <v>1152</v>
      </c>
      <c r="E1053" s="31">
        <v>71.13</v>
      </c>
      <c r="F1053" s="31">
        <v>44.8</v>
      </c>
      <c r="G1053" s="32">
        <f t="shared" si="163"/>
        <v>3186.6239999999998</v>
      </c>
      <c r="H1053" s="33">
        <f t="shared" si="161"/>
        <v>1.6522807625089139E-5</v>
      </c>
      <c r="K1053" t="str">
        <f xml:space="preserve"> B1051 &amp; B1053</f>
        <v>Z000124006Z040307035</v>
      </c>
    </row>
    <row r="1054" spans="1:11" outlineLevel="1" x14ac:dyDescent="0.2">
      <c r="A1054" s="11" t="s">
        <v>1804</v>
      </c>
      <c r="B1054" s="11" t="s">
        <v>1476</v>
      </c>
      <c r="C1054" s="11" t="s">
        <v>3002</v>
      </c>
      <c r="D1054" s="12" t="s">
        <v>1152</v>
      </c>
      <c r="E1054" s="13">
        <v>3097.49</v>
      </c>
      <c r="F1054" s="14">
        <v>248.05000000000004</v>
      </c>
      <c r="G1054" s="15">
        <f>SUM(G1055:G1056)</f>
        <v>768332.39450000005</v>
      </c>
      <c r="H1054" s="16">
        <f t="shared" si="161"/>
        <v>3.9838425702083454E-3</v>
      </c>
    </row>
    <row r="1055" spans="1:11" outlineLevel="1" x14ac:dyDescent="0.2">
      <c r="A1055" s="29"/>
      <c r="B1055" s="30" t="s">
        <v>1099</v>
      </c>
      <c r="C1055" s="30" t="s">
        <v>3000</v>
      </c>
      <c r="D1055" s="34" t="s">
        <v>1152</v>
      </c>
      <c r="E1055" s="31">
        <v>3097.49</v>
      </c>
      <c r="F1055" s="31">
        <v>237.81</v>
      </c>
      <c r="G1055" s="32">
        <f t="shared" ref="G1055:G1056" si="164">F1055*E1055</f>
        <v>736614.0969</v>
      </c>
      <c r="H1055" s="33">
        <f t="shared" si="161"/>
        <v>3.8193815828310683E-3</v>
      </c>
      <c r="K1055" t="str">
        <f xml:space="preserve"> B1054 &amp; B1055</f>
        <v>Z000123007Z010502008</v>
      </c>
    </row>
    <row r="1056" spans="1:11" outlineLevel="1" x14ac:dyDescent="0.2">
      <c r="A1056" s="29"/>
      <c r="B1056" s="30" t="s">
        <v>1180</v>
      </c>
      <c r="C1056" s="30" t="s">
        <v>3003</v>
      </c>
      <c r="D1056" s="34" t="s">
        <v>1152</v>
      </c>
      <c r="E1056" s="31">
        <v>3097.49</v>
      </c>
      <c r="F1056" s="31">
        <v>10.24</v>
      </c>
      <c r="G1056" s="32">
        <f t="shared" si="164"/>
        <v>31718.297599999998</v>
      </c>
      <c r="H1056" s="33">
        <f t="shared" si="161"/>
        <v>1.6446098737727655E-4</v>
      </c>
      <c r="K1056" t="str">
        <f xml:space="preserve"> B1054 &amp; B1056</f>
        <v>Z000123007Z040307037</v>
      </c>
    </row>
    <row r="1057" spans="1:11" outlineLevel="1" x14ac:dyDescent="0.2">
      <c r="A1057" s="11" t="s">
        <v>1807</v>
      </c>
      <c r="B1057" s="11" t="s">
        <v>1475</v>
      </c>
      <c r="C1057" s="11" t="s">
        <v>2997</v>
      </c>
      <c r="D1057" s="12" t="s">
        <v>1152</v>
      </c>
      <c r="E1057" s="13">
        <v>3833.4777559524</v>
      </c>
      <c r="F1057" s="14">
        <v>252</v>
      </c>
      <c r="G1057" s="15">
        <f>SUM(G1058:G1059)</f>
        <v>966036.39450000483</v>
      </c>
      <c r="H1057" s="16">
        <f t="shared" si="161"/>
        <v>5.0089478724688885E-3</v>
      </c>
    </row>
    <row r="1058" spans="1:11" outlineLevel="1" x14ac:dyDescent="0.2">
      <c r="A1058" s="29"/>
      <c r="B1058" s="30" t="s">
        <v>1091</v>
      </c>
      <c r="C1058" s="30" t="s">
        <v>2995</v>
      </c>
      <c r="D1058" s="34" t="s">
        <v>1152</v>
      </c>
      <c r="E1058" s="31">
        <v>3833.4777559524</v>
      </c>
      <c r="F1058" s="31">
        <v>150</v>
      </c>
      <c r="G1058" s="32">
        <f t="shared" ref="G1058:G1059" si="165">F1058*E1058</f>
        <v>575021.66339285998</v>
      </c>
      <c r="H1058" s="33">
        <f t="shared" si="161"/>
        <v>2.9815165907552906E-3</v>
      </c>
      <c r="K1058" t="str">
        <f xml:space="preserve"> B1057 &amp; B1058</f>
        <v>Z000123005Z010502006</v>
      </c>
    </row>
    <row r="1059" spans="1:11" outlineLevel="1" x14ac:dyDescent="0.2">
      <c r="A1059" s="29"/>
      <c r="B1059" s="30" t="s">
        <v>1172</v>
      </c>
      <c r="C1059" s="30" t="s">
        <v>2998</v>
      </c>
      <c r="D1059" s="34" t="s">
        <v>1152</v>
      </c>
      <c r="E1059" s="31">
        <v>3833.4777559524</v>
      </c>
      <c r="F1059" s="31">
        <v>102</v>
      </c>
      <c r="G1059" s="32">
        <f t="shared" si="165"/>
        <v>391014.73110714479</v>
      </c>
      <c r="H1059" s="33">
        <f t="shared" si="161"/>
        <v>2.0274312817135979E-3</v>
      </c>
      <c r="K1059" t="str">
        <f xml:space="preserve"> B1057 &amp; B1059</f>
        <v>Z000123005Z040307030</v>
      </c>
    </row>
    <row r="1060" spans="1:11" outlineLevel="1" x14ac:dyDescent="0.2">
      <c r="A1060" s="11" t="s">
        <v>1809</v>
      </c>
      <c r="B1060" s="11" t="s">
        <v>1468</v>
      </c>
      <c r="C1060" s="11" t="s">
        <v>2992</v>
      </c>
      <c r="D1060" s="12" t="s">
        <v>1152</v>
      </c>
      <c r="E1060" s="13">
        <v>2121.44</v>
      </c>
      <c r="F1060" s="14">
        <v>222.04</v>
      </c>
      <c r="G1060" s="15">
        <f>SUM(G1061:G1062)</f>
        <v>471044.53759999998</v>
      </c>
      <c r="H1060" s="16">
        <f t="shared" si="161"/>
        <v>2.4423899015427824E-3</v>
      </c>
    </row>
    <row r="1061" spans="1:11" outlineLevel="1" x14ac:dyDescent="0.2">
      <c r="A1061" s="29"/>
      <c r="B1061" s="30" t="s">
        <v>1087</v>
      </c>
      <c r="C1061" s="30" t="s">
        <v>2990</v>
      </c>
      <c r="D1061" s="34" t="s">
        <v>1152</v>
      </c>
      <c r="E1061" s="31">
        <v>2121.44</v>
      </c>
      <c r="F1061" s="31">
        <v>180.04</v>
      </c>
      <c r="G1061" s="32">
        <f t="shared" ref="G1061:G1062" si="166">F1061*E1061</f>
        <v>381944.0576</v>
      </c>
      <c r="H1061" s="33">
        <f t="shared" si="161"/>
        <v>1.9803993779218274E-3</v>
      </c>
      <c r="K1061" t="str">
        <f xml:space="preserve"> B1060 &amp; B1061</f>
        <v>Z000123004Z010502005</v>
      </c>
    </row>
    <row r="1062" spans="1:11" outlineLevel="1" x14ac:dyDescent="0.2">
      <c r="A1062" s="29"/>
      <c r="B1062" s="30" t="s">
        <v>1128</v>
      </c>
      <c r="C1062" s="30" t="s">
        <v>2993</v>
      </c>
      <c r="D1062" s="34" t="s">
        <v>1152</v>
      </c>
      <c r="E1062" s="31">
        <v>2121.44</v>
      </c>
      <c r="F1062" s="31">
        <v>42</v>
      </c>
      <c r="G1062" s="32">
        <f t="shared" si="166"/>
        <v>89100.479999999996</v>
      </c>
      <c r="H1062" s="33">
        <f t="shared" si="161"/>
        <v>4.6199052362095504E-4</v>
      </c>
      <c r="K1062" t="str">
        <f xml:space="preserve"> B1060 &amp; B1062</f>
        <v>Z000123004Z040307029</v>
      </c>
    </row>
    <row r="1063" spans="1:11" ht="18.75" x14ac:dyDescent="0.2">
      <c r="A1063" s="5">
        <v>13</v>
      </c>
      <c r="B1063" s="5" t="s">
        <v>328</v>
      </c>
      <c r="C1063" s="5" t="s">
        <v>1772</v>
      </c>
      <c r="D1063" s="6"/>
      <c r="E1063" s="7"/>
      <c r="F1063" s="8"/>
      <c r="G1063" s="9">
        <f>SUM(G1064)</f>
        <v>3664725.1705439999</v>
      </c>
      <c r="H1063" s="10">
        <f t="shared" si="161"/>
        <v>1.9001786527598017E-2</v>
      </c>
    </row>
    <row r="1064" spans="1:11" ht="15" x14ac:dyDescent="0.2">
      <c r="A1064" s="17" t="s">
        <v>2039</v>
      </c>
      <c r="B1064" s="17" t="s">
        <v>328</v>
      </c>
      <c r="C1064" s="17" t="s">
        <v>685</v>
      </c>
      <c r="D1064" s="18"/>
      <c r="E1064" s="19"/>
      <c r="F1064" s="20"/>
      <c r="G1064" s="21">
        <f>SUM(G1065,G1094,G1176)</f>
        <v>3664725.1705439999</v>
      </c>
      <c r="H1064" s="22">
        <f t="shared" si="161"/>
        <v>1.9001786527598017E-2</v>
      </c>
    </row>
    <row r="1065" spans="1:11" x14ac:dyDescent="0.2">
      <c r="A1065" s="23" t="s">
        <v>1848</v>
      </c>
      <c r="B1065" s="23" t="s">
        <v>328</v>
      </c>
      <c r="C1065" s="23" t="s">
        <v>401</v>
      </c>
      <c r="D1065" s="24"/>
      <c r="E1065" s="25"/>
      <c r="F1065" s="26"/>
      <c r="G1065" s="27">
        <f>SUM(G1066,G1074,G1082,G1088)</f>
        <v>1499342.2893119999</v>
      </c>
      <c r="H1065" s="28">
        <f t="shared" si="161"/>
        <v>7.774166079983995E-3</v>
      </c>
    </row>
    <row r="1066" spans="1:11" outlineLevel="1" x14ac:dyDescent="0.2">
      <c r="A1066" s="11" t="s">
        <v>1045</v>
      </c>
      <c r="B1066" s="11" t="s">
        <v>1574</v>
      </c>
      <c r="C1066" s="11" t="s">
        <v>3023</v>
      </c>
      <c r="D1066" s="12" t="s">
        <v>1781</v>
      </c>
      <c r="E1066" s="13">
        <v>312</v>
      </c>
      <c r="F1066" s="14">
        <v>866.51349200000004</v>
      </c>
      <c r="G1066" s="15">
        <f>SUM(G1067:G1073)</f>
        <v>270352.20950400003</v>
      </c>
      <c r="H1066" s="16">
        <f t="shared" si="161"/>
        <v>1.4017899660118006E-3</v>
      </c>
    </row>
    <row r="1067" spans="1:11" outlineLevel="1" x14ac:dyDescent="0.2">
      <c r="A1067" s="29"/>
      <c r="B1067" s="30" t="s">
        <v>179</v>
      </c>
      <c r="C1067" s="30" t="s">
        <v>3021</v>
      </c>
      <c r="D1067" s="34" t="s">
        <v>1781</v>
      </c>
      <c r="E1067" s="31">
        <v>312</v>
      </c>
      <c r="F1067" s="31">
        <v>801.73</v>
      </c>
      <c r="G1067" s="32">
        <f t="shared" ref="G1067:G1073" si="167">F1067*E1067</f>
        <v>250139.76</v>
      </c>
      <c r="H1067" s="33">
        <f t="shared" si="161"/>
        <v>1.2969873866091411E-3</v>
      </c>
      <c r="K1067" t="str">
        <f xml:space="preserve"> B1066 &amp; B1067</f>
        <v>Z000131005Z020101010</v>
      </c>
    </row>
    <row r="1068" spans="1:11" outlineLevel="1" x14ac:dyDescent="0.2">
      <c r="A1068" s="29"/>
      <c r="B1068" s="30" t="s">
        <v>1832</v>
      </c>
      <c r="C1068" s="30" t="s">
        <v>3013</v>
      </c>
      <c r="D1068" s="34" t="s">
        <v>1781</v>
      </c>
      <c r="E1068" s="31">
        <v>312</v>
      </c>
      <c r="F1068" s="31">
        <v>10.83</v>
      </c>
      <c r="G1068" s="32">
        <f t="shared" si="167"/>
        <v>3378.96</v>
      </c>
      <c r="H1068" s="33">
        <f t="shared" si="161"/>
        <v>1.7520079574142165E-5</v>
      </c>
      <c r="K1068" t="str">
        <f xml:space="preserve"> B1066 &amp; B1068</f>
        <v>Z000131005Z020105038</v>
      </c>
    </row>
    <row r="1069" spans="1:11" outlineLevel="1" x14ac:dyDescent="0.2">
      <c r="A1069" s="29"/>
      <c r="B1069" s="30" t="s">
        <v>708</v>
      </c>
      <c r="C1069" s="30" t="s">
        <v>865</v>
      </c>
      <c r="D1069" s="34" t="s">
        <v>1052</v>
      </c>
      <c r="E1069" s="31">
        <v>27.487199999999998</v>
      </c>
      <c r="F1069" s="31">
        <v>13.32</v>
      </c>
      <c r="G1069" s="32">
        <f t="shared" si="167"/>
        <v>366.129504</v>
      </c>
      <c r="H1069" s="33">
        <f t="shared" si="161"/>
        <v>1.898400112614888E-6</v>
      </c>
      <c r="K1069" t="str">
        <f xml:space="preserve"> B1066 &amp; B1069</f>
        <v>Z000131005Z020202002</v>
      </c>
    </row>
    <row r="1070" spans="1:11" outlineLevel="1" x14ac:dyDescent="0.2">
      <c r="A1070" s="29"/>
      <c r="B1070" s="30" t="s">
        <v>880</v>
      </c>
      <c r="C1070" s="30" t="s">
        <v>3016</v>
      </c>
      <c r="D1070" s="34" t="s">
        <v>1781</v>
      </c>
      <c r="E1070" s="31">
        <v>624</v>
      </c>
      <c r="F1070" s="31">
        <v>26.39</v>
      </c>
      <c r="G1070" s="32">
        <f t="shared" si="167"/>
        <v>16467.36</v>
      </c>
      <c r="H1070" s="33">
        <f t="shared" si="161"/>
        <v>8.538409971590244E-5</v>
      </c>
      <c r="K1070" t="str">
        <f xml:space="preserve"> B1066 &amp; B1070</f>
        <v>Z000131005Z030201003</v>
      </c>
    </row>
    <row r="1071" spans="1:11" outlineLevel="1" x14ac:dyDescent="0.2">
      <c r="A1071" s="29"/>
      <c r="B1071" s="30" t="s">
        <v>950</v>
      </c>
      <c r="C1071" s="30" t="s">
        <v>1391</v>
      </c>
      <c r="D1071" s="34" t="s">
        <v>151</v>
      </c>
      <c r="E1071" s="31">
        <v>0</v>
      </c>
      <c r="F1071" s="31">
        <v>15.0943</v>
      </c>
      <c r="G1071" s="32">
        <f t="shared" si="167"/>
        <v>0</v>
      </c>
      <c r="H1071" s="33">
        <f t="shared" si="161"/>
        <v>0</v>
      </c>
      <c r="K1071" t="str">
        <f xml:space="preserve"> B1066 &amp; B1071</f>
        <v>Z000131005Z040201008</v>
      </c>
    </row>
    <row r="1072" spans="1:11" outlineLevel="1" x14ac:dyDescent="0.2">
      <c r="A1072" s="29"/>
      <c r="B1072" s="30" t="s">
        <v>801</v>
      </c>
      <c r="C1072" s="30" t="s">
        <v>402</v>
      </c>
      <c r="D1072" s="34" t="s">
        <v>151</v>
      </c>
      <c r="E1072" s="31">
        <v>0</v>
      </c>
      <c r="F1072" s="31">
        <v>10.3</v>
      </c>
      <c r="G1072" s="32">
        <f t="shared" si="167"/>
        <v>0</v>
      </c>
      <c r="H1072" s="33">
        <f t="shared" si="161"/>
        <v>0</v>
      </c>
      <c r="K1072" t="str">
        <f xml:space="preserve"> B1066 &amp; B1072</f>
        <v>Z000131005Z040202006</v>
      </c>
    </row>
    <row r="1073" spans="1:11" outlineLevel="1" x14ac:dyDescent="0.2">
      <c r="A1073" s="29"/>
      <c r="B1073" s="30" t="s">
        <v>498</v>
      </c>
      <c r="C1073" s="30" t="s">
        <v>773</v>
      </c>
      <c r="D1073" s="34" t="s">
        <v>84</v>
      </c>
      <c r="E1073" s="31">
        <v>374.4</v>
      </c>
      <c r="F1073" s="31">
        <v>0</v>
      </c>
      <c r="G1073" s="32">
        <f t="shared" si="167"/>
        <v>0</v>
      </c>
      <c r="H1073" s="33">
        <f t="shared" si="161"/>
        <v>0</v>
      </c>
      <c r="K1073" t="str">
        <f xml:space="preserve"> B1066 &amp; B1073</f>
        <v>Z000131005Z040401001</v>
      </c>
    </row>
    <row r="1074" spans="1:11" outlineLevel="1" x14ac:dyDescent="0.2">
      <c r="A1074" s="11" t="s">
        <v>1050</v>
      </c>
      <c r="B1074" s="11" t="s">
        <v>1566</v>
      </c>
      <c r="C1074" s="11" t="s">
        <v>3012</v>
      </c>
      <c r="D1074" s="12" t="s">
        <v>1781</v>
      </c>
      <c r="E1074" s="13">
        <v>24</v>
      </c>
      <c r="F1074" s="14">
        <v>1071.8734919999999</v>
      </c>
      <c r="G1074" s="15">
        <f>SUM(G1075:G1081)</f>
        <v>25724.963808</v>
      </c>
      <c r="H1074" s="16">
        <f t="shared" si="161"/>
        <v>1.3338524663153374E-4</v>
      </c>
    </row>
    <row r="1075" spans="1:11" outlineLevel="1" x14ac:dyDescent="0.2">
      <c r="A1075" s="29"/>
      <c r="B1075" s="30" t="s">
        <v>147</v>
      </c>
      <c r="C1075" s="30" t="s">
        <v>3010</v>
      </c>
      <c r="D1075" s="34" t="s">
        <v>1781</v>
      </c>
      <c r="E1075" s="31">
        <v>24</v>
      </c>
      <c r="F1075" s="31">
        <v>1007.09</v>
      </c>
      <c r="G1075" s="32">
        <f t="shared" ref="G1075:G1081" si="168">F1075*E1075</f>
        <v>24170.16</v>
      </c>
      <c r="H1075" s="33">
        <f t="shared" si="161"/>
        <v>1.2532350975440608E-4</v>
      </c>
      <c r="K1075" t="str">
        <f xml:space="preserve"> B1074 &amp; B1075</f>
        <v>Z000131004Z020101005</v>
      </c>
    </row>
    <row r="1076" spans="1:11" outlineLevel="1" x14ac:dyDescent="0.2">
      <c r="A1076" s="29"/>
      <c r="B1076" s="30" t="s">
        <v>1832</v>
      </c>
      <c r="C1076" s="30" t="s">
        <v>3013</v>
      </c>
      <c r="D1076" s="34" t="s">
        <v>1781</v>
      </c>
      <c r="E1076" s="31">
        <v>24</v>
      </c>
      <c r="F1076" s="31">
        <v>10.83</v>
      </c>
      <c r="G1076" s="32">
        <f t="shared" si="168"/>
        <v>259.92</v>
      </c>
      <c r="H1076" s="33">
        <f t="shared" si="161"/>
        <v>1.3476984287801665E-6</v>
      </c>
      <c r="K1076" t="str">
        <f xml:space="preserve"> B1074 &amp; B1076</f>
        <v>Z000131004Z020105038</v>
      </c>
    </row>
    <row r="1077" spans="1:11" outlineLevel="1" x14ac:dyDescent="0.2">
      <c r="A1077" s="29"/>
      <c r="B1077" s="30" t="s">
        <v>708</v>
      </c>
      <c r="C1077" s="30" t="s">
        <v>865</v>
      </c>
      <c r="D1077" s="34" t="s">
        <v>1052</v>
      </c>
      <c r="E1077" s="31">
        <v>2.1143999999999998</v>
      </c>
      <c r="F1077" s="31">
        <v>13.32</v>
      </c>
      <c r="G1077" s="32">
        <f t="shared" si="168"/>
        <v>28.163808</v>
      </c>
      <c r="H1077" s="33">
        <f t="shared" si="161"/>
        <v>1.4603077789345292E-7</v>
      </c>
      <c r="K1077" t="str">
        <f xml:space="preserve"> B1074 &amp; B1077</f>
        <v>Z000131004Z020202002</v>
      </c>
    </row>
    <row r="1078" spans="1:11" outlineLevel="1" x14ac:dyDescent="0.2">
      <c r="A1078" s="29"/>
      <c r="B1078" s="30" t="s">
        <v>880</v>
      </c>
      <c r="C1078" s="30" t="s">
        <v>3016</v>
      </c>
      <c r="D1078" s="34" t="s">
        <v>1781</v>
      </c>
      <c r="E1078" s="31">
        <v>48</v>
      </c>
      <c r="F1078" s="31">
        <v>26.39</v>
      </c>
      <c r="G1078" s="32">
        <f t="shared" si="168"/>
        <v>1266.72</v>
      </c>
      <c r="H1078" s="33">
        <f t="shared" si="161"/>
        <v>6.5680076704540339E-6</v>
      </c>
      <c r="K1078" t="str">
        <f xml:space="preserve"> B1074 &amp; B1078</f>
        <v>Z000131004Z030201003</v>
      </c>
    </row>
    <row r="1079" spans="1:11" outlineLevel="1" x14ac:dyDescent="0.2">
      <c r="A1079" s="29"/>
      <c r="B1079" s="30" t="s">
        <v>950</v>
      </c>
      <c r="C1079" s="30" t="s">
        <v>1391</v>
      </c>
      <c r="D1079" s="34" t="s">
        <v>151</v>
      </c>
      <c r="E1079" s="31">
        <v>0</v>
      </c>
      <c r="F1079" s="31">
        <v>15.0943</v>
      </c>
      <c r="G1079" s="32">
        <f t="shared" si="168"/>
        <v>0</v>
      </c>
      <c r="H1079" s="33">
        <f t="shared" si="161"/>
        <v>0</v>
      </c>
      <c r="K1079" t="str">
        <f xml:space="preserve"> B1074 &amp; B1079</f>
        <v>Z000131004Z040201008</v>
      </c>
    </row>
    <row r="1080" spans="1:11" outlineLevel="1" x14ac:dyDescent="0.2">
      <c r="A1080" s="29"/>
      <c r="B1080" s="30" t="s">
        <v>801</v>
      </c>
      <c r="C1080" s="30" t="s">
        <v>402</v>
      </c>
      <c r="D1080" s="34" t="s">
        <v>151</v>
      </c>
      <c r="E1080" s="31">
        <v>0</v>
      </c>
      <c r="F1080" s="31">
        <v>10.3</v>
      </c>
      <c r="G1080" s="32">
        <f t="shared" si="168"/>
        <v>0</v>
      </c>
      <c r="H1080" s="33">
        <f t="shared" si="161"/>
        <v>0</v>
      </c>
      <c r="K1080" t="str">
        <f xml:space="preserve"> B1074 &amp; B1080</f>
        <v>Z000131004Z040202006</v>
      </c>
    </row>
    <row r="1081" spans="1:11" outlineLevel="1" x14ac:dyDescent="0.2">
      <c r="A1081" s="29"/>
      <c r="B1081" s="30" t="s">
        <v>498</v>
      </c>
      <c r="C1081" s="30" t="s">
        <v>773</v>
      </c>
      <c r="D1081" s="34" t="s">
        <v>84</v>
      </c>
      <c r="E1081" s="31">
        <v>28.799999999999997</v>
      </c>
      <c r="F1081" s="31">
        <v>0</v>
      </c>
      <c r="G1081" s="32">
        <f t="shared" si="168"/>
        <v>0</v>
      </c>
      <c r="H1081" s="33">
        <f t="shared" si="161"/>
        <v>0</v>
      </c>
      <c r="K1081" t="str">
        <f xml:space="preserve"> B1074 &amp; B1081</f>
        <v>Z000131004Z040401001</v>
      </c>
    </row>
    <row r="1082" spans="1:11" outlineLevel="1" x14ac:dyDescent="0.2">
      <c r="A1082" s="11" t="s">
        <v>1056</v>
      </c>
      <c r="B1082" s="11" t="s">
        <v>633</v>
      </c>
      <c r="C1082" s="11" t="s">
        <v>3159</v>
      </c>
      <c r="D1082" s="12" t="s">
        <v>1781</v>
      </c>
      <c r="E1082" s="13">
        <v>108</v>
      </c>
      <c r="F1082" s="14">
        <v>9414.7749999999996</v>
      </c>
      <c r="G1082" s="15">
        <f>SUM(G1083:G1087)</f>
        <v>1016795.7</v>
      </c>
      <c r="H1082" s="16">
        <f t="shared" si="161"/>
        <v>5.2721374549108552E-3</v>
      </c>
    </row>
    <row r="1083" spans="1:11" outlineLevel="1" x14ac:dyDescent="0.2">
      <c r="A1083" s="29"/>
      <c r="B1083" s="30" t="s">
        <v>1233</v>
      </c>
      <c r="C1083" s="30" t="s">
        <v>3157</v>
      </c>
      <c r="D1083" s="34" t="s">
        <v>1781</v>
      </c>
      <c r="E1083" s="31">
        <v>108</v>
      </c>
      <c r="F1083" s="31">
        <v>9412.7999999999993</v>
      </c>
      <c r="G1083" s="32">
        <f t="shared" ref="G1083:G1087" si="169">F1083*E1083</f>
        <v>1016582.3999999999</v>
      </c>
      <c r="H1083" s="33">
        <f t="shared" si="161"/>
        <v>5.2710314835548271E-3</v>
      </c>
      <c r="K1083" t="str">
        <f xml:space="preserve"> B1082 &amp; B1083</f>
        <v>Z000138002Z020108005</v>
      </c>
    </row>
    <row r="1084" spans="1:11" outlineLevel="1" x14ac:dyDescent="0.2">
      <c r="A1084" s="29"/>
      <c r="B1084" s="30" t="s">
        <v>1649</v>
      </c>
      <c r="C1084" s="30" t="s">
        <v>1145</v>
      </c>
      <c r="D1084" s="34" t="s">
        <v>1781</v>
      </c>
      <c r="E1084" s="31">
        <v>54</v>
      </c>
      <c r="F1084" s="31">
        <v>3.95</v>
      </c>
      <c r="G1084" s="32">
        <f t="shared" si="169"/>
        <v>213.3</v>
      </c>
      <c r="H1084" s="33">
        <f t="shared" si="161"/>
        <v>1.1059713560280452E-6</v>
      </c>
      <c r="K1084" t="str">
        <f xml:space="preserve"> B1082 &amp; B1084</f>
        <v>Z000138002Z030105002</v>
      </c>
    </row>
    <row r="1085" spans="1:11" outlineLevel="1" x14ac:dyDescent="0.2">
      <c r="A1085" s="29"/>
      <c r="B1085" s="30" t="s">
        <v>950</v>
      </c>
      <c r="C1085" s="30" t="s">
        <v>1391</v>
      </c>
      <c r="D1085" s="34" t="s">
        <v>151</v>
      </c>
      <c r="E1085" s="31">
        <v>0</v>
      </c>
      <c r="F1085" s="31">
        <v>15.0943</v>
      </c>
      <c r="G1085" s="32">
        <f t="shared" si="169"/>
        <v>0</v>
      </c>
      <c r="H1085" s="33">
        <f t="shared" si="161"/>
        <v>0</v>
      </c>
      <c r="K1085" t="str">
        <f xml:space="preserve"> B1082 &amp; B1085</f>
        <v>Z000138002Z040201008</v>
      </c>
    </row>
    <row r="1086" spans="1:11" outlineLevel="1" x14ac:dyDescent="0.2">
      <c r="A1086" s="29"/>
      <c r="B1086" s="30" t="s">
        <v>801</v>
      </c>
      <c r="C1086" s="30" t="s">
        <v>402</v>
      </c>
      <c r="D1086" s="34" t="s">
        <v>151</v>
      </c>
      <c r="E1086" s="31">
        <v>0</v>
      </c>
      <c r="F1086" s="31">
        <v>10.3</v>
      </c>
      <c r="G1086" s="32">
        <f t="shared" si="169"/>
        <v>0</v>
      </c>
      <c r="H1086" s="33">
        <f t="shared" si="161"/>
        <v>0</v>
      </c>
      <c r="K1086" t="str">
        <f xml:space="preserve"> B1082 &amp; B1086</f>
        <v>Z000138002Z040202006</v>
      </c>
    </row>
    <row r="1087" spans="1:11" outlineLevel="1" x14ac:dyDescent="0.2">
      <c r="A1087" s="29"/>
      <c r="B1087" s="30" t="s">
        <v>498</v>
      </c>
      <c r="C1087" s="30" t="s">
        <v>773</v>
      </c>
      <c r="D1087" s="34" t="s">
        <v>84</v>
      </c>
      <c r="E1087" s="31">
        <v>129.6</v>
      </c>
      <c r="F1087" s="31">
        <v>0</v>
      </c>
      <c r="G1087" s="32">
        <f t="shared" si="169"/>
        <v>0</v>
      </c>
      <c r="H1087" s="33">
        <f t="shared" si="161"/>
        <v>0</v>
      </c>
      <c r="K1087" t="str">
        <f xml:space="preserve"> B1082 &amp; B1087</f>
        <v>Z000138002Z040401001</v>
      </c>
    </row>
    <row r="1088" spans="1:11" outlineLevel="1" x14ac:dyDescent="0.2">
      <c r="A1088" s="11" t="s">
        <v>1059</v>
      </c>
      <c r="B1088" s="11" t="s">
        <v>1439</v>
      </c>
      <c r="C1088" s="11" t="s">
        <v>3032</v>
      </c>
      <c r="D1088" s="12" t="s">
        <v>1781</v>
      </c>
      <c r="E1088" s="13">
        <v>336</v>
      </c>
      <c r="F1088" s="14">
        <v>554.96849999999995</v>
      </c>
      <c r="G1088" s="15">
        <f>SUM(G1089:G1093)</f>
        <v>186469.416</v>
      </c>
      <c r="H1088" s="16">
        <f t="shared" si="161"/>
        <v>9.6685341242980618E-4</v>
      </c>
    </row>
    <row r="1089" spans="1:11" outlineLevel="1" x14ac:dyDescent="0.2">
      <c r="A1089" s="29"/>
      <c r="B1089" s="30" t="s">
        <v>144</v>
      </c>
      <c r="C1089" s="30" t="s">
        <v>3030</v>
      </c>
      <c r="D1089" s="34" t="s">
        <v>1781</v>
      </c>
      <c r="E1089" s="31">
        <v>336</v>
      </c>
      <c r="F1089" s="31">
        <v>536.52</v>
      </c>
      <c r="G1089" s="32">
        <f t="shared" ref="G1089:G1093" si="170">F1089*E1089</f>
        <v>180270.72</v>
      </c>
      <c r="H1089" s="33">
        <f t="shared" si="161"/>
        <v>9.3471285818355393E-4</v>
      </c>
      <c r="K1089" t="str">
        <f xml:space="preserve"> B1088 &amp; B1089</f>
        <v>Z000132007Z020102021</v>
      </c>
    </row>
    <row r="1090" spans="1:11" outlineLevel="1" x14ac:dyDescent="0.2">
      <c r="A1090" s="29"/>
      <c r="B1090" s="30" t="s">
        <v>637</v>
      </c>
      <c r="C1090" s="30" t="s">
        <v>1256</v>
      </c>
      <c r="D1090" s="34" t="s">
        <v>1052</v>
      </c>
      <c r="E1090" s="31">
        <v>177.10560000000001</v>
      </c>
      <c r="F1090" s="31">
        <v>35</v>
      </c>
      <c r="G1090" s="32">
        <f t="shared" si="170"/>
        <v>6198.6959999999999</v>
      </c>
      <c r="H1090" s="33">
        <f t="shared" si="161"/>
        <v>3.2140554246252321E-5</v>
      </c>
      <c r="K1090" t="str">
        <f xml:space="preserve"> B1088 &amp; B1090</f>
        <v>Z000132007Z030203008</v>
      </c>
    </row>
    <row r="1091" spans="1:11" outlineLevel="1" x14ac:dyDescent="0.2">
      <c r="A1091" s="29"/>
      <c r="B1091" s="30" t="s">
        <v>1006</v>
      </c>
      <c r="C1091" s="30" t="s">
        <v>699</v>
      </c>
      <c r="D1091" s="34" t="s">
        <v>151</v>
      </c>
      <c r="E1091" s="31">
        <v>0</v>
      </c>
      <c r="F1091" s="31">
        <v>28.988</v>
      </c>
      <c r="G1091" s="32">
        <f t="shared" si="170"/>
        <v>0</v>
      </c>
      <c r="H1091" s="33">
        <f t="shared" si="161"/>
        <v>0</v>
      </c>
      <c r="K1091" t="str">
        <f xml:space="preserve"> B1088 &amp; B1091</f>
        <v>Z000132007Z040201011</v>
      </c>
    </row>
    <row r="1092" spans="1:11" outlineLevel="1" x14ac:dyDescent="0.2">
      <c r="A1092" s="29"/>
      <c r="B1092" s="30" t="s">
        <v>801</v>
      </c>
      <c r="C1092" s="30" t="s">
        <v>402</v>
      </c>
      <c r="D1092" s="34" t="s">
        <v>151</v>
      </c>
      <c r="E1092" s="31">
        <v>0</v>
      </c>
      <c r="F1092" s="31">
        <v>10.3</v>
      </c>
      <c r="G1092" s="32">
        <f t="shared" si="170"/>
        <v>0</v>
      </c>
      <c r="H1092" s="33">
        <f t="shared" si="161"/>
        <v>0</v>
      </c>
      <c r="K1092" t="str">
        <f xml:space="preserve"> B1088 &amp; B1092</f>
        <v>Z000132007Z040202006</v>
      </c>
    </row>
    <row r="1093" spans="1:11" outlineLevel="1" x14ac:dyDescent="0.2">
      <c r="A1093" s="29"/>
      <c r="B1093" s="30" t="s">
        <v>498</v>
      </c>
      <c r="C1093" s="30" t="s">
        <v>773</v>
      </c>
      <c r="D1093" s="34" t="s">
        <v>84</v>
      </c>
      <c r="E1093" s="31">
        <v>403.2</v>
      </c>
      <c r="F1093" s="31">
        <v>0</v>
      </c>
      <c r="G1093" s="32">
        <f t="shared" si="170"/>
        <v>0</v>
      </c>
      <c r="H1093" s="33">
        <f t="shared" si="161"/>
        <v>0</v>
      </c>
      <c r="K1093" t="str">
        <f xml:space="preserve"> B1088 &amp; B1093</f>
        <v>Z000132007Z040401001</v>
      </c>
    </row>
    <row r="1094" spans="1:11" x14ac:dyDescent="0.2">
      <c r="A1094" s="23" t="s">
        <v>1852</v>
      </c>
      <c r="B1094" s="23" t="s">
        <v>328</v>
      </c>
      <c r="C1094" s="23" t="s">
        <v>1565</v>
      </c>
      <c r="D1094" s="24"/>
      <c r="E1094" s="25"/>
      <c r="F1094" s="26"/>
      <c r="G1094" s="27">
        <f>SUM(G1095,G1101,G1106,G1111,G1117,G1123,G1129,G1135,G1143,G1151,G1159,G1165,G1170)</f>
        <v>1872939.0868319999</v>
      </c>
      <c r="H1094" s="28">
        <f t="shared" si="161"/>
        <v>9.7112844895523472E-3</v>
      </c>
    </row>
    <row r="1095" spans="1:11" outlineLevel="1" x14ac:dyDescent="0.2">
      <c r="A1095" s="11" t="s">
        <v>905</v>
      </c>
      <c r="B1095" s="11" t="s">
        <v>1176</v>
      </c>
      <c r="C1095" s="11" t="s">
        <v>3053</v>
      </c>
      <c r="D1095" s="12" t="s">
        <v>1781</v>
      </c>
      <c r="E1095" s="13">
        <v>240</v>
      </c>
      <c r="F1095" s="14">
        <v>242.11</v>
      </c>
      <c r="G1095" s="15">
        <f>SUM(G1096:G1100)</f>
        <v>58106.400000000001</v>
      </c>
      <c r="H1095" s="16">
        <f t="shared" si="161"/>
        <v>3.0128464135915613E-4</v>
      </c>
    </row>
    <row r="1096" spans="1:11" outlineLevel="1" x14ac:dyDescent="0.2">
      <c r="A1096" s="29"/>
      <c r="B1096" s="30" t="s">
        <v>1774</v>
      </c>
      <c r="C1096" s="30" t="s">
        <v>3051</v>
      </c>
      <c r="D1096" s="34" t="s">
        <v>1781</v>
      </c>
      <c r="E1096" s="31">
        <v>240</v>
      </c>
      <c r="F1096" s="31">
        <v>230</v>
      </c>
      <c r="G1096" s="32">
        <f t="shared" ref="G1096:G1100" si="171">F1096*E1096</f>
        <v>55200</v>
      </c>
      <c r="H1096" s="33">
        <f t="shared" si="161"/>
        <v>2.8621480943623112E-4</v>
      </c>
      <c r="K1096" t="str">
        <f xml:space="preserve"> B1095 &amp; B1096</f>
        <v>Z000134004Z020104009</v>
      </c>
    </row>
    <row r="1097" spans="1:11" outlineLevel="1" x14ac:dyDescent="0.2">
      <c r="A1097" s="29"/>
      <c r="B1097" s="30" t="s">
        <v>637</v>
      </c>
      <c r="C1097" s="30" t="s">
        <v>1256</v>
      </c>
      <c r="D1097" s="34" t="s">
        <v>1052</v>
      </c>
      <c r="E1097" s="31">
        <v>83.039999999999992</v>
      </c>
      <c r="F1097" s="31">
        <v>35</v>
      </c>
      <c r="G1097" s="32">
        <f t="shared" si="171"/>
        <v>2906.3999999999996</v>
      </c>
      <c r="H1097" s="33">
        <f t="shared" si="161"/>
        <v>1.5069831922925035E-5</v>
      </c>
      <c r="K1097" t="str">
        <f xml:space="preserve"> B1095 &amp; B1097</f>
        <v>Z000134004Z030203008</v>
      </c>
    </row>
    <row r="1098" spans="1:11" outlineLevel="1" x14ac:dyDescent="0.2">
      <c r="A1098" s="29"/>
      <c r="B1098" s="30" t="s">
        <v>1006</v>
      </c>
      <c r="C1098" s="30" t="s">
        <v>699</v>
      </c>
      <c r="D1098" s="34" t="s">
        <v>151</v>
      </c>
      <c r="E1098" s="31">
        <v>0</v>
      </c>
      <c r="F1098" s="31">
        <v>28.988</v>
      </c>
      <c r="G1098" s="32">
        <f t="shared" si="171"/>
        <v>0</v>
      </c>
      <c r="H1098" s="33">
        <f t="shared" si="161"/>
        <v>0</v>
      </c>
      <c r="K1098" t="str">
        <f xml:space="preserve"> B1095 &amp; B1098</f>
        <v>Z000134004Z040201011</v>
      </c>
    </row>
    <row r="1099" spans="1:11" outlineLevel="1" x14ac:dyDescent="0.2">
      <c r="A1099" s="29"/>
      <c r="B1099" s="30" t="s">
        <v>801</v>
      </c>
      <c r="C1099" s="30" t="s">
        <v>402</v>
      </c>
      <c r="D1099" s="34" t="s">
        <v>151</v>
      </c>
      <c r="E1099" s="31">
        <v>0</v>
      </c>
      <c r="F1099" s="31">
        <v>10.3</v>
      </c>
      <c r="G1099" s="32">
        <f t="shared" si="171"/>
        <v>0</v>
      </c>
      <c r="H1099" s="33">
        <f t="shared" si="161"/>
        <v>0</v>
      </c>
      <c r="K1099" t="str">
        <f xml:space="preserve"> B1095 &amp; B1099</f>
        <v>Z000134004Z040202006</v>
      </c>
    </row>
    <row r="1100" spans="1:11" outlineLevel="1" x14ac:dyDescent="0.2">
      <c r="A1100" s="29"/>
      <c r="B1100" s="30" t="s">
        <v>498</v>
      </c>
      <c r="C1100" s="30" t="s">
        <v>773</v>
      </c>
      <c r="D1100" s="34" t="s">
        <v>84</v>
      </c>
      <c r="E1100" s="31">
        <v>288</v>
      </c>
      <c r="F1100" s="31">
        <v>0</v>
      </c>
      <c r="G1100" s="32">
        <f t="shared" si="171"/>
        <v>0</v>
      </c>
      <c r="H1100" s="33">
        <f t="shared" si="161"/>
        <v>0</v>
      </c>
      <c r="K1100" t="str">
        <f xml:space="preserve"> B1095 &amp; B1100</f>
        <v>Z000134004Z040401001</v>
      </c>
    </row>
    <row r="1101" spans="1:11" outlineLevel="1" x14ac:dyDescent="0.2">
      <c r="A1101" s="11" t="s">
        <v>909</v>
      </c>
      <c r="B1101" s="11" t="s">
        <v>1121</v>
      </c>
      <c r="C1101" s="11" t="s">
        <v>3066</v>
      </c>
      <c r="D1101" s="12" t="s">
        <v>1781</v>
      </c>
      <c r="E1101" s="13">
        <v>336</v>
      </c>
      <c r="F1101" s="14">
        <v>628.09</v>
      </c>
      <c r="G1101" s="15">
        <f>SUM(G1102:G1105)</f>
        <v>211038.24000000002</v>
      </c>
      <c r="H1101" s="16">
        <f t="shared" si="161"/>
        <v>1.0942440153144494E-3</v>
      </c>
    </row>
    <row r="1102" spans="1:11" outlineLevel="1" x14ac:dyDescent="0.2">
      <c r="A1102" s="29"/>
      <c r="B1102" s="30" t="s">
        <v>16</v>
      </c>
      <c r="C1102" s="30" t="s">
        <v>3064</v>
      </c>
      <c r="D1102" s="34" t="s">
        <v>1781</v>
      </c>
      <c r="E1102" s="31">
        <v>336</v>
      </c>
      <c r="F1102" s="31">
        <v>628.09</v>
      </c>
      <c r="G1102" s="32">
        <f t="shared" ref="G1102:G1105" si="172">F1102*E1102</f>
        <v>211038.24000000002</v>
      </c>
      <c r="H1102" s="33">
        <f t="shared" si="161"/>
        <v>1.0942440153144494E-3</v>
      </c>
      <c r="K1102" t="str">
        <f xml:space="preserve"> B1101 &amp; B1102</f>
        <v>Z000135014Z020105061</v>
      </c>
    </row>
    <row r="1103" spans="1:11" outlineLevel="1" x14ac:dyDescent="0.2">
      <c r="A1103" s="29"/>
      <c r="B1103" s="30" t="s">
        <v>950</v>
      </c>
      <c r="C1103" s="30" t="s">
        <v>1391</v>
      </c>
      <c r="D1103" s="34" t="s">
        <v>151</v>
      </c>
      <c r="E1103" s="31">
        <v>0</v>
      </c>
      <c r="F1103" s="31">
        <v>15.0943</v>
      </c>
      <c r="G1103" s="32">
        <f t="shared" si="172"/>
        <v>0</v>
      </c>
      <c r="H1103" s="33">
        <f t="shared" si="161"/>
        <v>0</v>
      </c>
      <c r="K1103" t="str">
        <f xml:space="preserve"> B1101 &amp; B1103</f>
        <v>Z000135014Z040201008</v>
      </c>
    </row>
    <row r="1104" spans="1:11" outlineLevel="1" x14ac:dyDescent="0.2">
      <c r="A1104" s="29"/>
      <c r="B1104" s="30" t="s">
        <v>801</v>
      </c>
      <c r="C1104" s="30" t="s">
        <v>402</v>
      </c>
      <c r="D1104" s="34" t="s">
        <v>151</v>
      </c>
      <c r="E1104" s="31">
        <v>0</v>
      </c>
      <c r="F1104" s="31">
        <v>10.3</v>
      </c>
      <c r="G1104" s="32">
        <f t="shared" si="172"/>
        <v>0</v>
      </c>
      <c r="H1104" s="33">
        <f t="shared" si="161"/>
        <v>0</v>
      </c>
      <c r="K1104" t="str">
        <f xml:space="preserve"> B1101 &amp; B1104</f>
        <v>Z000135014Z040202006</v>
      </c>
    </row>
    <row r="1105" spans="1:11" outlineLevel="1" x14ac:dyDescent="0.2">
      <c r="A1105" s="29"/>
      <c r="B1105" s="30" t="s">
        <v>498</v>
      </c>
      <c r="C1105" s="30" t="s">
        <v>773</v>
      </c>
      <c r="D1105" s="34" t="s">
        <v>84</v>
      </c>
      <c r="E1105" s="31">
        <v>403.2</v>
      </c>
      <c r="F1105" s="31">
        <v>0</v>
      </c>
      <c r="G1105" s="32">
        <f t="shared" si="172"/>
        <v>0</v>
      </c>
      <c r="H1105" s="33">
        <f t="shared" si="161"/>
        <v>0</v>
      </c>
      <c r="K1105" t="str">
        <f xml:space="preserve"> B1101 &amp; B1105</f>
        <v>Z000135014Z040401001</v>
      </c>
    </row>
    <row r="1106" spans="1:11" outlineLevel="1" x14ac:dyDescent="0.2">
      <c r="A1106" s="11" t="s">
        <v>914</v>
      </c>
      <c r="B1106" s="11" t="s">
        <v>1055</v>
      </c>
      <c r="C1106" s="11" t="s">
        <v>3060</v>
      </c>
      <c r="D1106" s="12" t="s">
        <v>1781</v>
      </c>
      <c r="E1106" s="13">
        <v>480</v>
      </c>
      <c r="F1106" s="14">
        <v>281.07</v>
      </c>
      <c r="G1106" s="15">
        <f>SUM(G1107:G1110)</f>
        <v>134913.60000000001</v>
      </c>
      <c r="H1106" s="16">
        <f t="shared" ref="H1106:H1169" si="173">G1106/$F$2</f>
        <v>6.995338825064476E-4</v>
      </c>
    </row>
    <row r="1107" spans="1:11" outlineLevel="1" x14ac:dyDescent="0.2">
      <c r="A1107" s="29"/>
      <c r="B1107" s="30" t="s">
        <v>1894</v>
      </c>
      <c r="C1107" s="30" t="s">
        <v>3058</v>
      </c>
      <c r="D1107" s="34" t="s">
        <v>1781</v>
      </c>
      <c r="E1107" s="31">
        <v>480</v>
      </c>
      <c r="F1107" s="31">
        <v>281.07</v>
      </c>
      <c r="G1107" s="32">
        <f t="shared" ref="G1107:G1110" si="174">F1107*E1107</f>
        <v>134913.60000000001</v>
      </c>
      <c r="H1107" s="33">
        <f t="shared" si="173"/>
        <v>6.995338825064476E-4</v>
      </c>
      <c r="K1107" t="str">
        <f xml:space="preserve"> B1106 &amp; B1107</f>
        <v>Z000135008Z020105045</v>
      </c>
    </row>
    <row r="1108" spans="1:11" outlineLevel="1" x14ac:dyDescent="0.2">
      <c r="A1108" s="29"/>
      <c r="B1108" s="30" t="s">
        <v>950</v>
      </c>
      <c r="C1108" s="30" t="s">
        <v>1391</v>
      </c>
      <c r="D1108" s="34" t="s">
        <v>151</v>
      </c>
      <c r="E1108" s="31">
        <v>0</v>
      </c>
      <c r="F1108" s="31">
        <v>15.0943</v>
      </c>
      <c r="G1108" s="32">
        <f t="shared" si="174"/>
        <v>0</v>
      </c>
      <c r="H1108" s="33">
        <f t="shared" si="173"/>
        <v>0</v>
      </c>
      <c r="K1108" t="str">
        <f xml:space="preserve"> B1106 &amp; B1108</f>
        <v>Z000135008Z040201008</v>
      </c>
    </row>
    <row r="1109" spans="1:11" outlineLevel="1" x14ac:dyDescent="0.2">
      <c r="A1109" s="29"/>
      <c r="B1109" s="30" t="s">
        <v>801</v>
      </c>
      <c r="C1109" s="30" t="s">
        <v>402</v>
      </c>
      <c r="D1109" s="34" t="s">
        <v>151</v>
      </c>
      <c r="E1109" s="31">
        <v>0</v>
      </c>
      <c r="F1109" s="31">
        <v>10.3</v>
      </c>
      <c r="G1109" s="32">
        <f t="shared" si="174"/>
        <v>0</v>
      </c>
      <c r="H1109" s="33">
        <f t="shared" si="173"/>
        <v>0</v>
      </c>
      <c r="K1109" t="str">
        <f xml:space="preserve"> B1106 &amp; B1109</f>
        <v>Z000135008Z040202006</v>
      </c>
    </row>
    <row r="1110" spans="1:11" outlineLevel="1" x14ac:dyDescent="0.2">
      <c r="A1110" s="29"/>
      <c r="B1110" s="30" t="s">
        <v>498</v>
      </c>
      <c r="C1110" s="30" t="s">
        <v>773</v>
      </c>
      <c r="D1110" s="34" t="s">
        <v>84</v>
      </c>
      <c r="E1110" s="31">
        <v>576</v>
      </c>
      <c r="F1110" s="31">
        <v>0</v>
      </c>
      <c r="G1110" s="32">
        <f t="shared" si="174"/>
        <v>0</v>
      </c>
      <c r="H1110" s="33">
        <f t="shared" si="173"/>
        <v>0</v>
      </c>
      <c r="K1110" t="str">
        <f xml:space="preserve"> B1106 &amp; B1110</f>
        <v>Z000135008Z040401001</v>
      </c>
    </row>
    <row r="1111" spans="1:11" outlineLevel="1" x14ac:dyDescent="0.2">
      <c r="A1111" s="11" t="s">
        <v>919</v>
      </c>
      <c r="B1111" s="11" t="s">
        <v>888</v>
      </c>
      <c r="C1111" s="11" t="s">
        <v>3078</v>
      </c>
      <c r="D1111" s="12" t="s">
        <v>1781</v>
      </c>
      <c r="E1111" s="13">
        <v>912</v>
      </c>
      <c r="F1111" s="14">
        <v>30.082949999999997</v>
      </c>
      <c r="G1111" s="15">
        <f>SUM(G1112:G1116)</f>
        <v>27435.650399999999</v>
      </c>
      <c r="H1111" s="16">
        <f t="shared" si="173"/>
        <v>1.422552436774467E-4</v>
      </c>
    </row>
    <row r="1112" spans="1:11" outlineLevel="1" x14ac:dyDescent="0.2">
      <c r="A1112" s="29"/>
      <c r="B1112" s="30" t="s">
        <v>1827</v>
      </c>
      <c r="C1112" s="30" t="s">
        <v>3076</v>
      </c>
      <c r="D1112" s="34" t="s">
        <v>1781</v>
      </c>
      <c r="E1112" s="31">
        <v>912</v>
      </c>
      <c r="F1112" s="31">
        <v>30</v>
      </c>
      <c r="G1112" s="32">
        <f t="shared" ref="G1112:G1116" si="175">F1112*E1112</f>
        <v>27360</v>
      </c>
      <c r="H1112" s="33">
        <f t="shared" si="173"/>
        <v>1.4186299250317541E-4</v>
      </c>
      <c r="K1112" t="str">
        <f xml:space="preserve"> B1111 &amp; B1112</f>
        <v>Z000136001Z020105036</v>
      </c>
    </row>
    <row r="1113" spans="1:11" outlineLevel="1" x14ac:dyDescent="0.2">
      <c r="A1113" s="29"/>
      <c r="B1113" s="30" t="s">
        <v>1649</v>
      </c>
      <c r="C1113" s="30" t="s">
        <v>1145</v>
      </c>
      <c r="D1113" s="34" t="s">
        <v>1781</v>
      </c>
      <c r="E1113" s="31">
        <v>19.152000000000001</v>
      </c>
      <c r="F1113" s="31">
        <v>3.95</v>
      </c>
      <c r="G1113" s="32">
        <f t="shared" si="175"/>
        <v>75.650400000000005</v>
      </c>
      <c r="H1113" s="33">
        <f t="shared" si="173"/>
        <v>3.9225117427128004E-7</v>
      </c>
      <c r="K1113" t="str">
        <f xml:space="preserve"> B1111 &amp; B1113</f>
        <v>Z000136001Z030105002</v>
      </c>
    </row>
    <row r="1114" spans="1:11" outlineLevel="1" x14ac:dyDescent="0.2">
      <c r="A1114" s="29"/>
      <c r="B1114" s="30" t="s">
        <v>950</v>
      </c>
      <c r="C1114" s="30" t="s">
        <v>1391</v>
      </c>
      <c r="D1114" s="34" t="s">
        <v>151</v>
      </c>
      <c r="E1114" s="31">
        <v>0</v>
      </c>
      <c r="F1114" s="31">
        <v>15.0943</v>
      </c>
      <c r="G1114" s="32">
        <f t="shared" si="175"/>
        <v>0</v>
      </c>
      <c r="H1114" s="33">
        <f t="shared" si="173"/>
        <v>0</v>
      </c>
      <c r="K1114" t="str">
        <f xml:space="preserve"> B1111 &amp; B1114</f>
        <v>Z000136001Z040201008</v>
      </c>
    </row>
    <row r="1115" spans="1:11" outlineLevel="1" x14ac:dyDescent="0.2">
      <c r="A1115" s="29"/>
      <c r="B1115" s="30" t="s">
        <v>801</v>
      </c>
      <c r="C1115" s="30" t="s">
        <v>402</v>
      </c>
      <c r="D1115" s="34" t="s">
        <v>151</v>
      </c>
      <c r="E1115" s="31">
        <v>0</v>
      </c>
      <c r="F1115" s="31">
        <v>10.3</v>
      </c>
      <c r="G1115" s="32">
        <f t="shared" si="175"/>
        <v>0</v>
      </c>
      <c r="H1115" s="33">
        <f t="shared" si="173"/>
        <v>0</v>
      </c>
      <c r="K1115" t="str">
        <f xml:space="preserve"> B1111 &amp; B1115</f>
        <v>Z000136001Z040202006</v>
      </c>
    </row>
    <row r="1116" spans="1:11" outlineLevel="1" x14ac:dyDescent="0.2">
      <c r="A1116" s="29"/>
      <c r="B1116" s="30" t="s">
        <v>498</v>
      </c>
      <c r="C1116" s="30" t="s">
        <v>773</v>
      </c>
      <c r="D1116" s="34" t="s">
        <v>84</v>
      </c>
      <c r="E1116" s="31">
        <v>1094.3999999999999</v>
      </c>
      <c r="F1116" s="31">
        <v>0</v>
      </c>
      <c r="G1116" s="32">
        <f t="shared" si="175"/>
        <v>0</v>
      </c>
      <c r="H1116" s="33">
        <f t="shared" si="173"/>
        <v>0</v>
      </c>
      <c r="K1116" t="str">
        <f xml:space="preserve"> B1111 &amp; B1116</f>
        <v>Z000136001Z040401001</v>
      </c>
    </row>
    <row r="1117" spans="1:11" outlineLevel="1" x14ac:dyDescent="0.2">
      <c r="A1117" s="11" t="s">
        <v>923</v>
      </c>
      <c r="B1117" s="11" t="s">
        <v>981</v>
      </c>
      <c r="C1117" s="11" t="s">
        <v>3114</v>
      </c>
      <c r="D1117" s="12" t="s">
        <v>1781</v>
      </c>
      <c r="E1117" s="13">
        <v>576</v>
      </c>
      <c r="F1117" s="14">
        <v>18.131140000000002</v>
      </c>
      <c r="G1117" s="15">
        <f>SUM(G1118:G1122)</f>
        <v>10443.53664</v>
      </c>
      <c r="H1117" s="16">
        <f t="shared" si="173"/>
        <v>5.4150269008295242E-5</v>
      </c>
    </row>
    <row r="1118" spans="1:11" outlineLevel="1" x14ac:dyDescent="0.2">
      <c r="A1118" s="29"/>
      <c r="B1118" s="30" t="s">
        <v>1898</v>
      </c>
      <c r="C1118" s="30" t="s">
        <v>3112</v>
      </c>
      <c r="D1118" s="34" t="s">
        <v>1781</v>
      </c>
      <c r="E1118" s="31">
        <v>576</v>
      </c>
      <c r="F1118" s="31">
        <v>18</v>
      </c>
      <c r="G1118" s="32">
        <f t="shared" ref="G1118:G1122" si="176">F1118*E1118</f>
        <v>10368</v>
      </c>
      <c r="H1118" s="33">
        <f t="shared" si="173"/>
        <v>5.375860768541384E-5</v>
      </c>
      <c r="K1118" t="str">
        <f xml:space="preserve"> B1117 &amp; B1118</f>
        <v>Z000136014Z020105047</v>
      </c>
    </row>
    <row r="1119" spans="1:11" outlineLevel="1" x14ac:dyDescent="0.2">
      <c r="A1119" s="29"/>
      <c r="B1119" s="30" t="s">
        <v>1649</v>
      </c>
      <c r="C1119" s="30" t="s">
        <v>1145</v>
      </c>
      <c r="D1119" s="34" t="s">
        <v>1781</v>
      </c>
      <c r="E1119" s="31">
        <v>19.123200000000001</v>
      </c>
      <c r="F1119" s="31">
        <v>3.95</v>
      </c>
      <c r="G1119" s="32">
        <f t="shared" si="176"/>
        <v>75.536640000000006</v>
      </c>
      <c r="H1119" s="33">
        <f t="shared" si="173"/>
        <v>3.9166132288139843E-7</v>
      </c>
      <c r="K1119" t="str">
        <f xml:space="preserve"> B1117 &amp; B1119</f>
        <v>Z000136014Z030105002</v>
      </c>
    </row>
    <row r="1120" spans="1:11" outlineLevel="1" x14ac:dyDescent="0.2">
      <c r="A1120" s="29"/>
      <c r="B1120" s="30" t="s">
        <v>950</v>
      </c>
      <c r="C1120" s="30" t="s">
        <v>1391</v>
      </c>
      <c r="D1120" s="34" t="s">
        <v>151</v>
      </c>
      <c r="E1120" s="31">
        <v>0</v>
      </c>
      <c r="F1120" s="31">
        <v>15.0943</v>
      </c>
      <c r="G1120" s="32">
        <f t="shared" si="176"/>
        <v>0</v>
      </c>
      <c r="H1120" s="33">
        <f t="shared" si="173"/>
        <v>0</v>
      </c>
      <c r="K1120" t="str">
        <f xml:space="preserve"> B1117 &amp; B1120</f>
        <v>Z000136014Z040201008</v>
      </c>
    </row>
    <row r="1121" spans="1:11" outlineLevel="1" x14ac:dyDescent="0.2">
      <c r="A1121" s="29"/>
      <c r="B1121" s="30" t="s">
        <v>801</v>
      </c>
      <c r="C1121" s="30" t="s">
        <v>402</v>
      </c>
      <c r="D1121" s="34" t="s">
        <v>151</v>
      </c>
      <c r="E1121" s="31">
        <v>0</v>
      </c>
      <c r="F1121" s="31">
        <v>10.3</v>
      </c>
      <c r="G1121" s="32">
        <f t="shared" si="176"/>
        <v>0</v>
      </c>
      <c r="H1121" s="33">
        <f t="shared" si="173"/>
        <v>0</v>
      </c>
      <c r="K1121" t="str">
        <f xml:space="preserve"> B1117 &amp; B1121</f>
        <v>Z000136014Z040202006</v>
      </c>
    </row>
    <row r="1122" spans="1:11" outlineLevel="1" x14ac:dyDescent="0.2">
      <c r="A1122" s="29"/>
      <c r="B1122" s="30" t="s">
        <v>498</v>
      </c>
      <c r="C1122" s="30" t="s">
        <v>773</v>
      </c>
      <c r="D1122" s="34" t="s">
        <v>84</v>
      </c>
      <c r="E1122" s="31">
        <v>691.19999999999993</v>
      </c>
      <c r="F1122" s="31">
        <v>0</v>
      </c>
      <c r="G1122" s="32">
        <f t="shared" si="176"/>
        <v>0</v>
      </c>
      <c r="H1122" s="33">
        <f t="shared" si="173"/>
        <v>0</v>
      </c>
      <c r="K1122" t="str">
        <f xml:space="preserve"> B1117 &amp; B1122</f>
        <v>Z000136014Z040401001</v>
      </c>
    </row>
    <row r="1123" spans="1:11" outlineLevel="1" x14ac:dyDescent="0.2">
      <c r="A1123" s="11" t="s">
        <v>927</v>
      </c>
      <c r="B1123" s="11" t="s">
        <v>985</v>
      </c>
      <c r="C1123" s="11" t="s">
        <v>3120</v>
      </c>
      <c r="D1123" s="12" t="s">
        <v>1781</v>
      </c>
      <c r="E1123" s="13">
        <v>240</v>
      </c>
      <c r="F1123" s="14">
        <v>134.7996</v>
      </c>
      <c r="G1123" s="15">
        <f>SUM(G1124:G1128)</f>
        <v>32351.904000000002</v>
      </c>
      <c r="H1123" s="16">
        <f t="shared" si="173"/>
        <v>1.6774626880904425E-4</v>
      </c>
    </row>
    <row r="1124" spans="1:11" outlineLevel="1" x14ac:dyDescent="0.2">
      <c r="A1124" s="29"/>
      <c r="B1124" s="30" t="s">
        <v>1900</v>
      </c>
      <c r="C1124" s="30" t="s">
        <v>1930</v>
      </c>
      <c r="D1124" s="34" t="s">
        <v>1781</v>
      </c>
      <c r="E1124" s="31">
        <v>240</v>
      </c>
      <c r="F1124" s="31">
        <v>134.61000000000001</v>
      </c>
      <c r="G1124" s="32">
        <f t="shared" ref="G1124:G1128" si="177">F1124*E1124</f>
        <v>32306.400000000001</v>
      </c>
      <c r="H1124" s="33">
        <f t="shared" si="173"/>
        <v>1.6751032825309162E-4</v>
      </c>
      <c r="K1124" t="str">
        <f xml:space="preserve"> B1123 &amp; B1124</f>
        <v>Z000136015Z020105048</v>
      </c>
    </row>
    <row r="1125" spans="1:11" outlineLevel="1" x14ac:dyDescent="0.2">
      <c r="A1125" s="29"/>
      <c r="B1125" s="30" t="s">
        <v>1649</v>
      </c>
      <c r="C1125" s="30" t="s">
        <v>1145</v>
      </c>
      <c r="D1125" s="34" t="s">
        <v>1781</v>
      </c>
      <c r="E1125" s="31">
        <v>11.52</v>
      </c>
      <c r="F1125" s="31">
        <v>3.95</v>
      </c>
      <c r="G1125" s="32">
        <f t="shared" si="177"/>
        <v>45.503999999999998</v>
      </c>
      <c r="H1125" s="33">
        <f t="shared" si="173"/>
        <v>2.3594055595264963E-7</v>
      </c>
      <c r="K1125" t="str">
        <f xml:space="preserve"> B1123 &amp; B1125</f>
        <v>Z000136015Z030105002</v>
      </c>
    </row>
    <row r="1126" spans="1:11" outlineLevel="1" x14ac:dyDescent="0.2">
      <c r="A1126" s="29"/>
      <c r="B1126" s="30" t="s">
        <v>950</v>
      </c>
      <c r="C1126" s="30" t="s">
        <v>1391</v>
      </c>
      <c r="D1126" s="34" t="s">
        <v>151</v>
      </c>
      <c r="E1126" s="31">
        <v>0</v>
      </c>
      <c r="F1126" s="31">
        <v>15.0943</v>
      </c>
      <c r="G1126" s="32">
        <f t="shared" si="177"/>
        <v>0</v>
      </c>
      <c r="H1126" s="33">
        <f t="shared" si="173"/>
        <v>0</v>
      </c>
      <c r="K1126" t="str">
        <f xml:space="preserve"> B1123 &amp; B1126</f>
        <v>Z000136015Z040201008</v>
      </c>
    </row>
    <row r="1127" spans="1:11" outlineLevel="1" x14ac:dyDescent="0.2">
      <c r="A1127" s="29"/>
      <c r="B1127" s="30" t="s">
        <v>801</v>
      </c>
      <c r="C1127" s="30" t="s">
        <v>402</v>
      </c>
      <c r="D1127" s="34" t="s">
        <v>151</v>
      </c>
      <c r="E1127" s="31">
        <v>0</v>
      </c>
      <c r="F1127" s="31">
        <v>10.3</v>
      </c>
      <c r="G1127" s="32">
        <f t="shared" si="177"/>
        <v>0</v>
      </c>
      <c r="H1127" s="33">
        <f t="shared" si="173"/>
        <v>0</v>
      </c>
      <c r="K1127" t="str">
        <f xml:space="preserve"> B1123 &amp; B1127</f>
        <v>Z000136015Z040202006</v>
      </c>
    </row>
    <row r="1128" spans="1:11" outlineLevel="1" x14ac:dyDescent="0.2">
      <c r="A1128" s="29"/>
      <c r="B1128" s="30" t="s">
        <v>498</v>
      </c>
      <c r="C1128" s="30" t="s">
        <v>773</v>
      </c>
      <c r="D1128" s="34" t="s">
        <v>84</v>
      </c>
      <c r="E1128" s="31">
        <v>288</v>
      </c>
      <c r="F1128" s="31">
        <v>0</v>
      </c>
      <c r="G1128" s="32">
        <f t="shared" si="177"/>
        <v>0</v>
      </c>
      <c r="H1128" s="33">
        <f t="shared" si="173"/>
        <v>0</v>
      </c>
      <c r="K1128" t="str">
        <f xml:space="preserve"> B1123 &amp; B1128</f>
        <v>Z000136015Z040401001</v>
      </c>
    </row>
    <row r="1129" spans="1:11" outlineLevel="1" x14ac:dyDescent="0.2">
      <c r="A1129" s="11" t="s">
        <v>929</v>
      </c>
      <c r="B1129" s="11" t="s">
        <v>989</v>
      </c>
      <c r="C1129" s="11" t="s">
        <v>3127</v>
      </c>
      <c r="D1129" s="12" t="s">
        <v>1781</v>
      </c>
      <c r="E1129" s="13">
        <v>336</v>
      </c>
      <c r="F1129" s="14">
        <v>405.34960000000001</v>
      </c>
      <c r="G1129" s="15">
        <f>SUM(G1130:G1134)</f>
        <v>136197.4656</v>
      </c>
      <c r="H1129" s="16">
        <f t="shared" si="173"/>
        <v>7.0619079098553693E-4</v>
      </c>
    </row>
    <row r="1130" spans="1:11" outlineLevel="1" x14ac:dyDescent="0.2">
      <c r="A1130" s="29"/>
      <c r="B1130" s="30" t="s">
        <v>1631</v>
      </c>
      <c r="C1130" s="30" t="s">
        <v>3125</v>
      </c>
      <c r="D1130" s="34" t="s">
        <v>1781</v>
      </c>
      <c r="E1130" s="31">
        <v>336</v>
      </c>
      <c r="F1130" s="31">
        <v>405.16</v>
      </c>
      <c r="G1130" s="32">
        <f t="shared" ref="G1130:G1134" si="178">F1130*E1130</f>
        <v>136133.76000000001</v>
      </c>
      <c r="H1130" s="33">
        <f t="shared" si="173"/>
        <v>7.0586047420720334E-4</v>
      </c>
      <c r="K1130" t="str">
        <f xml:space="preserve"> B1129 &amp; B1130</f>
        <v>Z000136016Z020105008</v>
      </c>
    </row>
    <row r="1131" spans="1:11" outlineLevel="1" x14ac:dyDescent="0.2">
      <c r="A1131" s="29"/>
      <c r="B1131" s="30" t="s">
        <v>1649</v>
      </c>
      <c r="C1131" s="30" t="s">
        <v>1145</v>
      </c>
      <c r="D1131" s="34" t="s">
        <v>1781</v>
      </c>
      <c r="E1131" s="31">
        <v>16.128</v>
      </c>
      <c r="F1131" s="31">
        <v>3.95</v>
      </c>
      <c r="G1131" s="32">
        <f t="shared" si="178"/>
        <v>63.705600000000004</v>
      </c>
      <c r="H1131" s="33">
        <f t="shared" si="173"/>
        <v>3.3031677833370951E-7</v>
      </c>
      <c r="K1131" t="str">
        <f xml:space="preserve"> B1129 &amp; B1131</f>
        <v>Z000136016Z030105002</v>
      </c>
    </row>
    <row r="1132" spans="1:11" outlineLevel="1" x14ac:dyDescent="0.2">
      <c r="A1132" s="29"/>
      <c r="B1132" s="30" t="s">
        <v>950</v>
      </c>
      <c r="C1132" s="30" t="s">
        <v>1391</v>
      </c>
      <c r="D1132" s="34" t="s">
        <v>151</v>
      </c>
      <c r="E1132" s="31">
        <v>0</v>
      </c>
      <c r="F1132" s="31">
        <v>15.0943</v>
      </c>
      <c r="G1132" s="32">
        <f t="shared" si="178"/>
        <v>0</v>
      </c>
      <c r="H1132" s="33">
        <f t="shared" si="173"/>
        <v>0</v>
      </c>
      <c r="K1132" t="str">
        <f xml:space="preserve"> B1129 &amp; B1132</f>
        <v>Z000136016Z040201008</v>
      </c>
    </row>
    <row r="1133" spans="1:11" outlineLevel="1" x14ac:dyDescent="0.2">
      <c r="A1133" s="29"/>
      <c r="B1133" s="30" t="s">
        <v>801</v>
      </c>
      <c r="C1133" s="30" t="s">
        <v>402</v>
      </c>
      <c r="D1133" s="34" t="s">
        <v>151</v>
      </c>
      <c r="E1133" s="31">
        <v>0</v>
      </c>
      <c r="F1133" s="31">
        <v>10.3</v>
      </c>
      <c r="G1133" s="32">
        <f t="shared" si="178"/>
        <v>0</v>
      </c>
      <c r="H1133" s="33">
        <f t="shared" si="173"/>
        <v>0</v>
      </c>
      <c r="K1133" t="str">
        <f xml:space="preserve"> B1129 &amp; B1133</f>
        <v>Z000136016Z040202006</v>
      </c>
    </row>
    <row r="1134" spans="1:11" outlineLevel="1" x14ac:dyDescent="0.2">
      <c r="A1134" s="29"/>
      <c r="B1134" s="30" t="s">
        <v>498</v>
      </c>
      <c r="C1134" s="30" t="s">
        <v>773</v>
      </c>
      <c r="D1134" s="34" t="s">
        <v>84</v>
      </c>
      <c r="E1134" s="31">
        <v>403.2</v>
      </c>
      <c r="F1134" s="31">
        <v>0</v>
      </c>
      <c r="G1134" s="32">
        <f t="shared" si="178"/>
        <v>0</v>
      </c>
      <c r="H1134" s="33">
        <f t="shared" si="173"/>
        <v>0</v>
      </c>
      <c r="K1134" t="str">
        <f xml:space="preserve"> B1129 &amp; B1134</f>
        <v>Z000136016Z040401001</v>
      </c>
    </row>
    <row r="1135" spans="1:11" outlineLevel="1" x14ac:dyDescent="0.2">
      <c r="A1135" s="11" t="s">
        <v>932</v>
      </c>
      <c r="B1135" s="11" t="s">
        <v>758</v>
      </c>
      <c r="C1135" s="11" t="s">
        <v>3142</v>
      </c>
      <c r="D1135" s="12" t="s">
        <v>153</v>
      </c>
      <c r="E1135" s="13">
        <v>336</v>
      </c>
      <c r="F1135" s="14">
        <v>295.44157999999999</v>
      </c>
      <c r="G1135" s="15">
        <f>SUM(G1136:G1142)</f>
        <v>99268.370880000002</v>
      </c>
      <c r="H1135" s="16">
        <f t="shared" si="173"/>
        <v>5.1471155533449838E-4</v>
      </c>
    </row>
    <row r="1136" spans="1:11" outlineLevel="1" x14ac:dyDescent="0.2">
      <c r="A1136" s="29"/>
      <c r="B1136" s="30" t="s">
        <v>1478</v>
      </c>
      <c r="C1136" s="30" t="s">
        <v>978</v>
      </c>
      <c r="D1136" s="34" t="s">
        <v>1781</v>
      </c>
      <c r="E1136" s="31">
        <v>336</v>
      </c>
      <c r="F1136" s="31">
        <v>292</v>
      </c>
      <c r="G1136" s="32">
        <f t="shared" ref="G1136:G1142" si="179">F1136*E1136</f>
        <v>98112</v>
      </c>
      <c r="H1136" s="33">
        <f t="shared" si="173"/>
        <v>5.0871571346752732E-4</v>
      </c>
      <c r="K1136" t="str">
        <f xml:space="preserve"> B1135 &amp; B1136</f>
        <v>Z000137005Z020106005</v>
      </c>
    </row>
    <row r="1137" spans="1:11" outlineLevel="1" x14ac:dyDescent="0.2">
      <c r="A1137" s="29"/>
      <c r="B1137" s="30" t="s">
        <v>160</v>
      </c>
      <c r="C1137" s="30" t="s">
        <v>726</v>
      </c>
      <c r="D1137" s="34" t="s">
        <v>1781</v>
      </c>
      <c r="E1137" s="31">
        <v>12.095999999999998</v>
      </c>
      <c r="F1137" s="31">
        <v>1.96</v>
      </c>
      <c r="G1137" s="32">
        <f t="shared" si="179"/>
        <v>23.708159999999996</v>
      </c>
      <c r="H1137" s="33">
        <f t="shared" si="173"/>
        <v>1.229280162406463E-7</v>
      </c>
      <c r="K1137" t="str">
        <f xml:space="preserve"> B1135 &amp; B1137</f>
        <v>Z000137005Z030101002</v>
      </c>
    </row>
    <row r="1138" spans="1:11" outlineLevel="1" x14ac:dyDescent="0.2">
      <c r="A1138" s="29"/>
      <c r="B1138" s="30" t="s">
        <v>1909</v>
      </c>
      <c r="C1138" s="30" t="s">
        <v>3136</v>
      </c>
      <c r="D1138" s="34" t="s">
        <v>1781</v>
      </c>
      <c r="E1138" s="31">
        <v>2.52</v>
      </c>
      <c r="F1138" s="31">
        <v>66.42</v>
      </c>
      <c r="G1138" s="32">
        <f t="shared" si="179"/>
        <v>167.3784</v>
      </c>
      <c r="H1138" s="33">
        <f t="shared" si="173"/>
        <v>8.6786552282139968E-7</v>
      </c>
      <c r="K1138" t="str">
        <f xml:space="preserve"> B1135 &amp; B1138</f>
        <v>Z000137005Z030103001</v>
      </c>
    </row>
    <row r="1139" spans="1:11" outlineLevel="1" x14ac:dyDescent="0.2">
      <c r="A1139" s="29"/>
      <c r="B1139" s="30" t="s">
        <v>626</v>
      </c>
      <c r="C1139" s="30" t="s">
        <v>1750</v>
      </c>
      <c r="D1139" s="34" t="s">
        <v>1781</v>
      </c>
      <c r="E1139" s="31">
        <v>16.464000000000002</v>
      </c>
      <c r="F1139" s="31">
        <v>58.63</v>
      </c>
      <c r="G1139" s="32">
        <f t="shared" si="179"/>
        <v>965.28432000000021</v>
      </c>
      <c r="H1139" s="33">
        <f t="shared" si="173"/>
        <v>5.0050483279090942E-6</v>
      </c>
      <c r="K1139" t="str">
        <f xml:space="preserve"> B1135 &amp; B1139</f>
        <v>Z000137005Z030203004</v>
      </c>
    </row>
    <row r="1140" spans="1:11" outlineLevel="1" x14ac:dyDescent="0.2">
      <c r="A1140" s="29"/>
      <c r="B1140" s="30" t="s">
        <v>950</v>
      </c>
      <c r="C1140" s="30" t="s">
        <v>1391</v>
      </c>
      <c r="D1140" s="34" t="s">
        <v>151</v>
      </c>
      <c r="E1140" s="31">
        <v>0</v>
      </c>
      <c r="F1140" s="31">
        <v>15.0943</v>
      </c>
      <c r="G1140" s="32">
        <f t="shared" si="179"/>
        <v>0</v>
      </c>
      <c r="H1140" s="33">
        <f t="shared" si="173"/>
        <v>0</v>
      </c>
      <c r="K1140" t="str">
        <f xml:space="preserve"> B1135 &amp; B1140</f>
        <v>Z000137005Z040201008</v>
      </c>
    </row>
    <row r="1141" spans="1:11" outlineLevel="1" x14ac:dyDescent="0.2">
      <c r="A1141" s="29"/>
      <c r="B1141" s="30" t="s">
        <v>801</v>
      </c>
      <c r="C1141" s="30" t="s">
        <v>402</v>
      </c>
      <c r="D1141" s="34" t="s">
        <v>151</v>
      </c>
      <c r="E1141" s="31">
        <v>0</v>
      </c>
      <c r="F1141" s="31">
        <v>10.3</v>
      </c>
      <c r="G1141" s="32">
        <f t="shared" si="179"/>
        <v>0</v>
      </c>
      <c r="H1141" s="33">
        <f t="shared" si="173"/>
        <v>0</v>
      </c>
      <c r="K1141" t="str">
        <f xml:space="preserve"> B1135 &amp; B1141</f>
        <v>Z000137005Z040202006</v>
      </c>
    </row>
    <row r="1142" spans="1:11" outlineLevel="1" x14ac:dyDescent="0.2">
      <c r="A1142" s="29"/>
      <c r="B1142" s="30" t="s">
        <v>498</v>
      </c>
      <c r="C1142" s="30" t="s">
        <v>773</v>
      </c>
      <c r="D1142" s="34" t="s">
        <v>84</v>
      </c>
      <c r="E1142" s="31">
        <v>403.2</v>
      </c>
      <c r="F1142" s="31">
        <v>0</v>
      </c>
      <c r="G1142" s="32">
        <f t="shared" si="179"/>
        <v>0</v>
      </c>
      <c r="H1142" s="33">
        <f t="shared" si="173"/>
        <v>0</v>
      </c>
      <c r="K1142" t="str">
        <f xml:space="preserve"> B1135 &amp; B1142</f>
        <v>Z000137005Z040401001</v>
      </c>
    </row>
    <row r="1143" spans="1:11" outlineLevel="1" x14ac:dyDescent="0.2">
      <c r="A1143" s="11" t="s">
        <v>934</v>
      </c>
      <c r="B1143" s="11" t="s">
        <v>754</v>
      </c>
      <c r="C1143" s="11" t="s">
        <v>3133</v>
      </c>
      <c r="D1143" s="12" t="s">
        <v>153</v>
      </c>
      <c r="E1143" s="13">
        <v>1224</v>
      </c>
      <c r="F1143" s="14">
        <v>201.44157999999999</v>
      </c>
      <c r="G1143" s="15">
        <f>SUM(G1144:G1150)</f>
        <v>246564.49391999998</v>
      </c>
      <c r="H1143" s="16">
        <f t="shared" si="173"/>
        <v>1.2784494500190861E-3</v>
      </c>
    </row>
    <row r="1144" spans="1:11" outlineLevel="1" x14ac:dyDescent="0.2">
      <c r="A1144" s="29"/>
      <c r="B1144" s="30" t="s">
        <v>1474</v>
      </c>
      <c r="C1144" s="30" t="s">
        <v>876</v>
      </c>
      <c r="D1144" s="34" t="s">
        <v>153</v>
      </c>
      <c r="E1144" s="31">
        <v>1224</v>
      </c>
      <c r="F1144" s="31">
        <v>198</v>
      </c>
      <c r="G1144" s="32">
        <f t="shared" ref="G1144:G1150" si="180">F1144*E1144</f>
        <v>242352</v>
      </c>
      <c r="H1144" s="33">
        <f t="shared" si="173"/>
        <v>1.2566074546465486E-3</v>
      </c>
      <c r="K1144" t="str">
        <f xml:space="preserve"> B1143 &amp; B1144</f>
        <v>Z000137002Z020106002</v>
      </c>
    </row>
    <row r="1145" spans="1:11" outlineLevel="1" x14ac:dyDescent="0.2">
      <c r="A1145" s="29"/>
      <c r="B1145" s="30" t="s">
        <v>160</v>
      </c>
      <c r="C1145" s="30" t="s">
        <v>726</v>
      </c>
      <c r="D1145" s="34" t="s">
        <v>1781</v>
      </c>
      <c r="E1145" s="31">
        <v>44.064</v>
      </c>
      <c r="F1145" s="31">
        <v>1.96</v>
      </c>
      <c r="G1145" s="32">
        <f t="shared" si="180"/>
        <v>86.365439999999992</v>
      </c>
      <c r="H1145" s="33">
        <f t="shared" si="173"/>
        <v>4.4780920201949727E-7</v>
      </c>
      <c r="K1145" t="str">
        <f xml:space="preserve"> B1143 &amp; B1145</f>
        <v>Z000137002Z030101002</v>
      </c>
    </row>
    <row r="1146" spans="1:11" outlineLevel="1" x14ac:dyDescent="0.2">
      <c r="A1146" s="29"/>
      <c r="B1146" s="30" t="s">
        <v>1909</v>
      </c>
      <c r="C1146" s="30" t="s">
        <v>3136</v>
      </c>
      <c r="D1146" s="34" t="s">
        <v>1781</v>
      </c>
      <c r="E1146" s="31">
        <v>9.18</v>
      </c>
      <c r="F1146" s="31">
        <v>66.42</v>
      </c>
      <c r="G1146" s="32">
        <f t="shared" si="180"/>
        <v>609.73559999999998</v>
      </c>
      <c r="H1146" s="33">
        <f t="shared" si="173"/>
        <v>3.1615101188493845E-6</v>
      </c>
      <c r="K1146" t="str">
        <f xml:space="preserve"> B1143 &amp; B1146</f>
        <v>Z000137002Z030103001</v>
      </c>
    </row>
    <row r="1147" spans="1:11" outlineLevel="1" x14ac:dyDescent="0.2">
      <c r="A1147" s="29"/>
      <c r="B1147" s="30" t="s">
        <v>626</v>
      </c>
      <c r="C1147" s="30" t="s">
        <v>1750</v>
      </c>
      <c r="D1147" s="34" t="s">
        <v>1781</v>
      </c>
      <c r="E1147" s="31">
        <v>59.975999999999999</v>
      </c>
      <c r="F1147" s="31">
        <v>58.63</v>
      </c>
      <c r="G1147" s="32">
        <f t="shared" si="180"/>
        <v>3516.3928799999999</v>
      </c>
      <c r="H1147" s="33">
        <f t="shared" si="173"/>
        <v>1.8232676051668837E-5</v>
      </c>
      <c r="K1147" t="str">
        <f xml:space="preserve"> B1143 &amp; B1147</f>
        <v>Z000137002Z030203004</v>
      </c>
    </row>
    <row r="1148" spans="1:11" outlineLevel="1" x14ac:dyDescent="0.2">
      <c r="A1148" s="29"/>
      <c r="B1148" s="30" t="s">
        <v>950</v>
      </c>
      <c r="C1148" s="30" t="s">
        <v>1391</v>
      </c>
      <c r="D1148" s="34" t="s">
        <v>151</v>
      </c>
      <c r="E1148" s="31">
        <v>0</v>
      </c>
      <c r="F1148" s="31">
        <v>15.0943</v>
      </c>
      <c r="G1148" s="32">
        <f t="shared" si="180"/>
        <v>0</v>
      </c>
      <c r="H1148" s="33">
        <f t="shared" si="173"/>
        <v>0</v>
      </c>
      <c r="K1148" t="str">
        <f xml:space="preserve"> B1143 &amp; B1148</f>
        <v>Z000137002Z040201008</v>
      </c>
    </row>
    <row r="1149" spans="1:11" outlineLevel="1" x14ac:dyDescent="0.2">
      <c r="A1149" s="29"/>
      <c r="B1149" s="30" t="s">
        <v>801</v>
      </c>
      <c r="C1149" s="30" t="s">
        <v>402</v>
      </c>
      <c r="D1149" s="34" t="s">
        <v>151</v>
      </c>
      <c r="E1149" s="31">
        <v>0</v>
      </c>
      <c r="F1149" s="31">
        <v>10.3</v>
      </c>
      <c r="G1149" s="32">
        <f t="shared" si="180"/>
        <v>0</v>
      </c>
      <c r="H1149" s="33">
        <f t="shared" si="173"/>
        <v>0</v>
      </c>
      <c r="K1149" t="str">
        <f xml:space="preserve"> B1143 &amp; B1149</f>
        <v>Z000137002Z040202006</v>
      </c>
    </row>
    <row r="1150" spans="1:11" outlineLevel="1" x14ac:dyDescent="0.2">
      <c r="A1150" s="29"/>
      <c r="B1150" s="30" t="s">
        <v>498</v>
      </c>
      <c r="C1150" s="30" t="s">
        <v>773</v>
      </c>
      <c r="D1150" s="34" t="s">
        <v>84</v>
      </c>
      <c r="E1150" s="31">
        <v>1468.8</v>
      </c>
      <c r="F1150" s="31">
        <v>0</v>
      </c>
      <c r="G1150" s="32">
        <f t="shared" si="180"/>
        <v>0</v>
      </c>
      <c r="H1150" s="33">
        <f t="shared" si="173"/>
        <v>0</v>
      </c>
      <c r="K1150" t="str">
        <f xml:space="preserve"> B1143 &amp; B1150</f>
        <v>Z000137002Z040401001</v>
      </c>
    </row>
    <row r="1151" spans="1:11" outlineLevel="1" x14ac:dyDescent="0.2">
      <c r="A1151" s="11" t="s">
        <v>984</v>
      </c>
      <c r="B1151" s="11" t="s">
        <v>763</v>
      </c>
      <c r="C1151" s="11" t="s">
        <v>3150</v>
      </c>
      <c r="D1151" s="12" t="s">
        <v>1781</v>
      </c>
      <c r="E1151" s="13">
        <v>336</v>
      </c>
      <c r="F1151" s="14">
        <v>99.505997000000008</v>
      </c>
      <c r="G1151" s="15">
        <f>SUM(G1152:G1158)</f>
        <v>33434.014992000004</v>
      </c>
      <c r="H1151" s="16">
        <f t="shared" si="173"/>
        <v>1.7335706937723506E-4</v>
      </c>
    </row>
    <row r="1152" spans="1:11" outlineLevel="1" x14ac:dyDescent="0.2">
      <c r="A1152" s="29"/>
      <c r="B1152" s="30" t="s">
        <v>1482</v>
      </c>
      <c r="C1152" s="30" t="s">
        <v>396</v>
      </c>
      <c r="D1152" s="34" t="s">
        <v>1781</v>
      </c>
      <c r="E1152" s="31">
        <v>336</v>
      </c>
      <c r="F1152" s="31">
        <v>98.65</v>
      </c>
      <c r="G1152" s="32">
        <f t="shared" ref="G1152:G1158" si="181">F1152*E1152</f>
        <v>33146.400000000001</v>
      </c>
      <c r="H1152" s="33">
        <f t="shared" si="173"/>
        <v>1.7186577100538209E-4</v>
      </c>
      <c r="K1152" t="str">
        <f xml:space="preserve"> B1151 &amp; B1152</f>
        <v>Z000137006Z020106007</v>
      </c>
    </row>
    <row r="1153" spans="1:11" outlineLevel="1" x14ac:dyDescent="0.2">
      <c r="A1153" s="29"/>
      <c r="B1153" s="30" t="s">
        <v>160</v>
      </c>
      <c r="C1153" s="30" t="s">
        <v>726</v>
      </c>
      <c r="D1153" s="34" t="s">
        <v>1781</v>
      </c>
      <c r="E1153" s="31">
        <v>12.095999999999998</v>
      </c>
      <c r="F1153" s="31">
        <v>1.96</v>
      </c>
      <c r="G1153" s="32">
        <f t="shared" si="181"/>
        <v>23.708159999999996</v>
      </c>
      <c r="H1153" s="33">
        <f t="shared" si="173"/>
        <v>1.229280162406463E-7</v>
      </c>
      <c r="K1153" t="str">
        <f xml:space="preserve"> B1151 &amp; B1153</f>
        <v>Z000137006Z030101002</v>
      </c>
    </row>
    <row r="1154" spans="1:11" outlineLevel="1" x14ac:dyDescent="0.2">
      <c r="A1154" s="29"/>
      <c r="B1154" s="30" t="s">
        <v>1909</v>
      </c>
      <c r="C1154" s="30" t="s">
        <v>3136</v>
      </c>
      <c r="D1154" s="34" t="s">
        <v>1781</v>
      </c>
      <c r="E1154" s="31">
        <v>2.52</v>
      </c>
      <c r="F1154" s="31">
        <v>66.42</v>
      </c>
      <c r="G1154" s="32">
        <f t="shared" si="181"/>
        <v>167.3784</v>
      </c>
      <c r="H1154" s="33">
        <f t="shared" si="173"/>
        <v>8.6786552282139968E-7</v>
      </c>
      <c r="K1154" t="str">
        <f xml:space="preserve"> B1151 &amp; B1154</f>
        <v>Z000137006Z030103001</v>
      </c>
    </row>
    <row r="1155" spans="1:11" outlineLevel="1" x14ac:dyDescent="0.2">
      <c r="A1155" s="29"/>
      <c r="B1155" s="30" t="s">
        <v>626</v>
      </c>
      <c r="C1155" s="30" t="s">
        <v>1750</v>
      </c>
      <c r="D1155" s="34" t="s">
        <v>1781</v>
      </c>
      <c r="E1155" s="31">
        <v>1.6463999999999999</v>
      </c>
      <c r="F1155" s="31">
        <v>58.63</v>
      </c>
      <c r="G1155" s="32">
        <f t="shared" si="181"/>
        <v>96.528431999999995</v>
      </c>
      <c r="H1155" s="33">
        <f t="shared" si="173"/>
        <v>5.0050483279090925E-7</v>
      </c>
      <c r="K1155" t="str">
        <f xml:space="preserve"> B1151 &amp; B1155</f>
        <v>Z000137006Z030203004</v>
      </c>
    </row>
    <row r="1156" spans="1:11" outlineLevel="1" x14ac:dyDescent="0.2">
      <c r="A1156" s="29"/>
      <c r="B1156" s="30" t="s">
        <v>950</v>
      </c>
      <c r="C1156" s="30" t="s">
        <v>1391</v>
      </c>
      <c r="D1156" s="34" t="s">
        <v>151</v>
      </c>
      <c r="E1156" s="31">
        <v>0</v>
      </c>
      <c r="F1156" s="31">
        <v>15.0943</v>
      </c>
      <c r="G1156" s="32">
        <f t="shared" si="181"/>
        <v>0</v>
      </c>
      <c r="H1156" s="33">
        <f t="shared" si="173"/>
        <v>0</v>
      </c>
      <c r="K1156" t="str">
        <f xml:space="preserve"> B1151 &amp; B1156</f>
        <v>Z000137006Z040201008</v>
      </c>
    </row>
    <row r="1157" spans="1:11" outlineLevel="1" x14ac:dyDescent="0.2">
      <c r="A1157" s="29"/>
      <c r="B1157" s="30" t="s">
        <v>801</v>
      </c>
      <c r="C1157" s="30" t="s">
        <v>402</v>
      </c>
      <c r="D1157" s="34" t="s">
        <v>151</v>
      </c>
      <c r="E1157" s="31">
        <v>0</v>
      </c>
      <c r="F1157" s="31">
        <v>10.3</v>
      </c>
      <c r="G1157" s="32">
        <f t="shared" si="181"/>
        <v>0</v>
      </c>
      <c r="H1157" s="33">
        <f t="shared" si="173"/>
        <v>0</v>
      </c>
      <c r="K1157" t="str">
        <f xml:space="preserve"> B1151 &amp; B1157</f>
        <v>Z000137006Z040202006</v>
      </c>
    </row>
    <row r="1158" spans="1:11" outlineLevel="1" x14ac:dyDescent="0.2">
      <c r="A1158" s="29"/>
      <c r="B1158" s="30" t="s">
        <v>498</v>
      </c>
      <c r="C1158" s="30" t="s">
        <v>773</v>
      </c>
      <c r="D1158" s="34" t="s">
        <v>84</v>
      </c>
      <c r="E1158" s="31">
        <v>403.2</v>
      </c>
      <c r="F1158" s="31">
        <v>0</v>
      </c>
      <c r="G1158" s="32">
        <f t="shared" si="181"/>
        <v>0</v>
      </c>
      <c r="H1158" s="33">
        <f t="shared" si="173"/>
        <v>0</v>
      </c>
      <c r="K1158" t="str">
        <f xml:space="preserve"> B1151 &amp; B1158</f>
        <v>Z000137006Z040401001</v>
      </c>
    </row>
    <row r="1159" spans="1:11" outlineLevel="1" x14ac:dyDescent="0.2">
      <c r="A1159" s="11" t="s">
        <v>988</v>
      </c>
      <c r="B1159" s="11" t="s">
        <v>1370</v>
      </c>
      <c r="C1159" s="11" t="s">
        <v>3046</v>
      </c>
      <c r="D1159" s="12" t="s">
        <v>1781</v>
      </c>
      <c r="E1159" s="13">
        <v>240</v>
      </c>
      <c r="F1159" s="14">
        <v>1249.29295</v>
      </c>
      <c r="G1159" s="15">
        <f>SUM(G1160:G1164)</f>
        <v>299830.30800000002</v>
      </c>
      <c r="H1159" s="16">
        <f t="shared" si="173"/>
        <v>1.5546354070185957E-3</v>
      </c>
    </row>
    <row r="1160" spans="1:11" outlineLevel="1" x14ac:dyDescent="0.2">
      <c r="A1160" s="29"/>
      <c r="B1160" s="30" t="s">
        <v>21</v>
      </c>
      <c r="C1160" s="30" t="s">
        <v>3044</v>
      </c>
      <c r="D1160" s="34" t="s">
        <v>1781</v>
      </c>
      <c r="E1160" s="31">
        <v>240</v>
      </c>
      <c r="F1160" s="31">
        <v>1249.21</v>
      </c>
      <c r="G1160" s="32">
        <f t="shared" ref="G1160:G1164" si="182">F1160*E1160</f>
        <v>299810.40000000002</v>
      </c>
      <c r="H1160" s="33">
        <f t="shared" si="173"/>
        <v>1.5545321830253665E-3</v>
      </c>
      <c r="K1160" t="str">
        <f xml:space="preserve"> B1159 &amp; B1160</f>
        <v>Z000133014Z020103029</v>
      </c>
    </row>
    <row r="1161" spans="1:11" outlineLevel="1" x14ac:dyDescent="0.2">
      <c r="A1161" s="29"/>
      <c r="B1161" s="30" t="s">
        <v>1649</v>
      </c>
      <c r="C1161" s="30" t="s">
        <v>1145</v>
      </c>
      <c r="D1161" s="34" t="s">
        <v>1781</v>
      </c>
      <c r="E1161" s="31">
        <v>5.04</v>
      </c>
      <c r="F1161" s="31">
        <v>3.95</v>
      </c>
      <c r="G1161" s="32">
        <f t="shared" si="182"/>
        <v>19.908000000000001</v>
      </c>
      <c r="H1161" s="33">
        <f t="shared" si="173"/>
        <v>1.0322399322928422E-7</v>
      </c>
      <c r="K1161" t="str">
        <f xml:space="preserve"> B1159 &amp; B1161</f>
        <v>Z000133014Z030105002</v>
      </c>
    </row>
    <row r="1162" spans="1:11" outlineLevel="1" x14ac:dyDescent="0.2">
      <c r="A1162" s="29"/>
      <c r="B1162" s="30" t="s">
        <v>950</v>
      </c>
      <c r="C1162" s="30" t="s">
        <v>1391</v>
      </c>
      <c r="D1162" s="34" t="s">
        <v>151</v>
      </c>
      <c r="E1162" s="31">
        <v>0</v>
      </c>
      <c r="F1162" s="31">
        <v>15.0943</v>
      </c>
      <c r="G1162" s="32">
        <f t="shared" si="182"/>
        <v>0</v>
      </c>
      <c r="H1162" s="33">
        <f t="shared" si="173"/>
        <v>0</v>
      </c>
      <c r="K1162" t="str">
        <f xml:space="preserve"> B1159 &amp; B1162</f>
        <v>Z000133014Z040201008</v>
      </c>
    </row>
    <row r="1163" spans="1:11" outlineLevel="1" x14ac:dyDescent="0.2">
      <c r="A1163" s="29"/>
      <c r="B1163" s="30" t="s">
        <v>801</v>
      </c>
      <c r="C1163" s="30" t="s">
        <v>402</v>
      </c>
      <c r="D1163" s="34" t="s">
        <v>151</v>
      </c>
      <c r="E1163" s="31">
        <v>0</v>
      </c>
      <c r="F1163" s="31">
        <v>10.3</v>
      </c>
      <c r="G1163" s="32">
        <f t="shared" si="182"/>
        <v>0</v>
      </c>
      <c r="H1163" s="33">
        <f t="shared" si="173"/>
        <v>0</v>
      </c>
      <c r="K1163" t="str">
        <f xml:space="preserve"> B1159 &amp; B1163</f>
        <v>Z000133014Z040202006</v>
      </c>
    </row>
    <row r="1164" spans="1:11" outlineLevel="1" x14ac:dyDescent="0.2">
      <c r="A1164" s="29"/>
      <c r="B1164" s="30" t="s">
        <v>498</v>
      </c>
      <c r="C1164" s="30" t="s">
        <v>773</v>
      </c>
      <c r="D1164" s="34" t="s">
        <v>84</v>
      </c>
      <c r="E1164" s="31">
        <v>288</v>
      </c>
      <c r="F1164" s="31">
        <v>0</v>
      </c>
      <c r="G1164" s="32">
        <f t="shared" si="182"/>
        <v>0</v>
      </c>
      <c r="H1164" s="33">
        <f t="shared" si="173"/>
        <v>0</v>
      </c>
      <c r="K1164" t="str">
        <f xml:space="preserve"> B1159 &amp; B1164</f>
        <v>Z000133014Z040401001</v>
      </c>
    </row>
    <row r="1165" spans="1:11" outlineLevel="1" x14ac:dyDescent="0.2">
      <c r="A1165" s="11" t="s">
        <v>992</v>
      </c>
      <c r="B1165" s="11" t="s">
        <v>1125</v>
      </c>
      <c r="C1165" s="11" t="s">
        <v>3072</v>
      </c>
      <c r="D1165" s="12" t="s">
        <v>1781</v>
      </c>
      <c r="E1165" s="13">
        <v>336</v>
      </c>
      <c r="F1165" s="14">
        <v>628.09</v>
      </c>
      <c r="G1165" s="15">
        <f>SUM(G1166:G1169)</f>
        <v>211038.24000000002</v>
      </c>
      <c r="H1165" s="16">
        <f t="shared" si="173"/>
        <v>1.0942440153144494E-3</v>
      </c>
    </row>
    <row r="1166" spans="1:11" outlineLevel="1" x14ac:dyDescent="0.2">
      <c r="A1166" s="29"/>
      <c r="B1166" s="30" t="s">
        <v>18</v>
      </c>
      <c r="C1166" s="30" t="s">
        <v>3070</v>
      </c>
      <c r="D1166" s="34" t="s">
        <v>1781</v>
      </c>
      <c r="E1166" s="31">
        <v>336</v>
      </c>
      <c r="F1166" s="31">
        <v>628.09</v>
      </c>
      <c r="G1166" s="32">
        <f t="shared" ref="G1166:G1169" si="183">F1166*E1166</f>
        <v>211038.24000000002</v>
      </c>
      <c r="H1166" s="33">
        <f t="shared" si="173"/>
        <v>1.0942440153144494E-3</v>
      </c>
      <c r="K1166" t="str">
        <f xml:space="preserve"> B1165 &amp; B1166</f>
        <v>Z000135015Z020105062</v>
      </c>
    </row>
    <row r="1167" spans="1:11" outlineLevel="1" x14ac:dyDescent="0.2">
      <c r="A1167" s="29"/>
      <c r="B1167" s="30" t="s">
        <v>950</v>
      </c>
      <c r="C1167" s="30" t="s">
        <v>1391</v>
      </c>
      <c r="D1167" s="34" t="s">
        <v>151</v>
      </c>
      <c r="E1167" s="31">
        <v>0</v>
      </c>
      <c r="F1167" s="31">
        <v>15.0943</v>
      </c>
      <c r="G1167" s="32">
        <f t="shared" si="183"/>
        <v>0</v>
      </c>
      <c r="H1167" s="33">
        <f t="shared" si="173"/>
        <v>0</v>
      </c>
      <c r="K1167" t="str">
        <f xml:space="preserve"> B1165 &amp; B1167</f>
        <v>Z000135015Z040201008</v>
      </c>
    </row>
    <row r="1168" spans="1:11" outlineLevel="1" x14ac:dyDescent="0.2">
      <c r="A1168" s="29"/>
      <c r="B1168" s="30" t="s">
        <v>801</v>
      </c>
      <c r="C1168" s="30" t="s">
        <v>402</v>
      </c>
      <c r="D1168" s="34" t="s">
        <v>151</v>
      </c>
      <c r="E1168" s="31">
        <v>0</v>
      </c>
      <c r="F1168" s="31">
        <v>10.3</v>
      </c>
      <c r="G1168" s="32">
        <f t="shared" si="183"/>
        <v>0</v>
      </c>
      <c r="H1168" s="33">
        <f t="shared" si="173"/>
        <v>0</v>
      </c>
      <c r="K1168" t="str">
        <f xml:space="preserve"> B1165 &amp; B1168</f>
        <v>Z000135015Z040202006</v>
      </c>
    </row>
    <row r="1169" spans="1:11" outlineLevel="1" x14ac:dyDescent="0.2">
      <c r="A1169" s="29"/>
      <c r="B1169" s="30" t="s">
        <v>498</v>
      </c>
      <c r="C1169" s="30" t="s">
        <v>773</v>
      </c>
      <c r="D1169" s="34" t="s">
        <v>84</v>
      </c>
      <c r="E1169" s="31">
        <v>403.2</v>
      </c>
      <c r="F1169" s="31">
        <v>0</v>
      </c>
      <c r="G1169" s="32">
        <f t="shared" si="183"/>
        <v>0</v>
      </c>
      <c r="H1169" s="33">
        <f t="shared" si="173"/>
        <v>0</v>
      </c>
      <c r="K1169" t="str">
        <f xml:space="preserve"> B1165 &amp; B1169</f>
        <v>Z000135015Z040401001</v>
      </c>
    </row>
    <row r="1170" spans="1:11" outlineLevel="1" x14ac:dyDescent="0.2">
      <c r="A1170" s="11" t="s">
        <v>997</v>
      </c>
      <c r="B1170" s="11" t="s">
        <v>1366</v>
      </c>
      <c r="C1170" s="11" t="s">
        <v>3038</v>
      </c>
      <c r="D1170" s="12" t="s">
        <v>1781</v>
      </c>
      <c r="E1170" s="13">
        <v>336</v>
      </c>
      <c r="F1170" s="14">
        <v>1108.0859</v>
      </c>
      <c r="G1170" s="15">
        <f>SUM(G1171:G1175)</f>
        <v>372316.86239999998</v>
      </c>
      <c r="H1170" s="16">
        <f t="shared" ref="H1170:H1229" si="184">G1170/$F$2</f>
        <v>1.9304818808281064E-3</v>
      </c>
    </row>
    <row r="1171" spans="1:11" outlineLevel="1" x14ac:dyDescent="0.2">
      <c r="A1171" s="29"/>
      <c r="B1171" s="30" t="s">
        <v>17</v>
      </c>
      <c r="C1171" s="30" t="s">
        <v>3039</v>
      </c>
      <c r="D1171" s="34" t="s">
        <v>1781</v>
      </c>
      <c r="E1171" s="31">
        <v>336</v>
      </c>
      <c r="F1171" s="31">
        <v>1107.92</v>
      </c>
      <c r="G1171" s="32">
        <f t="shared" ref="G1171:G1175" si="185">F1171*E1171</f>
        <v>372261.12</v>
      </c>
      <c r="H1171" s="33">
        <f t="shared" si="184"/>
        <v>1.9301928536470643E-3</v>
      </c>
      <c r="K1171" t="str">
        <f xml:space="preserve"> B1170 &amp; B1171</f>
        <v>Z000133013Z020103028</v>
      </c>
    </row>
    <row r="1172" spans="1:11" outlineLevel="1" x14ac:dyDescent="0.2">
      <c r="A1172" s="29"/>
      <c r="B1172" s="30" t="s">
        <v>1649</v>
      </c>
      <c r="C1172" s="30" t="s">
        <v>1145</v>
      </c>
      <c r="D1172" s="34" t="s">
        <v>1781</v>
      </c>
      <c r="E1172" s="31">
        <v>14.112</v>
      </c>
      <c r="F1172" s="31">
        <v>3.95</v>
      </c>
      <c r="G1172" s="32">
        <f t="shared" si="185"/>
        <v>55.742400000000004</v>
      </c>
      <c r="H1172" s="33">
        <f t="shared" si="184"/>
        <v>2.8902718104199582E-7</v>
      </c>
      <c r="K1172" t="str">
        <f xml:space="preserve"> B1170 &amp; B1172</f>
        <v>Z000133013Z030105002</v>
      </c>
    </row>
    <row r="1173" spans="1:11" outlineLevel="1" x14ac:dyDescent="0.2">
      <c r="A1173" s="29"/>
      <c r="B1173" s="30" t="s">
        <v>950</v>
      </c>
      <c r="C1173" s="30" t="s">
        <v>1391</v>
      </c>
      <c r="D1173" s="34" t="s">
        <v>151</v>
      </c>
      <c r="E1173" s="31">
        <v>0</v>
      </c>
      <c r="F1173" s="31">
        <v>15.0943</v>
      </c>
      <c r="G1173" s="32">
        <f t="shared" si="185"/>
        <v>0</v>
      </c>
      <c r="H1173" s="33">
        <f t="shared" si="184"/>
        <v>0</v>
      </c>
      <c r="K1173" t="str">
        <f xml:space="preserve"> B1170 &amp; B1173</f>
        <v>Z000133013Z040201008</v>
      </c>
    </row>
    <row r="1174" spans="1:11" outlineLevel="1" x14ac:dyDescent="0.2">
      <c r="A1174" s="29"/>
      <c r="B1174" s="30" t="s">
        <v>801</v>
      </c>
      <c r="C1174" s="30" t="s">
        <v>402</v>
      </c>
      <c r="D1174" s="34" t="s">
        <v>151</v>
      </c>
      <c r="E1174" s="31">
        <v>0</v>
      </c>
      <c r="F1174" s="31">
        <v>10.3</v>
      </c>
      <c r="G1174" s="32">
        <f t="shared" si="185"/>
        <v>0</v>
      </c>
      <c r="H1174" s="33">
        <f t="shared" si="184"/>
        <v>0</v>
      </c>
      <c r="K1174" t="str">
        <f xml:space="preserve"> B1170 &amp; B1174</f>
        <v>Z000133013Z040202006</v>
      </c>
    </row>
    <row r="1175" spans="1:11" outlineLevel="1" x14ac:dyDescent="0.2">
      <c r="A1175" s="29"/>
      <c r="B1175" s="30" t="s">
        <v>498</v>
      </c>
      <c r="C1175" s="30" t="s">
        <v>773</v>
      </c>
      <c r="D1175" s="34" t="s">
        <v>84</v>
      </c>
      <c r="E1175" s="31">
        <v>403.2</v>
      </c>
      <c r="F1175" s="31">
        <v>0</v>
      </c>
      <c r="G1175" s="32">
        <f t="shared" si="185"/>
        <v>0</v>
      </c>
      <c r="H1175" s="33">
        <f t="shared" si="184"/>
        <v>0</v>
      </c>
      <c r="K1175" t="str">
        <f xml:space="preserve"> B1170 &amp; B1175</f>
        <v>Z000133013Z040401001</v>
      </c>
    </row>
    <row r="1176" spans="1:11" x14ac:dyDescent="0.2">
      <c r="A1176" s="23" t="s">
        <v>1855</v>
      </c>
      <c r="B1176" s="23" t="s">
        <v>328</v>
      </c>
      <c r="C1176" s="23" t="s">
        <v>234</v>
      </c>
      <c r="D1176" s="24"/>
      <c r="E1176" s="25"/>
      <c r="F1176" s="26"/>
      <c r="G1176" s="27">
        <f>SUM(G1177,G1183,G1189,G1195,G1201,G1207,G1213)</f>
        <v>292443.79440000001</v>
      </c>
      <c r="H1176" s="28">
        <f t="shared" si="184"/>
        <v>1.5163359580616731E-3</v>
      </c>
    </row>
    <row r="1177" spans="1:11" outlineLevel="1" x14ac:dyDescent="0.2">
      <c r="A1177" s="11" t="s">
        <v>762</v>
      </c>
      <c r="B1177" s="11" t="s">
        <v>543</v>
      </c>
      <c r="C1177" s="11" t="s">
        <v>3166</v>
      </c>
      <c r="D1177" s="12" t="s">
        <v>1781</v>
      </c>
      <c r="E1177" s="13">
        <v>312</v>
      </c>
      <c r="F1177" s="14">
        <v>379.08294999999998</v>
      </c>
      <c r="G1177" s="15">
        <f>SUM(G1178:G1182)</f>
        <v>118273.88039999999</v>
      </c>
      <c r="H1177" s="16">
        <f t="shared" si="184"/>
        <v>6.1325608949220267E-4</v>
      </c>
    </row>
    <row r="1178" spans="1:11" outlineLevel="1" x14ac:dyDescent="0.2">
      <c r="A1178" s="29"/>
      <c r="B1178" s="30" t="s">
        <v>1416</v>
      </c>
      <c r="C1178" s="30" t="s">
        <v>3164</v>
      </c>
      <c r="D1178" s="34" t="s">
        <v>1781</v>
      </c>
      <c r="E1178" s="31">
        <v>312</v>
      </c>
      <c r="F1178" s="31">
        <v>379</v>
      </c>
      <c r="G1178" s="32">
        <f t="shared" ref="G1178:G1182" si="186">F1178*E1178</f>
        <v>118248</v>
      </c>
      <c r="H1178" s="33">
        <f t="shared" si="184"/>
        <v>6.1312189830100465E-4</v>
      </c>
      <c r="K1178" t="str">
        <f xml:space="preserve"> B1177 &amp; B1178</f>
        <v>Z000139009Z020107014</v>
      </c>
    </row>
    <row r="1179" spans="1:11" outlineLevel="1" x14ac:dyDescent="0.2">
      <c r="A1179" s="29"/>
      <c r="B1179" s="30" t="s">
        <v>1649</v>
      </c>
      <c r="C1179" s="30" t="s">
        <v>1145</v>
      </c>
      <c r="D1179" s="34" t="s">
        <v>1781</v>
      </c>
      <c r="E1179" s="31">
        <v>6.5520000000000005</v>
      </c>
      <c r="F1179" s="31">
        <v>3.95</v>
      </c>
      <c r="G1179" s="32">
        <f t="shared" si="186"/>
        <v>25.880400000000002</v>
      </c>
      <c r="H1179" s="33">
        <f t="shared" si="184"/>
        <v>1.3419119119806949E-7</v>
      </c>
      <c r="K1179" t="str">
        <f xml:space="preserve"> B1177 &amp; B1179</f>
        <v>Z000139009Z030105002</v>
      </c>
    </row>
    <row r="1180" spans="1:11" outlineLevel="1" x14ac:dyDescent="0.2">
      <c r="A1180" s="29"/>
      <c r="B1180" s="30" t="s">
        <v>950</v>
      </c>
      <c r="C1180" s="30" t="s">
        <v>1391</v>
      </c>
      <c r="D1180" s="34" t="s">
        <v>151</v>
      </c>
      <c r="E1180" s="31">
        <v>0</v>
      </c>
      <c r="F1180" s="31">
        <v>15.0943</v>
      </c>
      <c r="G1180" s="32">
        <f t="shared" si="186"/>
        <v>0</v>
      </c>
      <c r="H1180" s="33">
        <f t="shared" si="184"/>
        <v>0</v>
      </c>
      <c r="K1180" t="str">
        <f xml:space="preserve"> B1177 &amp; B1180</f>
        <v>Z000139009Z040201008</v>
      </c>
    </row>
    <row r="1181" spans="1:11" outlineLevel="1" x14ac:dyDescent="0.2">
      <c r="A1181" s="29"/>
      <c r="B1181" s="30" t="s">
        <v>801</v>
      </c>
      <c r="C1181" s="30" t="s">
        <v>402</v>
      </c>
      <c r="D1181" s="34" t="s">
        <v>151</v>
      </c>
      <c r="E1181" s="31">
        <v>0</v>
      </c>
      <c r="F1181" s="31">
        <v>10.3</v>
      </c>
      <c r="G1181" s="32">
        <f t="shared" si="186"/>
        <v>0</v>
      </c>
      <c r="H1181" s="33">
        <f t="shared" si="184"/>
        <v>0</v>
      </c>
      <c r="K1181" t="str">
        <f xml:space="preserve"> B1177 &amp; B1181</f>
        <v>Z000139009Z040202006</v>
      </c>
    </row>
    <row r="1182" spans="1:11" outlineLevel="1" x14ac:dyDescent="0.2">
      <c r="A1182" s="29"/>
      <c r="B1182" s="30" t="s">
        <v>498</v>
      </c>
      <c r="C1182" s="30" t="s">
        <v>773</v>
      </c>
      <c r="D1182" s="34" t="s">
        <v>84</v>
      </c>
      <c r="E1182" s="31">
        <v>374.4</v>
      </c>
      <c r="F1182" s="31">
        <v>0</v>
      </c>
      <c r="G1182" s="32">
        <f t="shared" si="186"/>
        <v>0</v>
      </c>
      <c r="H1182" s="33">
        <f t="shared" si="184"/>
        <v>0</v>
      </c>
      <c r="K1182" t="str">
        <f xml:space="preserve"> B1177 &amp; B1182</f>
        <v>Z000139009Z040401001</v>
      </c>
    </row>
    <row r="1183" spans="1:11" outlineLevel="1" x14ac:dyDescent="0.2">
      <c r="A1183" s="11" t="s">
        <v>766</v>
      </c>
      <c r="B1183" s="11" t="s">
        <v>576</v>
      </c>
      <c r="C1183" s="11" t="s">
        <v>3173</v>
      </c>
      <c r="D1183" s="12" t="s">
        <v>1781</v>
      </c>
      <c r="E1183" s="13">
        <v>336</v>
      </c>
      <c r="F1183" s="14">
        <v>158.63295000000002</v>
      </c>
      <c r="G1183" s="15">
        <f>SUM(G1184:G1188)</f>
        <v>53300.671200000004</v>
      </c>
      <c r="H1183" s="16">
        <f t="shared" si="184"/>
        <v>2.7636669294078283E-4</v>
      </c>
    </row>
    <row r="1184" spans="1:11" outlineLevel="1" x14ac:dyDescent="0.2">
      <c r="A1184" s="29"/>
      <c r="B1184" s="30" t="s">
        <v>1419</v>
      </c>
      <c r="C1184" s="30" t="s">
        <v>3171</v>
      </c>
      <c r="D1184" s="34" t="s">
        <v>1781</v>
      </c>
      <c r="E1184" s="31">
        <v>336</v>
      </c>
      <c r="F1184" s="31">
        <v>158.55000000000001</v>
      </c>
      <c r="G1184" s="32">
        <f t="shared" ref="G1184:G1188" si="187">F1184*E1184</f>
        <v>53272.800000000003</v>
      </c>
      <c r="H1184" s="33">
        <f t="shared" si="184"/>
        <v>2.7622217935026181E-4</v>
      </c>
      <c r="K1184" t="str">
        <f xml:space="preserve"> B1183 &amp; B1184</f>
        <v>Z000139010Z020107015</v>
      </c>
    </row>
    <row r="1185" spans="1:11" outlineLevel="1" x14ac:dyDescent="0.2">
      <c r="A1185" s="29"/>
      <c r="B1185" s="30" t="s">
        <v>1649</v>
      </c>
      <c r="C1185" s="30" t="s">
        <v>1145</v>
      </c>
      <c r="D1185" s="34" t="s">
        <v>1781</v>
      </c>
      <c r="E1185" s="31">
        <v>7.056</v>
      </c>
      <c r="F1185" s="31">
        <v>3.95</v>
      </c>
      <c r="G1185" s="32">
        <f t="shared" si="187"/>
        <v>27.871200000000002</v>
      </c>
      <c r="H1185" s="33">
        <f t="shared" si="184"/>
        <v>1.4451359052099791E-7</v>
      </c>
      <c r="K1185" t="str">
        <f xml:space="preserve"> B1183 &amp; B1185</f>
        <v>Z000139010Z030105002</v>
      </c>
    </row>
    <row r="1186" spans="1:11" outlineLevel="1" x14ac:dyDescent="0.2">
      <c r="A1186" s="29"/>
      <c r="B1186" s="30" t="s">
        <v>950</v>
      </c>
      <c r="C1186" s="30" t="s">
        <v>1391</v>
      </c>
      <c r="D1186" s="34" t="s">
        <v>151</v>
      </c>
      <c r="E1186" s="31">
        <v>0</v>
      </c>
      <c r="F1186" s="31">
        <v>15.0943</v>
      </c>
      <c r="G1186" s="32">
        <f t="shared" si="187"/>
        <v>0</v>
      </c>
      <c r="H1186" s="33">
        <f t="shared" si="184"/>
        <v>0</v>
      </c>
      <c r="K1186" t="str">
        <f xml:space="preserve"> B1183 &amp; B1186</f>
        <v>Z000139010Z040201008</v>
      </c>
    </row>
    <row r="1187" spans="1:11" outlineLevel="1" x14ac:dyDescent="0.2">
      <c r="A1187" s="29"/>
      <c r="B1187" s="30" t="s">
        <v>801</v>
      </c>
      <c r="C1187" s="30" t="s">
        <v>402</v>
      </c>
      <c r="D1187" s="34" t="s">
        <v>151</v>
      </c>
      <c r="E1187" s="31">
        <v>0</v>
      </c>
      <c r="F1187" s="31">
        <v>10.3</v>
      </c>
      <c r="G1187" s="32">
        <f t="shared" si="187"/>
        <v>0</v>
      </c>
      <c r="H1187" s="33">
        <f t="shared" si="184"/>
        <v>0</v>
      </c>
      <c r="K1187" t="str">
        <f xml:space="preserve"> B1183 &amp; B1187</f>
        <v>Z000139010Z040202006</v>
      </c>
    </row>
    <row r="1188" spans="1:11" outlineLevel="1" x14ac:dyDescent="0.2">
      <c r="A1188" s="29"/>
      <c r="B1188" s="30" t="s">
        <v>498</v>
      </c>
      <c r="C1188" s="30" t="s">
        <v>773</v>
      </c>
      <c r="D1188" s="34" t="s">
        <v>84</v>
      </c>
      <c r="E1188" s="31">
        <v>403.2</v>
      </c>
      <c r="F1188" s="31">
        <v>0</v>
      </c>
      <c r="G1188" s="32">
        <f t="shared" si="187"/>
        <v>0</v>
      </c>
      <c r="H1188" s="33">
        <f t="shared" si="184"/>
        <v>0</v>
      </c>
      <c r="K1188" t="str">
        <f xml:space="preserve"> B1183 &amp; B1188</f>
        <v>Z000139010Z040401001</v>
      </c>
    </row>
    <row r="1189" spans="1:11" outlineLevel="1" x14ac:dyDescent="0.2">
      <c r="A1189" s="11" t="s">
        <v>770</v>
      </c>
      <c r="B1189" s="11" t="s">
        <v>913</v>
      </c>
      <c r="C1189" s="11" t="s">
        <v>3085</v>
      </c>
      <c r="D1189" s="12" t="s">
        <v>1781</v>
      </c>
      <c r="E1189" s="13">
        <v>72</v>
      </c>
      <c r="F1189" s="14">
        <v>242.74239999999998</v>
      </c>
      <c r="G1189" s="15">
        <f>SUM(G1190:G1194)</f>
        <v>17477.452799999999</v>
      </c>
      <c r="H1189" s="16">
        <f t="shared" si="184"/>
        <v>9.0621482293165283E-5</v>
      </c>
    </row>
    <row r="1190" spans="1:11" outlineLevel="1" x14ac:dyDescent="0.2">
      <c r="A1190" s="29"/>
      <c r="B1190" s="30" t="s">
        <v>1886</v>
      </c>
      <c r="C1190" s="30" t="s">
        <v>3083</v>
      </c>
      <c r="D1190" s="34" t="s">
        <v>1781</v>
      </c>
      <c r="E1190" s="31">
        <v>72</v>
      </c>
      <c r="F1190" s="31">
        <v>125.3824</v>
      </c>
      <c r="G1190" s="32">
        <f t="shared" ref="G1190:G1194" si="188">F1190*E1190</f>
        <v>9027.5328000000009</v>
      </c>
      <c r="H1190" s="33">
        <f t="shared" si="184"/>
        <v>4.680821702955301E-5</v>
      </c>
      <c r="K1190" t="str">
        <f xml:space="preserve"> B1189 &amp; B1190</f>
        <v>Z000136008Z020105041</v>
      </c>
    </row>
    <row r="1191" spans="1:11" outlineLevel="1" x14ac:dyDescent="0.2">
      <c r="A1191" s="29"/>
      <c r="B1191" s="30" t="s">
        <v>885</v>
      </c>
      <c r="C1191" s="30" t="s">
        <v>3086</v>
      </c>
      <c r="D1191" s="34" t="s">
        <v>1781</v>
      </c>
      <c r="E1191" s="31">
        <v>432</v>
      </c>
      <c r="F1191" s="31">
        <v>19.559999999999999</v>
      </c>
      <c r="G1191" s="32">
        <f t="shared" si="188"/>
        <v>8449.92</v>
      </c>
      <c r="H1191" s="33">
        <f t="shared" si="184"/>
        <v>4.381326526361228E-5</v>
      </c>
      <c r="K1191" t="str">
        <f xml:space="preserve"> B1189 &amp; B1191</f>
        <v>Z000136008Z030201004</v>
      </c>
    </row>
    <row r="1192" spans="1:11" outlineLevel="1" x14ac:dyDescent="0.2">
      <c r="A1192" s="29"/>
      <c r="B1192" s="30" t="s">
        <v>950</v>
      </c>
      <c r="C1192" s="30" t="s">
        <v>1391</v>
      </c>
      <c r="D1192" s="34" t="s">
        <v>151</v>
      </c>
      <c r="E1192" s="31">
        <v>0</v>
      </c>
      <c r="F1192" s="31">
        <v>15.0943</v>
      </c>
      <c r="G1192" s="32">
        <f t="shared" si="188"/>
        <v>0</v>
      </c>
      <c r="H1192" s="33">
        <f t="shared" si="184"/>
        <v>0</v>
      </c>
      <c r="K1192" t="str">
        <f xml:space="preserve"> B1189 &amp; B1192</f>
        <v>Z000136008Z040201008</v>
      </c>
    </row>
    <row r="1193" spans="1:11" outlineLevel="1" x14ac:dyDescent="0.2">
      <c r="A1193" s="29"/>
      <c r="B1193" s="30" t="s">
        <v>801</v>
      </c>
      <c r="C1193" s="30" t="s">
        <v>402</v>
      </c>
      <c r="D1193" s="34" t="s">
        <v>151</v>
      </c>
      <c r="E1193" s="31">
        <v>0</v>
      </c>
      <c r="F1193" s="31">
        <v>10.3</v>
      </c>
      <c r="G1193" s="32">
        <f t="shared" si="188"/>
        <v>0</v>
      </c>
      <c r="H1193" s="33">
        <f t="shared" si="184"/>
        <v>0</v>
      </c>
      <c r="K1193" t="str">
        <f xml:space="preserve"> B1189 &amp; B1193</f>
        <v>Z000136008Z040202006</v>
      </c>
    </row>
    <row r="1194" spans="1:11" outlineLevel="1" x14ac:dyDescent="0.2">
      <c r="A1194" s="29"/>
      <c r="B1194" s="30" t="s">
        <v>498</v>
      </c>
      <c r="C1194" s="30" t="s">
        <v>773</v>
      </c>
      <c r="D1194" s="34" t="s">
        <v>84</v>
      </c>
      <c r="E1194" s="31">
        <v>86.399999999999991</v>
      </c>
      <c r="F1194" s="31">
        <v>0</v>
      </c>
      <c r="G1194" s="32">
        <f t="shared" si="188"/>
        <v>0</v>
      </c>
      <c r="H1194" s="33">
        <f t="shared" si="184"/>
        <v>0</v>
      </c>
      <c r="K1194" t="str">
        <f xml:space="preserve"> B1189 &amp; B1194</f>
        <v>Z000136008Z040401001</v>
      </c>
    </row>
    <row r="1195" spans="1:11" outlineLevel="1" x14ac:dyDescent="0.2">
      <c r="A1195" s="11" t="s">
        <v>776</v>
      </c>
      <c r="B1195" s="11" t="s">
        <v>918</v>
      </c>
      <c r="C1195" s="11" t="s">
        <v>3093</v>
      </c>
      <c r="D1195" s="12" t="s">
        <v>1781</v>
      </c>
      <c r="E1195" s="13">
        <v>72</v>
      </c>
      <c r="F1195" s="14">
        <v>269.19690000000003</v>
      </c>
      <c r="G1195" s="15">
        <f>SUM(G1196:G1200)</f>
        <v>19382.176800000001</v>
      </c>
      <c r="H1195" s="16">
        <f t="shared" si="184"/>
        <v>1.0049757317520543E-4</v>
      </c>
    </row>
    <row r="1196" spans="1:11" outlineLevel="1" x14ac:dyDescent="0.2">
      <c r="A1196" s="29"/>
      <c r="B1196" s="30" t="s">
        <v>1883</v>
      </c>
      <c r="C1196" s="30" t="s">
        <v>3091</v>
      </c>
      <c r="D1196" s="34" t="s">
        <v>1781</v>
      </c>
      <c r="E1196" s="31">
        <v>72</v>
      </c>
      <c r="F1196" s="31">
        <v>151.83690000000001</v>
      </c>
      <c r="G1196" s="32">
        <f t="shared" ref="G1196:G1200" si="189">F1196*E1196</f>
        <v>10932.256800000001</v>
      </c>
      <c r="H1196" s="33">
        <f t="shared" si="184"/>
        <v>5.6684307911593149E-5</v>
      </c>
      <c r="K1196" t="str">
        <f xml:space="preserve"> B1195 &amp; B1196</f>
        <v>Z000136009Z020105040</v>
      </c>
    </row>
    <row r="1197" spans="1:11" outlineLevel="1" x14ac:dyDescent="0.2">
      <c r="A1197" s="29"/>
      <c r="B1197" s="30" t="s">
        <v>885</v>
      </c>
      <c r="C1197" s="30" t="s">
        <v>3086</v>
      </c>
      <c r="D1197" s="34" t="s">
        <v>1781</v>
      </c>
      <c r="E1197" s="31">
        <v>432</v>
      </c>
      <c r="F1197" s="31">
        <v>19.559999999999999</v>
      </c>
      <c r="G1197" s="32">
        <f t="shared" si="189"/>
        <v>8449.92</v>
      </c>
      <c r="H1197" s="33">
        <f t="shared" si="184"/>
        <v>4.381326526361228E-5</v>
      </c>
      <c r="K1197" t="str">
        <f xml:space="preserve"> B1195 &amp; B1197</f>
        <v>Z000136009Z030201004</v>
      </c>
    </row>
    <row r="1198" spans="1:11" outlineLevel="1" x14ac:dyDescent="0.2">
      <c r="A1198" s="29"/>
      <c r="B1198" s="30" t="s">
        <v>950</v>
      </c>
      <c r="C1198" s="30" t="s">
        <v>1391</v>
      </c>
      <c r="D1198" s="34" t="s">
        <v>151</v>
      </c>
      <c r="E1198" s="31">
        <v>0</v>
      </c>
      <c r="F1198" s="31">
        <v>15.0943</v>
      </c>
      <c r="G1198" s="32">
        <f t="shared" si="189"/>
        <v>0</v>
      </c>
      <c r="H1198" s="33">
        <f t="shared" si="184"/>
        <v>0</v>
      </c>
      <c r="K1198" t="str">
        <f xml:space="preserve"> B1195 &amp; B1198</f>
        <v>Z000136009Z040201008</v>
      </c>
    </row>
    <row r="1199" spans="1:11" outlineLevel="1" x14ac:dyDescent="0.2">
      <c r="A1199" s="29"/>
      <c r="B1199" s="30" t="s">
        <v>801</v>
      </c>
      <c r="C1199" s="30" t="s">
        <v>402</v>
      </c>
      <c r="D1199" s="34" t="s">
        <v>151</v>
      </c>
      <c r="E1199" s="31">
        <v>0</v>
      </c>
      <c r="F1199" s="31">
        <v>10.3</v>
      </c>
      <c r="G1199" s="32">
        <f t="shared" si="189"/>
        <v>0</v>
      </c>
      <c r="H1199" s="33">
        <f t="shared" si="184"/>
        <v>0</v>
      </c>
      <c r="K1199" t="str">
        <f xml:space="preserve"> B1195 &amp; B1199</f>
        <v>Z000136009Z040202006</v>
      </c>
    </row>
    <row r="1200" spans="1:11" outlineLevel="1" x14ac:dyDescent="0.2">
      <c r="A1200" s="29"/>
      <c r="B1200" s="30" t="s">
        <v>498</v>
      </c>
      <c r="C1200" s="30" t="s">
        <v>773</v>
      </c>
      <c r="D1200" s="34" t="s">
        <v>84</v>
      </c>
      <c r="E1200" s="31">
        <v>86.399999999999991</v>
      </c>
      <c r="F1200" s="31">
        <v>0</v>
      </c>
      <c r="G1200" s="32">
        <f t="shared" si="189"/>
        <v>0</v>
      </c>
      <c r="H1200" s="33">
        <f t="shared" si="184"/>
        <v>0</v>
      </c>
      <c r="K1200" t="str">
        <f xml:space="preserve"> B1195 &amp; B1200</f>
        <v>Z000136009Z040401001</v>
      </c>
    </row>
    <row r="1201" spans="1:11" outlineLevel="1" x14ac:dyDescent="0.2">
      <c r="A1201" s="11" t="s">
        <v>780</v>
      </c>
      <c r="B1201" s="11" t="s">
        <v>970</v>
      </c>
      <c r="C1201" s="11" t="s">
        <v>3100</v>
      </c>
      <c r="D1201" s="12" t="s">
        <v>1781</v>
      </c>
      <c r="E1201" s="13">
        <v>48</v>
      </c>
      <c r="F1201" s="14">
        <v>272.33879999999999</v>
      </c>
      <c r="G1201" s="15">
        <f>SUM(G1202:G1206)</f>
        <v>13072.2624</v>
      </c>
      <c r="H1201" s="16">
        <f t="shared" si="184"/>
        <v>6.7780345864427692E-5</v>
      </c>
    </row>
    <row r="1202" spans="1:11" outlineLevel="1" x14ac:dyDescent="0.2">
      <c r="A1202" s="29"/>
      <c r="B1202" s="30" t="s">
        <v>1834</v>
      </c>
      <c r="C1202" s="30" t="s">
        <v>3098</v>
      </c>
      <c r="D1202" s="34" t="s">
        <v>1781</v>
      </c>
      <c r="E1202" s="31">
        <v>48</v>
      </c>
      <c r="F1202" s="31">
        <v>154.97880000000001</v>
      </c>
      <c r="G1202" s="32">
        <f t="shared" ref="G1202:G1206" si="190">F1202*E1202</f>
        <v>7438.9824000000008</v>
      </c>
      <c r="H1202" s="33">
        <f t="shared" si="184"/>
        <v>3.8571502355352853E-5</v>
      </c>
      <c r="K1202" t="str">
        <f xml:space="preserve"> B1201 &amp; B1202</f>
        <v>Z000136010Z020105039</v>
      </c>
    </row>
    <row r="1203" spans="1:11" outlineLevel="1" x14ac:dyDescent="0.2">
      <c r="A1203" s="29"/>
      <c r="B1203" s="30" t="s">
        <v>885</v>
      </c>
      <c r="C1203" s="30" t="s">
        <v>3086</v>
      </c>
      <c r="D1203" s="34" t="s">
        <v>1781</v>
      </c>
      <c r="E1203" s="31">
        <v>288</v>
      </c>
      <c r="F1203" s="31">
        <v>19.559999999999999</v>
      </c>
      <c r="G1203" s="32">
        <f t="shared" si="190"/>
        <v>5633.28</v>
      </c>
      <c r="H1203" s="33">
        <f t="shared" si="184"/>
        <v>2.9208843509074853E-5</v>
      </c>
      <c r="K1203" t="str">
        <f xml:space="preserve"> B1201 &amp; B1203</f>
        <v>Z000136010Z030201004</v>
      </c>
    </row>
    <row r="1204" spans="1:11" outlineLevel="1" x14ac:dyDescent="0.2">
      <c r="A1204" s="29"/>
      <c r="B1204" s="30" t="s">
        <v>950</v>
      </c>
      <c r="C1204" s="30" t="s">
        <v>1391</v>
      </c>
      <c r="D1204" s="34" t="s">
        <v>151</v>
      </c>
      <c r="E1204" s="31">
        <v>0</v>
      </c>
      <c r="F1204" s="31">
        <v>15.0943</v>
      </c>
      <c r="G1204" s="32">
        <f t="shared" si="190"/>
        <v>0</v>
      </c>
      <c r="H1204" s="33">
        <f t="shared" si="184"/>
        <v>0</v>
      </c>
      <c r="K1204" t="str">
        <f xml:space="preserve"> B1201 &amp; B1204</f>
        <v>Z000136010Z040201008</v>
      </c>
    </row>
    <row r="1205" spans="1:11" outlineLevel="1" x14ac:dyDescent="0.2">
      <c r="A1205" s="29"/>
      <c r="B1205" s="30" t="s">
        <v>801</v>
      </c>
      <c r="C1205" s="30" t="s">
        <v>402</v>
      </c>
      <c r="D1205" s="34" t="s">
        <v>151</v>
      </c>
      <c r="E1205" s="31">
        <v>0</v>
      </c>
      <c r="F1205" s="31">
        <v>10.3</v>
      </c>
      <c r="G1205" s="32">
        <f t="shared" si="190"/>
        <v>0</v>
      </c>
      <c r="H1205" s="33">
        <f t="shared" si="184"/>
        <v>0</v>
      </c>
      <c r="K1205" t="str">
        <f xml:space="preserve"> B1201 &amp; B1205</f>
        <v>Z000136010Z040202006</v>
      </c>
    </row>
    <row r="1206" spans="1:11" outlineLevel="1" x14ac:dyDescent="0.2">
      <c r="A1206" s="29"/>
      <c r="B1206" s="30" t="s">
        <v>498</v>
      </c>
      <c r="C1206" s="30" t="s">
        <v>773</v>
      </c>
      <c r="D1206" s="34" t="s">
        <v>84</v>
      </c>
      <c r="E1206" s="31">
        <v>57.599999999999994</v>
      </c>
      <c r="F1206" s="31">
        <v>0</v>
      </c>
      <c r="G1206" s="32">
        <f t="shared" si="190"/>
        <v>0</v>
      </c>
      <c r="H1206" s="33">
        <f t="shared" si="184"/>
        <v>0</v>
      </c>
      <c r="K1206" t="str">
        <f xml:space="preserve"> B1201 &amp; B1206</f>
        <v>Z000136010Z040401001</v>
      </c>
    </row>
    <row r="1207" spans="1:11" outlineLevel="1" x14ac:dyDescent="0.2">
      <c r="A1207" s="11" t="s">
        <v>784</v>
      </c>
      <c r="B1207" s="11" t="s">
        <v>973</v>
      </c>
      <c r="C1207" s="11" t="s">
        <v>3107</v>
      </c>
      <c r="D1207" s="12" t="s">
        <v>1781</v>
      </c>
      <c r="E1207" s="13">
        <v>24</v>
      </c>
      <c r="F1207" s="14">
        <v>2265.79</v>
      </c>
      <c r="G1207" s="15">
        <f>SUM(G1208:G1212)</f>
        <v>54378.96</v>
      </c>
      <c r="H1207" s="16">
        <f t="shared" si="184"/>
        <v>2.819576752489209E-4</v>
      </c>
    </row>
    <row r="1208" spans="1:11" outlineLevel="1" x14ac:dyDescent="0.2">
      <c r="A1208" s="29"/>
      <c r="B1208" s="30" t="s">
        <v>1888</v>
      </c>
      <c r="C1208" s="30" t="s">
        <v>3105</v>
      </c>
      <c r="D1208" s="34" t="s">
        <v>1781</v>
      </c>
      <c r="E1208" s="31">
        <v>24</v>
      </c>
      <c r="F1208" s="31">
        <v>2109.31</v>
      </c>
      <c r="G1208" s="32">
        <f t="shared" ref="G1208:G1212" si="191">F1208*E1208</f>
        <v>50623.44</v>
      </c>
      <c r="H1208" s="33">
        <f t="shared" si="184"/>
        <v>2.624851129095377E-4</v>
      </c>
      <c r="K1208" t="str">
        <f xml:space="preserve"> B1207 &amp; B1208</f>
        <v>Z000136011Z020105042</v>
      </c>
    </row>
    <row r="1209" spans="1:11" outlineLevel="1" x14ac:dyDescent="0.2">
      <c r="A1209" s="29"/>
      <c r="B1209" s="30" t="s">
        <v>885</v>
      </c>
      <c r="C1209" s="30" t="s">
        <v>3086</v>
      </c>
      <c r="D1209" s="34" t="s">
        <v>1781</v>
      </c>
      <c r="E1209" s="31">
        <v>192</v>
      </c>
      <c r="F1209" s="31">
        <v>19.559999999999999</v>
      </c>
      <c r="G1209" s="32">
        <f t="shared" si="191"/>
        <v>3755.5199999999995</v>
      </c>
      <c r="H1209" s="33">
        <f t="shared" si="184"/>
        <v>1.9472562339383232E-5</v>
      </c>
      <c r="K1209" t="str">
        <f xml:space="preserve"> B1207 &amp; B1209</f>
        <v>Z000136011Z030201004</v>
      </c>
    </row>
    <row r="1210" spans="1:11" outlineLevel="1" x14ac:dyDescent="0.2">
      <c r="A1210" s="29"/>
      <c r="B1210" s="30" t="s">
        <v>950</v>
      </c>
      <c r="C1210" s="30" t="s">
        <v>1391</v>
      </c>
      <c r="D1210" s="34" t="s">
        <v>151</v>
      </c>
      <c r="E1210" s="31">
        <v>0</v>
      </c>
      <c r="F1210" s="31">
        <v>15.0943</v>
      </c>
      <c r="G1210" s="32">
        <f t="shared" si="191"/>
        <v>0</v>
      </c>
      <c r="H1210" s="33">
        <f t="shared" si="184"/>
        <v>0</v>
      </c>
      <c r="K1210" t="str">
        <f xml:space="preserve"> B1207 &amp; B1210</f>
        <v>Z000136011Z040201008</v>
      </c>
    </row>
    <row r="1211" spans="1:11" outlineLevel="1" x14ac:dyDescent="0.2">
      <c r="A1211" s="29"/>
      <c r="B1211" s="30" t="s">
        <v>801</v>
      </c>
      <c r="C1211" s="30" t="s">
        <v>402</v>
      </c>
      <c r="D1211" s="34" t="s">
        <v>151</v>
      </c>
      <c r="E1211" s="31">
        <v>0</v>
      </c>
      <c r="F1211" s="31">
        <v>10.3</v>
      </c>
      <c r="G1211" s="32">
        <f t="shared" si="191"/>
        <v>0</v>
      </c>
      <c r="H1211" s="33">
        <f t="shared" si="184"/>
        <v>0</v>
      </c>
      <c r="K1211" t="str">
        <f xml:space="preserve"> B1207 &amp; B1211</f>
        <v>Z000136011Z040202006</v>
      </c>
    </row>
    <row r="1212" spans="1:11" outlineLevel="1" x14ac:dyDescent="0.2">
      <c r="A1212" s="29"/>
      <c r="B1212" s="30" t="s">
        <v>498</v>
      </c>
      <c r="C1212" s="30" t="s">
        <v>773</v>
      </c>
      <c r="D1212" s="34" t="s">
        <v>84</v>
      </c>
      <c r="E1212" s="31">
        <v>28.799999999999997</v>
      </c>
      <c r="F1212" s="31">
        <v>0</v>
      </c>
      <c r="G1212" s="32">
        <f t="shared" si="191"/>
        <v>0</v>
      </c>
      <c r="H1212" s="33">
        <f t="shared" si="184"/>
        <v>0</v>
      </c>
      <c r="K1212" t="str">
        <f xml:space="preserve"> B1207 &amp; B1212</f>
        <v>Z000136011Z040401001</v>
      </c>
    </row>
    <row r="1213" spans="1:11" outlineLevel="1" x14ac:dyDescent="0.2">
      <c r="A1213" s="11" t="s">
        <v>786</v>
      </c>
      <c r="B1213" s="11" t="s">
        <v>4944</v>
      </c>
      <c r="C1213" s="11" t="s">
        <v>4946</v>
      </c>
      <c r="D1213" s="12" t="s">
        <v>1781</v>
      </c>
      <c r="E1213" s="13">
        <v>24</v>
      </c>
      <c r="F1213" s="14">
        <v>689.93295000000001</v>
      </c>
      <c r="G1213" s="15">
        <f>SUM(G1214:G1218)</f>
        <v>16558.390800000001</v>
      </c>
      <c r="H1213" s="16">
        <f t="shared" si="184"/>
        <v>8.5856099046968163E-5</v>
      </c>
    </row>
    <row r="1214" spans="1:11" outlineLevel="1" x14ac:dyDescent="0.2">
      <c r="A1214" s="29"/>
      <c r="B1214" s="30" t="s">
        <v>1346</v>
      </c>
      <c r="C1214" s="30" t="s">
        <v>3356</v>
      </c>
      <c r="D1214" s="34" t="s">
        <v>1781</v>
      </c>
      <c r="E1214" s="31">
        <v>24</v>
      </c>
      <c r="F1214" s="31">
        <v>689.85</v>
      </c>
      <c r="G1214" s="32">
        <f t="shared" ref="G1214:G1217" si="192">F1214*E1214</f>
        <v>16556.400000000001</v>
      </c>
      <c r="H1214" s="33">
        <f t="shared" si="184"/>
        <v>8.5845776647645232E-5</v>
      </c>
      <c r="K1214" t="str">
        <f xml:space="preserve"> B1213 &amp; B1214</f>
        <v>Z000139004Z020107006</v>
      </c>
    </row>
    <row r="1215" spans="1:11" outlineLevel="1" x14ac:dyDescent="0.2">
      <c r="A1215" s="29"/>
      <c r="B1215" s="30" t="s">
        <v>950</v>
      </c>
      <c r="C1215" s="30" t="s">
        <v>1391</v>
      </c>
      <c r="D1215" s="34" t="s">
        <v>151</v>
      </c>
      <c r="E1215" s="31">
        <v>0</v>
      </c>
      <c r="F1215" s="31">
        <v>15.0943</v>
      </c>
      <c r="G1215" s="32">
        <f t="shared" si="192"/>
        <v>0</v>
      </c>
      <c r="H1215" s="33">
        <f t="shared" si="184"/>
        <v>0</v>
      </c>
      <c r="K1215" t="str">
        <f xml:space="preserve"> B1213 &amp; B1215</f>
        <v>Z000139004Z040201008</v>
      </c>
    </row>
    <row r="1216" spans="1:11" outlineLevel="1" x14ac:dyDescent="0.2">
      <c r="A1216" s="29"/>
      <c r="B1216" s="30" t="s">
        <v>801</v>
      </c>
      <c r="C1216" s="30" t="s">
        <v>402</v>
      </c>
      <c r="D1216" s="34" t="s">
        <v>151</v>
      </c>
      <c r="E1216" s="31">
        <v>0</v>
      </c>
      <c r="F1216" s="31">
        <v>10.3</v>
      </c>
      <c r="G1216" s="32">
        <f t="shared" si="192"/>
        <v>0</v>
      </c>
      <c r="H1216" s="33">
        <f t="shared" si="184"/>
        <v>0</v>
      </c>
      <c r="K1216" t="str">
        <f xml:space="preserve"> B1213 &amp; B1216</f>
        <v>Z000139004Z040202006</v>
      </c>
    </row>
    <row r="1217" spans="1:11" outlineLevel="1" x14ac:dyDescent="0.2">
      <c r="A1217" s="29"/>
      <c r="B1217" s="30" t="s">
        <v>498</v>
      </c>
      <c r="C1217" s="30" t="s">
        <v>773</v>
      </c>
      <c r="D1217" s="34" t="s">
        <v>84</v>
      </c>
      <c r="E1217" s="31">
        <v>28.799999999999997</v>
      </c>
      <c r="F1217" s="31">
        <v>0</v>
      </c>
      <c r="G1217" s="32">
        <f t="shared" si="192"/>
        <v>0</v>
      </c>
      <c r="H1217" s="33">
        <f t="shared" si="184"/>
        <v>0</v>
      </c>
      <c r="K1217" t="str">
        <f xml:space="preserve"> B1213 &amp; B1217</f>
        <v>Z000139004Z040401001</v>
      </c>
    </row>
    <row r="1218" spans="1:11" outlineLevel="1" x14ac:dyDescent="0.2">
      <c r="A1218" s="29"/>
      <c r="B1218" s="30" t="s">
        <v>1649</v>
      </c>
      <c r="C1218" s="30" t="s">
        <v>1145</v>
      </c>
      <c r="D1218" s="34" t="s">
        <v>84</v>
      </c>
      <c r="E1218" s="31">
        <v>0.504</v>
      </c>
      <c r="F1218" s="31">
        <v>3.95</v>
      </c>
      <c r="G1218" s="32">
        <f t="shared" ref="G1218" si="193">F1218*E1218</f>
        <v>1.9908000000000001</v>
      </c>
      <c r="H1218" s="33">
        <f t="shared" ref="H1218" si="194">G1218/$F$2</f>
        <v>1.0322399322928422E-8</v>
      </c>
      <c r="K1218" t="str">
        <f xml:space="preserve"> B1213 &amp; B1218</f>
        <v>Z000139004Z030105002</v>
      </c>
    </row>
    <row r="1219" spans="1:11" ht="18.75" x14ac:dyDescent="0.2">
      <c r="A1219" s="5">
        <v>14</v>
      </c>
      <c r="B1219" s="5" t="s">
        <v>328</v>
      </c>
      <c r="C1219" s="5" t="s">
        <v>959</v>
      </c>
      <c r="D1219" s="6"/>
      <c r="E1219" s="7"/>
      <c r="F1219" s="8"/>
      <c r="G1219" s="9">
        <f>SUM(G1220)</f>
        <v>340462.73060740007</v>
      </c>
      <c r="H1219" s="10">
        <f t="shared" si="184"/>
        <v>1.7653165862488386E-3</v>
      </c>
    </row>
    <row r="1220" spans="1:11" ht="15" x14ac:dyDescent="0.2">
      <c r="A1220" s="17" t="s">
        <v>2040</v>
      </c>
      <c r="B1220" s="17" t="s">
        <v>328</v>
      </c>
      <c r="C1220" s="17" t="s">
        <v>685</v>
      </c>
      <c r="D1220" s="18"/>
      <c r="E1220" s="19"/>
      <c r="F1220" s="20"/>
      <c r="G1220" s="21">
        <f>SUM(G1221,G1277,G1380)</f>
        <v>340462.73060740007</v>
      </c>
      <c r="H1220" s="22">
        <f t="shared" si="184"/>
        <v>1.7653165862488386E-3</v>
      </c>
    </row>
    <row r="1221" spans="1:11" x14ac:dyDescent="0.2">
      <c r="A1221" s="23" t="s">
        <v>1159</v>
      </c>
      <c r="B1221" s="23" t="s">
        <v>328</v>
      </c>
      <c r="C1221" s="23" t="s">
        <v>401</v>
      </c>
      <c r="D1221" s="24"/>
      <c r="E1221" s="25"/>
      <c r="F1221" s="26"/>
      <c r="G1221" s="27">
        <f>SUM(G1222,G1230,G1238,G1244,G1250,G1257,G1263,G1270)</f>
        <v>109481.95003600002</v>
      </c>
      <c r="H1221" s="28">
        <f t="shared" si="184"/>
        <v>5.6766948308443338E-4</v>
      </c>
    </row>
    <row r="1222" spans="1:11" outlineLevel="1" x14ac:dyDescent="0.2">
      <c r="A1222" s="11" t="s">
        <v>1847</v>
      </c>
      <c r="B1222" s="11" t="s">
        <v>1412</v>
      </c>
      <c r="C1222" s="11" t="s">
        <v>3195</v>
      </c>
      <c r="D1222" s="12" t="s">
        <v>1781</v>
      </c>
      <c r="E1222" s="13">
        <v>47</v>
      </c>
      <c r="F1222" s="14">
        <v>866.51349200000004</v>
      </c>
      <c r="G1222" s="15">
        <f>SUM(G1223:G1229)</f>
        <v>40726.134124000004</v>
      </c>
      <c r="H1222" s="16">
        <f t="shared" si="184"/>
        <v>2.1116707821331612E-4</v>
      </c>
    </row>
    <row r="1223" spans="1:11" outlineLevel="1" x14ac:dyDescent="0.2">
      <c r="A1223" s="29"/>
      <c r="B1223" s="30" t="s">
        <v>179</v>
      </c>
      <c r="C1223" s="30" t="s">
        <v>3021</v>
      </c>
      <c r="D1223" s="34" t="s">
        <v>1781</v>
      </c>
      <c r="E1223" s="31">
        <v>47</v>
      </c>
      <c r="F1223" s="31">
        <v>801.73</v>
      </c>
      <c r="G1223" s="32">
        <f t="shared" ref="G1223:G1229" si="195">F1223*E1223</f>
        <v>37681.31</v>
      </c>
      <c r="H1223" s="33">
        <f t="shared" si="184"/>
        <v>1.9537951016227443E-4</v>
      </c>
      <c r="K1223" t="str">
        <f xml:space="preserve"> B1222 &amp; B1223</f>
        <v>Z000141008Z020101010</v>
      </c>
    </row>
    <row r="1224" spans="1:11" outlineLevel="1" x14ac:dyDescent="0.2">
      <c r="A1224" s="29"/>
      <c r="B1224" s="30" t="s">
        <v>1832</v>
      </c>
      <c r="C1224" s="30" t="s">
        <v>3013</v>
      </c>
      <c r="D1224" s="34" t="s">
        <v>1781</v>
      </c>
      <c r="E1224" s="31">
        <v>47</v>
      </c>
      <c r="F1224" s="31">
        <v>10.83</v>
      </c>
      <c r="G1224" s="32">
        <f t="shared" si="195"/>
        <v>509.01</v>
      </c>
      <c r="H1224" s="33">
        <f t="shared" si="184"/>
        <v>2.6392427563611593E-6</v>
      </c>
      <c r="K1224" t="str">
        <f xml:space="preserve"> B1222 &amp; B1224</f>
        <v>Z000141008Z020105038</v>
      </c>
    </row>
    <row r="1225" spans="1:11" outlineLevel="1" x14ac:dyDescent="0.2">
      <c r="A1225" s="29"/>
      <c r="B1225" s="30" t="s">
        <v>708</v>
      </c>
      <c r="C1225" s="30" t="s">
        <v>865</v>
      </c>
      <c r="D1225" s="34" t="s">
        <v>1052</v>
      </c>
      <c r="E1225" s="31">
        <v>4.1406999999999998</v>
      </c>
      <c r="F1225" s="31">
        <v>13.32</v>
      </c>
      <c r="G1225" s="32">
        <f t="shared" si="195"/>
        <v>55.154123999999996</v>
      </c>
      <c r="H1225" s="33">
        <f t="shared" si="184"/>
        <v>2.8597694004134525E-7</v>
      </c>
      <c r="K1225" t="str">
        <f xml:space="preserve"> B1222 &amp; B1225</f>
        <v>Z000141008Z020202002</v>
      </c>
    </row>
    <row r="1226" spans="1:11" outlineLevel="1" x14ac:dyDescent="0.2">
      <c r="A1226" s="29"/>
      <c r="B1226" s="30" t="s">
        <v>880</v>
      </c>
      <c r="C1226" s="30" t="s">
        <v>3016</v>
      </c>
      <c r="D1226" s="34" t="s">
        <v>1781</v>
      </c>
      <c r="E1226" s="31">
        <v>94</v>
      </c>
      <c r="F1226" s="31">
        <v>26.39</v>
      </c>
      <c r="G1226" s="32">
        <f t="shared" si="195"/>
        <v>2480.66</v>
      </c>
      <c r="H1226" s="33">
        <f t="shared" si="184"/>
        <v>1.2862348354639149E-5</v>
      </c>
      <c r="K1226" t="str">
        <f xml:space="preserve"> B1222 &amp; B1226</f>
        <v>Z000141008Z030201003</v>
      </c>
    </row>
    <row r="1227" spans="1:11" outlineLevel="1" x14ac:dyDescent="0.2">
      <c r="A1227" s="29"/>
      <c r="B1227" s="30" t="s">
        <v>950</v>
      </c>
      <c r="C1227" s="30" t="s">
        <v>1391</v>
      </c>
      <c r="D1227" s="34" t="s">
        <v>151</v>
      </c>
      <c r="E1227" s="31">
        <v>0</v>
      </c>
      <c r="F1227" s="31">
        <v>15.0943</v>
      </c>
      <c r="G1227" s="32">
        <f t="shared" si="195"/>
        <v>0</v>
      </c>
      <c r="H1227" s="33">
        <f t="shared" si="184"/>
        <v>0</v>
      </c>
      <c r="K1227" t="str">
        <f xml:space="preserve"> B1222 &amp; B1227</f>
        <v>Z000141008Z040201008</v>
      </c>
    </row>
    <row r="1228" spans="1:11" outlineLevel="1" x14ac:dyDescent="0.2">
      <c r="A1228" s="29"/>
      <c r="B1228" s="30" t="s">
        <v>801</v>
      </c>
      <c r="C1228" s="30" t="s">
        <v>402</v>
      </c>
      <c r="D1228" s="34" t="s">
        <v>151</v>
      </c>
      <c r="E1228" s="31">
        <v>0</v>
      </c>
      <c r="F1228" s="31">
        <v>10.3</v>
      </c>
      <c r="G1228" s="32">
        <f t="shared" si="195"/>
        <v>0</v>
      </c>
      <c r="H1228" s="33">
        <f t="shared" si="184"/>
        <v>0</v>
      </c>
      <c r="K1228" t="str">
        <f xml:space="preserve"> B1222 &amp; B1228</f>
        <v>Z000141008Z040202006</v>
      </c>
    </row>
    <row r="1229" spans="1:11" outlineLevel="1" x14ac:dyDescent="0.2">
      <c r="A1229" s="29"/>
      <c r="B1229" s="30" t="s">
        <v>498</v>
      </c>
      <c r="C1229" s="30" t="s">
        <v>773</v>
      </c>
      <c r="D1229" s="34" t="s">
        <v>84</v>
      </c>
      <c r="E1229" s="31">
        <v>56.4</v>
      </c>
      <c r="F1229" s="31">
        <v>0</v>
      </c>
      <c r="G1229" s="32">
        <f t="shared" si="195"/>
        <v>0</v>
      </c>
      <c r="H1229" s="33">
        <f t="shared" si="184"/>
        <v>0</v>
      </c>
      <c r="K1229" t="str">
        <f xml:space="preserve"> B1222 &amp; B1229</f>
        <v>Z000141008Z040401001</v>
      </c>
    </row>
    <row r="1230" spans="1:11" outlineLevel="1" x14ac:dyDescent="0.2">
      <c r="A1230" s="11" t="s">
        <v>1851</v>
      </c>
      <c r="B1230" s="11" t="s">
        <v>1400</v>
      </c>
      <c r="C1230" s="11" t="s">
        <v>3179</v>
      </c>
      <c r="D1230" s="12" t="s">
        <v>1781</v>
      </c>
      <c r="E1230" s="13">
        <v>9</v>
      </c>
      <c r="F1230" s="14">
        <v>1071.8734919999999</v>
      </c>
      <c r="G1230" s="15">
        <f>SUM(G1231:G1237)</f>
        <v>9646.8614280000002</v>
      </c>
      <c r="H1230" s="16">
        <f t="shared" ref="H1230:H1293" si="196">G1230/$F$2</f>
        <v>5.0019467486825154E-5</v>
      </c>
    </row>
    <row r="1231" spans="1:11" outlineLevel="1" x14ac:dyDescent="0.2">
      <c r="A1231" s="29"/>
      <c r="B1231" s="30" t="s">
        <v>147</v>
      </c>
      <c r="C1231" s="30" t="s">
        <v>3010</v>
      </c>
      <c r="D1231" s="34" t="s">
        <v>1781</v>
      </c>
      <c r="E1231" s="31">
        <v>9</v>
      </c>
      <c r="F1231" s="31">
        <v>1007.09</v>
      </c>
      <c r="G1231" s="32">
        <f t="shared" ref="G1231:G1237" si="197">F1231*E1231</f>
        <v>9063.81</v>
      </c>
      <c r="H1231" s="33">
        <f t="shared" si="196"/>
        <v>4.6996316157902276E-5</v>
      </c>
      <c r="K1231" t="str">
        <f xml:space="preserve"> B1230 &amp; B1231</f>
        <v>Z000141005Z020101005</v>
      </c>
    </row>
    <row r="1232" spans="1:11" outlineLevel="1" x14ac:dyDescent="0.2">
      <c r="A1232" s="29"/>
      <c r="B1232" s="30" t="s">
        <v>1832</v>
      </c>
      <c r="C1232" s="30" t="s">
        <v>3013</v>
      </c>
      <c r="D1232" s="34" t="s">
        <v>1781</v>
      </c>
      <c r="E1232" s="31">
        <v>9</v>
      </c>
      <c r="F1232" s="31">
        <v>10.83</v>
      </c>
      <c r="G1232" s="32">
        <f t="shared" si="197"/>
        <v>97.47</v>
      </c>
      <c r="H1232" s="33">
        <f t="shared" si="196"/>
        <v>5.0538691079256239E-7</v>
      </c>
      <c r="K1232" t="str">
        <f xml:space="preserve"> B1230 &amp; B1232</f>
        <v>Z000141005Z020105038</v>
      </c>
    </row>
    <row r="1233" spans="1:11" outlineLevel="1" x14ac:dyDescent="0.2">
      <c r="A1233" s="29"/>
      <c r="B1233" s="30" t="s">
        <v>708</v>
      </c>
      <c r="C1233" s="30" t="s">
        <v>865</v>
      </c>
      <c r="D1233" s="34" t="s">
        <v>1052</v>
      </c>
      <c r="E1233" s="31">
        <v>0.79289999999999994</v>
      </c>
      <c r="F1233" s="31">
        <v>13.32</v>
      </c>
      <c r="G1233" s="32">
        <f t="shared" si="197"/>
        <v>10.561427999999999</v>
      </c>
      <c r="H1233" s="33">
        <f t="shared" si="196"/>
        <v>5.4761541710044843E-8</v>
      </c>
      <c r="K1233" t="str">
        <f xml:space="preserve"> B1230 &amp; B1233</f>
        <v>Z000141005Z020202002</v>
      </c>
    </row>
    <row r="1234" spans="1:11" outlineLevel="1" x14ac:dyDescent="0.2">
      <c r="A1234" s="29"/>
      <c r="B1234" s="30" t="s">
        <v>880</v>
      </c>
      <c r="C1234" s="30" t="s">
        <v>3016</v>
      </c>
      <c r="D1234" s="34" t="s">
        <v>1781</v>
      </c>
      <c r="E1234" s="31">
        <v>18</v>
      </c>
      <c r="F1234" s="31">
        <v>26.39</v>
      </c>
      <c r="G1234" s="32">
        <f t="shared" si="197"/>
        <v>475.02</v>
      </c>
      <c r="H1234" s="33">
        <f t="shared" si="196"/>
        <v>2.4630028764202624E-6</v>
      </c>
      <c r="K1234" t="str">
        <f xml:space="preserve"> B1230 &amp; B1234</f>
        <v>Z000141005Z030201003</v>
      </c>
    </row>
    <row r="1235" spans="1:11" outlineLevel="1" x14ac:dyDescent="0.2">
      <c r="A1235" s="29"/>
      <c r="B1235" s="30" t="s">
        <v>950</v>
      </c>
      <c r="C1235" s="30" t="s">
        <v>1391</v>
      </c>
      <c r="D1235" s="34" t="s">
        <v>151</v>
      </c>
      <c r="E1235" s="31">
        <v>0</v>
      </c>
      <c r="F1235" s="31">
        <v>15.0943</v>
      </c>
      <c r="G1235" s="32">
        <f t="shared" si="197"/>
        <v>0</v>
      </c>
      <c r="H1235" s="33">
        <f t="shared" si="196"/>
        <v>0</v>
      </c>
      <c r="K1235" t="str">
        <f xml:space="preserve"> B1230 &amp; B1235</f>
        <v>Z000141005Z040201008</v>
      </c>
    </row>
    <row r="1236" spans="1:11" outlineLevel="1" x14ac:dyDescent="0.2">
      <c r="A1236" s="29"/>
      <c r="B1236" s="30" t="s">
        <v>801</v>
      </c>
      <c r="C1236" s="30" t="s">
        <v>402</v>
      </c>
      <c r="D1236" s="34" t="s">
        <v>151</v>
      </c>
      <c r="E1236" s="31">
        <v>0</v>
      </c>
      <c r="F1236" s="31">
        <v>10.3</v>
      </c>
      <c r="G1236" s="32">
        <f t="shared" si="197"/>
        <v>0</v>
      </c>
      <c r="H1236" s="33">
        <f t="shared" si="196"/>
        <v>0</v>
      </c>
      <c r="K1236" t="str">
        <f xml:space="preserve"> B1230 &amp; B1236</f>
        <v>Z000141005Z040202006</v>
      </c>
    </row>
    <row r="1237" spans="1:11" outlineLevel="1" x14ac:dyDescent="0.2">
      <c r="A1237" s="29"/>
      <c r="B1237" s="30" t="s">
        <v>498</v>
      </c>
      <c r="C1237" s="30" t="s">
        <v>773</v>
      </c>
      <c r="D1237" s="34" t="s">
        <v>84</v>
      </c>
      <c r="E1237" s="31">
        <v>10.799999999999999</v>
      </c>
      <c r="F1237" s="31">
        <v>0</v>
      </c>
      <c r="G1237" s="32">
        <f t="shared" si="197"/>
        <v>0</v>
      </c>
      <c r="H1237" s="33">
        <f t="shared" si="196"/>
        <v>0</v>
      </c>
      <c r="K1237" t="str">
        <f xml:space="preserve"> B1230 &amp; B1237</f>
        <v>Z000141005Z040401001</v>
      </c>
    </row>
    <row r="1238" spans="1:11" outlineLevel="1" x14ac:dyDescent="0.2">
      <c r="A1238" s="11" t="s">
        <v>1854</v>
      </c>
      <c r="B1238" s="11" t="s">
        <v>1323</v>
      </c>
      <c r="C1238" s="11" t="s">
        <v>3219</v>
      </c>
      <c r="D1238" s="12" t="s">
        <v>1781</v>
      </c>
      <c r="E1238" s="13">
        <v>2</v>
      </c>
      <c r="F1238" s="14">
        <v>798.9085</v>
      </c>
      <c r="G1238" s="15">
        <f>SUM(G1239:G1243)</f>
        <v>1597.817</v>
      </c>
      <c r="H1238" s="16">
        <f t="shared" si="196"/>
        <v>8.2847624668291748E-6</v>
      </c>
    </row>
    <row r="1239" spans="1:11" outlineLevel="1" x14ac:dyDescent="0.2">
      <c r="A1239" s="29"/>
      <c r="B1239" s="30" t="s">
        <v>141</v>
      </c>
      <c r="C1239" s="30" t="s">
        <v>3217</v>
      </c>
      <c r="D1239" s="34" t="s">
        <v>1781</v>
      </c>
      <c r="E1239" s="31">
        <v>2</v>
      </c>
      <c r="F1239" s="31">
        <v>780.46</v>
      </c>
      <c r="G1239" s="32">
        <f t="shared" ref="G1239:G1243" si="198">F1239*E1239</f>
        <v>1560.92</v>
      </c>
      <c r="H1239" s="33">
        <f t="shared" si="196"/>
        <v>8.0934496439348161E-6</v>
      </c>
      <c r="K1239" t="str">
        <f xml:space="preserve"> B1238 &amp; B1239</f>
        <v>Z000142011Z020102020</v>
      </c>
    </row>
    <row r="1240" spans="1:11" outlineLevel="1" x14ac:dyDescent="0.2">
      <c r="A1240" s="29"/>
      <c r="B1240" s="30" t="s">
        <v>637</v>
      </c>
      <c r="C1240" s="30" t="s">
        <v>1256</v>
      </c>
      <c r="D1240" s="34" t="s">
        <v>1052</v>
      </c>
      <c r="E1240" s="31">
        <v>1.0542</v>
      </c>
      <c r="F1240" s="31">
        <v>35</v>
      </c>
      <c r="G1240" s="32">
        <f t="shared" si="198"/>
        <v>36.896999999999998</v>
      </c>
      <c r="H1240" s="33">
        <f t="shared" si="196"/>
        <v>1.9131282289435904E-7</v>
      </c>
      <c r="K1240" t="str">
        <f xml:space="preserve"> B1238 &amp; B1240</f>
        <v>Z000142011Z030203008</v>
      </c>
    </row>
    <row r="1241" spans="1:11" outlineLevel="1" x14ac:dyDescent="0.2">
      <c r="A1241" s="29"/>
      <c r="B1241" s="30" t="s">
        <v>1006</v>
      </c>
      <c r="C1241" s="30" t="s">
        <v>699</v>
      </c>
      <c r="D1241" s="34" t="s">
        <v>151</v>
      </c>
      <c r="E1241" s="31">
        <v>0</v>
      </c>
      <c r="F1241" s="31">
        <v>28.988</v>
      </c>
      <c r="G1241" s="32">
        <f t="shared" si="198"/>
        <v>0</v>
      </c>
      <c r="H1241" s="33">
        <f t="shared" si="196"/>
        <v>0</v>
      </c>
      <c r="K1241" t="str">
        <f xml:space="preserve"> B1238 &amp; B1241</f>
        <v>Z000142011Z040201011</v>
      </c>
    </row>
    <row r="1242" spans="1:11" outlineLevel="1" x14ac:dyDescent="0.2">
      <c r="A1242" s="29"/>
      <c r="B1242" s="30" t="s">
        <v>801</v>
      </c>
      <c r="C1242" s="30" t="s">
        <v>402</v>
      </c>
      <c r="D1242" s="34" t="s">
        <v>151</v>
      </c>
      <c r="E1242" s="31">
        <v>0</v>
      </c>
      <c r="F1242" s="31">
        <v>10.3</v>
      </c>
      <c r="G1242" s="32">
        <f t="shared" si="198"/>
        <v>0</v>
      </c>
      <c r="H1242" s="33">
        <f t="shared" si="196"/>
        <v>0</v>
      </c>
      <c r="K1242" t="str">
        <f xml:space="preserve"> B1238 &amp; B1242</f>
        <v>Z000142011Z040202006</v>
      </c>
    </row>
    <row r="1243" spans="1:11" outlineLevel="1" x14ac:dyDescent="0.2">
      <c r="A1243" s="29"/>
      <c r="B1243" s="30" t="s">
        <v>498</v>
      </c>
      <c r="C1243" s="30" t="s">
        <v>773</v>
      </c>
      <c r="D1243" s="34" t="s">
        <v>84</v>
      </c>
      <c r="E1243" s="31">
        <v>2.4</v>
      </c>
      <c r="F1243" s="31">
        <v>0</v>
      </c>
      <c r="G1243" s="32">
        <f t="shared" si="198"/>
        <v>0</v>
      </c>
      <c r="H1243" s="33">
        <f t="shared" si="196"/>
        <v>0</v>
      </c>
      <c r="K1243" t="str">
        <f xml:space="preserve"> B1238 &amp; B1243</f>
        <v>Z000142011Z040401001</v>
      </c>
    </row>
    <row r="1244" spans="1:11" outlineLevel="1" x14ac:dyDescent="0.2">
      <c r="A1244" s="11" t="s">
        <v>1860</v>
      </c>
      <c r="B1244" s="11" t="s">
        <v>1321</v>
      </c>
      <c r="C1244" s="11" t="s">
        <v>3212</v>
      </c>
      <c r="D1244" s="12" t="s">
        <v>1781</v>
      </c>
      <c r="E1244" s="13">
        <v>49</v>
      </c>
      <c r="F1244" s="14">
        <v>200.41850000000002</v>
      </c>
      <c r="G1244" s="15">
        <f>SUM(G1245:G1249)</f>
        <v>9820.5065000000013</v>
      </c>
      <c r="H1244" s="16">
        <f t="shared" si="196"/>
        <v>5.091982602291249E-5</v>
      </c>
    </row>
    <row r="1245" spans="1:11" outlineLevel="1" x14ac:dyDescent="0.2">
      <c r="A1245" s="29"/>
      <c r="B1245" s="30" t="s">
        <v>89</v>
      </c>
      <c r="C1245" s="30" t="s">
        <v>3210</v>
      </c>
      <c r="D1245" s="34" t="s">
        <v>1781</v>
      </c>
      <c r="E1245" s="31">
        <v>49</v>
      </c>
      <c r="F1245" s="31">
        <v>181.97</v>
      </c>
      <c r="G1245" s="32">
        <f t="shared" ref="G1245:G1249" si="199">F1245*E1245</f>
        <v>8916.5300000000007</v>
      </c>
      <c r="H1245" s="33">
        <f t="shared" si="196"/>
        <v>4.6232661862000686E-5</v>
      </c>
      <c r="K1245" t="str">
        <f xml:space="preserve"> B1244 &amp; B1245</f>
        <v>Z000142010Z020102019</v>
      </c>
    </row>
    <row r="1246" spans="1:11" outlineLevel="1" x14ac:dyDescent="0.2">
      <c r="A1246" s="29"/>
      <c r="B1246" s="30" t="s">
        <v>637</v>
      </c>
      <c r="C1246" s="30" t="s">
        <v>1256</v>
      </c>
      <c r="D1246" s="34" t="s">
        <v>1052</v>
      </c>
      <c r="E1246" s="31">
        <v>25.8279</v>
      </c>
      <c r="F1246" s="31">
        <v>35</v>
      </c>
      <c r="G1246" s="32">
        <f t="shared" si="199"/>
        <v>903.97649999999999</v>
      </c>
      <c r="H1246" s="33">
        <f t="shared" si="196"/>
        <v>4.6871641609117965E-6</v>
      </c>
      <c r="K1246" t="str">
        <f xml:space="preserve"> B1244 &amp; B1246</f>
        <v>Z000142010Z030203008</v>
      </c>
    </row>
    <row r="1247" spans="1:11" outlineLevel="1" x14ac:dyDescent="0.2">
      <c r="A1247" s="29"/>
      <c r="B1247" s="30" t="s">
        <v>1006</v>
      </c>
      <c r="C1247" s="30" t="s">
        <v>699</v>
      </c>
      <c r="D1247" s="34" t="s">
        <v>151</v>
      </c>
      <c r="E1247" s="31">
        <v>0</v>
      </c>
      <c r="F1247" s="31">
        <v>28.988</v>
      </c>
      <c r="G1247" s="32">
        <f t="shared" si="199"/>
        <v>0</v>
      </c>
      <c r="H1247" s="33">
        <f t="shared" si="196"/>
        <v>0</v>
      </c>
      <c r="K1247" t="str">
        <f xml:space="preserve"> B1244 &amp; B1247</f>
        <v>Z000142010Z040201011</v>
      </c>
    </row>
    <row r="1248" spans="1:11" outlineLevel="1" x14ac:dyDescent="0.2">
      <c r="A1248" s="29"/>
      <c r="B1248" s="30" t="s">
        <v>801</v>
      </c>
      <c r="C1248" s="30" t="s">
        <v>402</v>
      </c>
      <c r="D1248" s="34" t="s">
        <v>151</v>
      </c>
      <c r="E1248" s="31">
        <v>0</v>
      </c>
      <c r="F1248" s="31">
        <v>10.3</v>
      </c>
      <c r="G1248" s="32">
        <f t="shared" si="199"/>
        <v>0</v>
      </c>
      <c r="H1248" s="33">
        <f t="shared" si="196"/>
        <v>0</v>
      </c>
      <c r="K1248" t="str">
        <f xml:space="preserve"> B1244 &amp; B1248</f>
        <v>Z000142010Z040202006</v>
      </c>
    </row>
    <row r="1249" spans="1:11" outlineLevel="1" x14ac:dyDescent="0.2">
      <c r="A1249" s="29"/>
      <c r="B1249" s="30" t="s">
        <v>498</v>
      </c>
      <c r="C1249" s="30" t="s">
        <v>773</v>
      </c>
      <c r="D1249" s="34" t="s">
        <v>84</v>
      </c>
      <c r="E1249" s="31">
        <v>58.8</v>
      </c>
      <c r="F1249" s="31">
        <v>0</v>
      </c>
      <c r="G1249" s="32">
        <f t="shared" si="199"/>
        <v>0</v>
      </c>
      <c r="H1249" s="33">
        <f t="shared" si="196"/>
        <v>0</v>
      </c>
      <c r="K1249" t="str">
        <f xml:space="preserve"> B1244 &amp; B1249</f>
        <v>Z000142010Z040401001</v>
      </c>
    </row>
    <row r="1250" spans="1:11" outlineLevel="1" x14ac:dyDescent="0.2">
      <c r="A1250" s="11" t="s">
        <v>1861</v>
      </c>
      <c r="B1250" s="11" t="s">
        <v>1405</v>
      </c>
      <c r="C1250" s="11" t="s">
        <v>3187</v>
      </c>
      <c r="D1250" s="12" t="s">
        <v>1781</v>
      </c>
      <c r="E1250" s="13">
        <v>18</v>
      </c>
      <c r="F1250" s="14">
        <v>2264.3900000000003</v>
      </c>
      <c r="G1250" s="15">
        <f>SUM(G1251:G1256)</f>
        <v>40759.020000000004</v>
      </c>
      <c r="H1250" s="16">
        <f t="shared" si="196"/>
        <v>2.1133759315412198E-4</v>
      </c>
    </row>
    <row r="1251" spans="1:11" outlineLevel="1" x14ac:dyDescent="0.2">
      <c r="A1251" s="29"/>
      <c r="B1251" s="30" t="s">
        <v>148</v>
      </c>
      <c r="C1251" s="30" t="s">
        <v>555</v>
      </c>
      <c r="D1251" s="34" t="s">
        <v>1781</v>
      </c>
      <c r="E1251" s="31">
        <v>18</v>
      </c>
      <c r="F1251" s="31">
        <v>2217</v>
      </c>
      <c r="G1251" s="32">
        <f t="shared" ref="G1251:G1256" si="200">F1251*E1251</f>
        <v>39906</v>
      </c>
      <c r="H1251" s="33">
        <f t="shared" si="196"/>
        <v>2.0691464103917098E-4</v>
      </c>
      <c r="K1251" t="str">
        <f xml:space="preserve"> B1250 &amp; B1251</f>
        <v>Z000141006Z020101007</v>
      </c>
    </row>
    <row r="1252" spans="1:11" outlineLevel="1" x14ac:dyDescent="0.2">
      <c r="A1252" s="29"/>
      <c r="B1252" s="30" t="s">
        <v>1830</v>
      </c>
      <c r="C1252" s="30" t="s">
        <v>3188</v>
      </c>
      <c r="D1252" s="34" t="s">
        <v>1781</v>
      </c>
      <c r="E1252" s="31">
        <v>18</v>
      </c>
      <c r="F1252" s="31">
        <v>8.27</v>
      </c>
      <c r="G1252" s="32">
        <f t="shared" si="200"/>
        <v>148.85999999999999</v>
      </c>
      <c r="H1252" s="33">
        <f t="shared" si="196"/>
        <v>7.7184667631661878E-7</v>
      </c>
      <c r="K1252" t="str">
        <f xml:space="preserve"> B1250 &amp; B1252</f>
        <v>Z000141006Z020105037</v>
      </c>
    </row>
    <row r="1253" spans="1:11" outlineLevel="1" x14ac:dyDescent="0.2">
      <c r="A1253" s="29"/>
      <c r="B1253" s="30" t="s">
        <v>885</v>
      </c>
      <c r="C1253" s="30" t="s">
        <v>3086</v>
      </c>
      <c r="D1253" s="34" t="s">
        <v>1781</v>
      </c>
      <c r="E1253" s="31">
        <v>36</v>
      </c>
      <c r="F1253" s="31">
        <v>19.559999999999999</v>
      </c>
      <c r="G1253" s="32">
        <f t="shared" si="200"/>
        <v>704.16</v>
      </c>
      <c r="H1253" s="33">
        <f t="shared" si="196"/>
        <v>3.6511054386343566E-6</v>
      </c>
      <c r="K1253" t="str">
        <f xml:space="preserve"> B1250 &amp; B1253</f>
        <v>Z000141006Z030201004</v>
      </c>
    </row>
    <row r="1254" spans="1:11" outlineLevel="1" x14ac:dyDescent="0.2">
      <c r="A1254" s="29"/>
      <c r="B1254" s="30" t="s">
        <v>950</v>
      </c>
      <c r="C1254" s="30" t="s">
        <v>1391</v>
      </c>
      <c r="D1254" s="34" t="s">
        <v>151</v>
      </c>
      <c r="E1254" s="31">
        <v>0</v>
      </c>
      <c r="F1254" s="31">
        <v>15.0943</v>
      </c>
      <c r="G1254" s="32">
        <f t="shared" si="200"/>
        <v>0</v>
      </c>
      <c r="H1254" s="33">
        <f t="shared" si="196"/>
        <v>0</v>
      </c>
      <c r="K1254" t="str">
        <f xml:space="preserve"> B1250 &amp; B1254</f>
        <v>Z000141006Z040201008</v>
      </c>
    </row>
    <row r="1255" spans="1:11" outlineLevel="1" x14ac:dyDescent="0.2">
      <c r="A1255" s="29"/>
      <c r="B1255" s="30" t="s">
        <v>801</v>
      </c>
      <c r="C1255" s="30" t="s">
        <v>402</v>
      </c>
      <c r="D1255" s="34" t="s">
        <v>151</v>
      </c>
      <c r="E1255" s="31">
        <v>0</v>
      </c>
      <c r="F1255" s="31">
        <v>10.3</v>
      </c>
      <c r="G1255" s="32">
        <f t="shared" si="200"/>
        <v>0</v>
      </c>
      <c r="H1255" s="33">
        <f t="shared" si="196"/>
        <v>0</v>
      </c>
      <c r="K1255" t="str">
        <f xml:space="preserve"> B1250 &amp; B1255</f>
        <v>Z000141006Z040202006</v>
      </c>
    </row>
    <row r="1256" spans="1:11" outlineLevel="1" x14ac:dyDescent="0.2">
      <c r="A1256" s="29"/>
      <c r="B1256" s="30" t="s">
        <v>498</v>
      </c>
      <c r="C1256" s="30" t="s">
        <v>773</v>
      </c>
      <c r="D1256" s="34" t="s">
        <v>84</v>
      </c>
      <c r="E1256" s="31">
        <v>21.599999999999998</v>
      </c>
      <c r="F1256" s="31">
        <v>0</v>
      </c>
      <c r="G1256" s="32">
        <f t="shared" si="200"/>
        <v>0</v>
      </c>
      <c r="H1256" s="33">
        <f t="shared" si="196"/>
        <v>0</v>
      </c>
      <c r="K1256" t="str">
        <f xml:space="preserve"> B1250 &amp; B1256</f>
        <v>Z000141006Z040401001</v>
      </c>
    </row>
    <row r="1257" spans="1:11" outlineLevel="1" x14ac:dyDescent="0.2">
      <c r="A1257" s="11" t="s">
        <v>1863</v>
      </c>
      <c r="B1257" s="11" t="s">
        <v>1333</v>
      </c>
      <c r="C1257" s="11" t="s">
        <v>3233</v>
      </c>
      <c r="D1257" s="12" t="s">
        <v>1781</v>
      </c>
      <c r="E1257" s="13">
        <v>6</v>
      </c>
      <c r="F1257" s="14">
        <v>554.96849999999995</v>
      </c>
      <c r="G1257" s="15">
        <f>SUM(G1258:G1262)</f>
        <v>3329.8109999999997</v>
      </c>
      <c r="H1257" s="16">
        <f t="shared" si="196"/>
        <v>1.7265239507675108E-5</v>
      </c>
    </row>
    <row r="1258" spans="1:11" outlineLevel="1" x14ac:dyDescent="0.2">
      <c r="A1258" s="29"/>
      <c r="B1258" s="30" t="s">
        <v>144</v>
      </c>
      <c r="C1258" s="30" t="s">
        <v>3030</v>
      </c>
      <c r="D1258" s="34" t="s">
        <v>1781</v>
      </c>
      <c r="E1258" s="31">
        <v>6</v>
      </c>
      <c r="F1258" s="31">
        <v>536.52</v>
      </c>
      <c r="G1258" s="32">
        <f t="shared" ref="G1258:G1262" si="201">F1258*E1258</f>
        <v>3219.12</v>
      </c>
      <c r="H1258" s="33">
        <f t="shared" si="196"/>
        <v>1.6691301038992033E-5</v>
      </c>
      <c r="K1258" t="str">
        <f xml:space="preserve"> B1257 &amp; B1258</f>
        <v>Z000142014Z020102021</v>
      </c>
    </row>
    <row r="1259" spans="1:11" outlineLevel="1" x14ac:dyDescent="0.2">
      <c r="A1259" s="29"/>
      <c r="B1259" s="30" t="s">
        <v>637</v>
      </c>
      <c r="C1259" s="30" t="s">
        <v>1256</v>
      </c>
      <c r="D1259" s="34" t="s">
        <v>1052</v>
      </c>
      <c r="E1259" s="31">
        <v>3.1626000000000003</v>
      </c>
      <c r="F1259" s="31">
        <v>35</v>
      </c>
      <c r="G1259" s="32">
        <f t="shared" si="201"/>
        <v>110.69100000000002</v>
      </c>
      <c r="H1259" s="33">
        <f t="shared" si="196"/>
        <v>5.7393846868307724E-7</v>
      </c>
      <c r="K1259" t="str">
        <f xml:space="preserve"> B1257 &amp; B1259</f>
        <v>Z000142014Z030203008</v>
      </c>
    </row>
    <row r="1260" spans="1:11" outlineLevel="1" x14ac:dyDescent="0.2">
      <c r="A1260" s="29"/>
      <c r="B1260" s="30" t="s">
        <v>1006</v>
      </c>
      <c r="C1260" s="30" t="s">
        <v>699</v>
      </c>
      <c r="D1260" s="34" t="s">
        <v>151</v>
      </c>
      <c r="E1260" s="31">
        <v>0</v>
      </c>
      <c r="F1260" s="31">
        <v>28.988</v>
      </c>
      <c r="G1260" s="32">
        <f t="shared" si="201"/>
        <v>0</v>
      </c>
      <c r="H1260" s="33">
        <f t="shared" si="196"/>
        <v>0</v>
      </c>
      <c r="K1260" t="str">
        <f xml:space="preserve"> B1257 &amp; B1260</f>
        <v>Z000142014Z040201011</v>
      </c>
    </row>
    <row r="1261" spans="1:11" outlineLevel="1" x14ac:dyDescent="0.2">
      <c r="A1261" s="29"/>
      <c r="B1261" s="30" t="s">
        <v>801</v>
      </c>
      <c r="C1261" s="30" t="s">
        <v>402</v>
      </c>
      <c r="D1261" s="34" t="s">
        <v>151</v>
      </c>
      <c r="E1261" s="31">
        <v>0</v>
      </c>
      <c r="F1261" s="31">
        <v>10.3</v>
      </c>
      <c r="G1261" s="32">
        <f t="shared" si="201"/>
        <v>0</v>
      </c>
      <c r="H1261" s="33">
        <f t="shared" si="196"/>
        <v>0</v>
      </c>
      <c r="K1261" t="str">
        <f xml:space="preserve"> B1257 &amp; B1261</f>
        <v>Z000142014Z040202006</v>
      </c>
    </row>
    <row r="1262" spans="1:11" outlineLevel="1" x14ac:dyDescent="0.2">
      <c r="A1262" s="29"/>
      <c r="B1262" s="30" t="s">
        <v>498</v>
      </c>
      <c r="C1262" s="30" t="s">
        <v>773</v>
      </c>
      <c r="D1262" s="34" t="s">
        <v>84</v>
      </c>
      <c r="E1262" s="31">
        <v>7.1999999999999993</v>
      </c>
      <c r="F1262" s="31">
        <v>0</v>
      </c>
      <c r="G1262" s="32">
        <f t="shared" si="201"/>
        <v>0</v>
      </c>
      <c r="H1262" s="33">
        <f t="shared" si="196"/>
        <v>0</v>
      </c>
      <c r="K1262" t="str">
        <f xml:space="preserve"> B1257 &amp; B1262</f>
        <v>Z000142014Z040401001</v>
      </c>
    </row>
    <row r="1263" spans="1:11" outlineLevel="1" x14ac:dyDescent="0.2">
      <c r="A1263" s="11" t="s">
        <v>1864</v>
      </c>
      <c r="B1263" s="11" t="s">
        <v>1326</v>
      </c>
      <c r="C1263" s="11" t="s">
        <v>3226</v>
      </c>
      <c r="D1263" s="12" t="s">
        <v>1781</v>
      </c>
      <c r="E1263" s="13">
        <v>2</v>
      </c>
      <c r="F1263" s="14">
        <v>507.37506399999995</v>
      </c>
      <c r="G1263" s="15">
        <f>SUM(G1264:G1269)</f>
        <v>1014.7501279999999</v>
      </c>
      <c r="H1263" s="16">
        <f t="shared" si="196"/>
        <v>5.2615310599802734E-6</v>
      </c>
    </row>
    <row r="1264" spans="1:11" outlineLevel="1" x14ac:dyDescent="0.2">
      <c r="A1264" s="29"/>
      <c r="B1264" s="30" t="s">
        <v>149</v>
      </c>
      <c r="C1264" s="30" t="s">
        <v>3224</v>
      </c>
      <c r="D1264" s="34" t="s">
        <v>1781</v>
      </c>
      <c r="E1264" s="31">
        <v>2</v>
      </c>
      <c r="F1264" s="31">
        <v>389.08</v>
      </c>
      <c r="G1264" s="32">
        <f t="shared" ref="G1264:G1269" si="202">F1264*E1264</f>
        <v>778.16</v>
      </c>
      <c r="H1264" s="33">
        <f t="shared" si="196"/>
        <v>4.0347992049075653E-6</v>
      </c>
      <c r="K1264" t="str">
        <f xml:space="preserve"> B1263 &amp; B1264</f>
        <v>Z000142012Z020101009</v>
      </c>
    </row>
    <row r="1265" spans="1:11" outlineLevel="1" x14ac:dyDescent="0.2">
      <c r="A1265" s="29"/>
      <c r="B1265" s="30" t="s">
        <v>708</v>
      </c>
      <c r="C1265" s="30" t="s">
        <v>865</v>
      </c>
      <c r="D1265" s="34" t="s">
        <v>1052</v>
      </c>
      <c r="E1265" s="31">
        <v>0.1404</v>
      </c>
      <c r="F1265" s="31">
        <v>13.32</v>
      </c>
      <c r="G1265" s="32">
        <f t="shared" si="202"/>
        <v>1.870128</v>
      </c>
      <c r="H1265" s="33">
        <f t="shared" si="196"/>
        <v>9.6967088612565217E-9</v>
      </c>
      <c r="K1265" t="str">
        <f xml:space="preserve"> B1263 &amp; B1265</f>
        <v>Z000142012Z020202002</v>
      </c>
    </row>
    <row r="1266" spans="1:11" outlineLevel="1" x14ac:dyDescent="0.2">
      <c r="A1266" s="29"/>
      <c r="B1266" s="30" t="s">
        <v>885</v>
      </c>
      <c r="C1266" s="30" t="s">
        <v>3086</v>
      </c>
      <c r="D1266" s="34" t="s">
        <v>1781</v>
      </c>
      <c r="E1266" s="31">
        <v>12</v>
      </c>
      <c r="F1266" s="31">
        <v>19.559999999999999</v>
      </c>
      <c r="G1266" s="32">
        <f t="shared" si="202"/>
        <v>234.71999999999997</v>
      </c>
      <c r="H1266" s="33">
        <f t="shared" si="196"/>
        <v>1.217035146211452E-6</v>
      </c>
      <c r="K1266" t="str">
        <f xml:space="preserve"> B1263 &amp; B1266</f>
        <v>Z000142012Z030201004</v>
      </c>
    </row>
    <row r="1267" spans="1:11" outlineLevel="1" x14ac:dyDescent="0.2">
      <c r="A1267" s="29"/>
      <c r="B1267" s="30" t="s">
        <v>950</v>
      </c>
      <c r="C1267" s="30" t="s">
        <v>1391</v>
      </c>
      <c r="D1267" s="34" t="s">
        <v>151</v>
      </c>
      <c r="E1267" s="31">
        <v>0</v>
      </c>
      <c r="F1267" s="31">
        <v>15.0943</v>
      </c>
      <c r="G1267" s="32">
        <f t="shared" si="202"/>
        <v>0</v>
      </c>
      <c r="H1267" s="33">
        <f t="shared" si="196"/>
        <v>0</v>
      </c>
      <c r="K1267" t="str">
        <f xml:space="preserve"> B1263 &amp; B1267</f>
        <v>Z000142012Z040201008</v>
      </c>
    </row>
    <row r="1268" spans="1:11" outlineLevel="1" x14ac:dyDescent="0.2">
      <c r="A1268" s="29"/>
      <c r="B1268" s="30" t="s">
        <v>801</v>
      </c>
      <c r="C1268" s="30" t="s">
        <v>402</v>
      </c>
      <c r="D1268" s="34" t="s">
        <v>151</v>
      </c>
      <c r="E1268" s="31">
        <v>0</v>
      </c>
      <c r="F1268" s="31">
        <v>10.3</v>
      </c>
      <c r="G1268" s="32">
        <f t="shared" si="202"/>
        <v>0</v>
      </c>
      <c r="H1268" s="33">
        <f t="shared" si="196"/>
        <v>0</v>
      </c>
      <c r="K1268" t="str">
        <f xml:space="preserve"> B1263 &amp; B1268</f>
        <v>Z000142012Z040202006</v>
      </c>
    </row>
    <row r="1269" spans="1:11" outlineLevel="1" x14ac:dyDescent="0.2">
      <c r="A1269" s="29"/>
      <c r="B1269" s="30" t="s">
        <v>498</v>
      </c>
      <c r="C1269" s="30" t="s">
        <v>773</v>
      </c>
      <c r="D1269" s="34" t="s">
        <v>84</v>
      </c>
      <c r="E1269" s="31">
        <v>2.4</v>
      </c>
      <c r="F1269" s="31">
        <v>0</v>
      </c>
      <c r="G1269" s="32">
        <f t="shared" si="202"/>
        <v>0</v>
      </c>
      <c r="H1269" s="33">
        <f t="shared" si="196"/>
        <v>0</v>
      </c>
      <c r="K1269" t="str">
        <f xml:space="preserve"> B1263 &amp; B1269</f>
        <v>Z000142012Z040401001</v>
      </c>
    </row>
    <row r="1270" spans="1:11" outlineLevel="1" x14ac:dyDescent="0.2">
      <c r="A1270" s="11" t="s">
        <v>1865</v>
      </c>
      <c r="B1270" s="11" t="s">
        <v>1291</v>
      </c>
      <c r="C1270" s="11" t="s">
        <v>3204</v>
      </c>
      <c r="D1270" s="12" t="s">
        <v>1781</v>
      </c>
      <c r="E1270" s="13">
        <v>2</v>
      </c>
      <c r="F1270" s="14">
        <v>1293.5249279999998</v>
      </c>
      <c r="G1270" s="15">
        <f>SUM(G1271:G1276)</f>
        <v>2587.0498559999996</v>
      </c>
      <c r="H1270" s="16">
        <f t="shared" si="196"/>
        <v>1.3413985172772989E-5</v>
      </c>
    </row>
    <row r="1271" spans="1:11" outlineLevel="1" x14ac:dyDescent="0.2">
      <c r="A1271" s="29"/>
      <c r="B1271" s="30" t="s">
        <v>8</v>
      </c>
      <c r="C1271" s="30" t="s">
        <v>3202</v>
      </c>
      <c r="D1271" s="34" t="s">
        <v>1781</v>
      </c>
      <c r="E1271" s="31">
        <v>2</v>
      </c>
      <c r="F1271" s="31">
        <v>1254</v>
      </c>
      <c r="G1271" s="32">
        <f t="shared" ref="G1271:G1276" si="203">F1271*E1271</f>
        <v>2508</v>
      </c>
      <c r="H1271" s="33">
        <f t="shared" si="196"/>
        <v>1.3004107646124414E-5</v>
      </c>
      <c r="K1271" t="str">
        <f xml:space="preserve"> B1270 &amp; B1271</f>
        <v>Z000142007Z020102004</v>
      </c>
    </row>
    <row r="1272" spans="1:11" outlineLevel="1" x14ac:dyDescent="0.2">
      <c r="A1272" s="29"/>
      <c r="B1272" s="30" t="s">
        <v>708</v>
      </c>
      <c r="C1272" s="30" t="s">
        <v>865</v>
      </c>
      <c r="D1272" s="34" t="s">
        <v>1052</v>
      </c>
      <c r="E1272" s="31">
        <v>6.08E-2</v>
      </c>
      <c r="F1272" s="31">
        <v>13.32</v>
      </c>
      <c r="G1272" s="32">
        <f t="shared" si="203"/>
        <v>0.80985600000000002</v>
      </c>
      <c r="H1272" s="33">
        <f t="shared" si="196"/>
        <v>4.1991445780939924E-9</v>
      </c>
      <c r="K1272" t="str">
        <f xml:space="preserve"> B1270 &amp; B1272</f>
        <v>Z000142007Z020202002</v>
      </c>
    </row>
    <row r="1273" spans="1:11" outlineLevel="1" x14ac:dyDescent="0.2">
      <c r="A1273" s="29"/>
      <c r="B1273" s="30" t="s">
        <v>885</v>
      </c>
      <c r="C1273" s="30" t="s">
        <v>3086</v>
      </c>
      <c r="D1273" s="34" t="s">
        <v>1781</v>
      </c>
      <c r="E1273" s="31">
        <v>4</v>
      </c>
      <c r="F1273" s="31">
        <v>19.559999999999999</v>
      </c>
      <c r="G1273" s="32">
        <f t="shared" si="203"/>
        <v>78.239999999999995</v>
      </c>
      <c r="H1273" s="33">
        <f t="shared" si="196"/>
        <v>4.0567838207048407E-7</v>
      </c>
      <c r="K1273" t="str">
        <f xml:space="preserve"> B1270 &amp; B1273</f>
        <v>Z000142007Z030201004</v>
      </c>
    </row>
    <row r="1274" spans="1:11" outlineLevel="1" x14ac:dyDescent="0.2">
      <c r="A1274" s="29"/>
      <c r="B1274" s="30" t="s">
        <v>950</v>
      </c>
      <c r="C1274" s="30" t="s">
        <v>1391</v>
      </c>
      <c r="D1274" s="34" t="s">
        <v>151</v>
      </c>
      <c r="E1274" s="31">
        <v>0</v>
      </c>
      <c r="F1274" s="31">
        <v>15.0943</v>
      </c>
      <c r="G1274" s="32">
        <f t="shared" si="203"/>
        <v>0</v>
      </c>
      <c r="H1274" s="33">
        <f t="shared" si="196"/>
        <v>0</v>
      </c>
      <c r="K1274" t="str">
        <f xml:space="preserve"> B1270 &amp; B1274</f>
        <v>Z000142007Z040201008</v>
      </c>
    </row>
    <row r="1275" spans="1:11" outlineLevel="1" x14ac:dyDescent="0.2">
      <c r="A1275" s="29"/>
      <c r="B1275" s="30" t="s">
        <v>801</v>
      </c>
      <c r="C1275" s="30" t="s">
        <v>402</v>
      </c>
      <c r="D1275" s="34" t="s">
        <v>151</v>
      </c>
      <c r="E1275" s="31">
        <v>0</v>
      </c>
      <c r="F1275" s="31">
        <v>10.3</v>
      </c>
      <c r="G1275" s="32">
        <f t="shared" si="203"/>
        <v>0</v>
      </c>
      <c r="H1275" s="33">
        <f t="shared" si="196"/>
        <v>0</v>
      </c>
      <c r="K1275" t="str">
        <f xml:space="preserve"> B1270 &amp; B1275</f>
        <v>Z000142007Z040202006</v>
      </c>
    </row>
    <row r="1276" spans="1:11" outlineLevel="1" x14ac:dyDescent="0.2">
      <c r="A1276" s="29"/>
      <c r="B1276" s="30" t="s">
        <v>498</v>
      </c>
      <c r="C1276" s="30" t="s">
        <v>773</v>
      </c>
      <c r="D1276" s="34" t="s">
        <v>84</v>
      </c>
      <c r="E1276" s="31">
        <v>2.4</v>
      </c>
      <c r="F1276" s="31">
        <v>0</v>
      </c>
      <c r="G1276" s="32">
        <f t="shared" si="203"/>
        <v>0</v>
      </c>
      <c r="H1276" s="33">
        <f t="shared" si="196"/>
        <v>0</v>
      </c>
      <c r="K1276" t="str">
        <f xml:space="preserve"> B1270 &amp; B1276</f>
        <v>Z000142007Z040401001</v>
      </c>
    </row>
    <row r="1277" spans="1:11" x14ac:dyDescent="0.2">
      <c r="A1277" s="23" t="s">
        <v>1161</v>
      </c>
      <c r="B1277" s="23" t="s">
        <v>328</v>
      </c>
      <c r="C1277" s="23" t="s">
        <v>1565</v>
      </c>
      <c r="D1277" s="24"/>
      <c r="E1277" s="25"/>
      <c r="F1277" s="26"/>
      <c r="G1277" s="27">
        <f>SUM(G1278,G1284,G1289,G1294,G1300,G1308,G1316,G1324,G1332,G1338,G1344,G1350,G1356,G1362,G1368,G1374)</f>
        <v>181315.87982139998</v>
      </c>
      <c r="H1277" s="28">
        <f t="shared" si="196"/>
        <v>9.4013206505153219E-4</v>
      </c>
    </row>
    <row r="1278" spans="1:11" outlineLevel="1" x14ac:dyDescent="0.2">
      <c r="A1278" s="11" t="s">
        <v>1723</v>
      </c>
      <c r="B1278" s="11" t="s">
        <v>1011</v>
      </c>
      <c r="C1278" s="11" t="s">
        <v>3253</v>
      </c>
      <c r="D1278" s="12" t="s">
        <v>1781</v>
      </c>
      <c r="E1278" s="13">
        <v>2</v>
      </c>
      <c r="F1278" s="14">
        <v>417.24</v>
      </c>
      <c r="G1278" s="15">
        <f>SUM(G1279:G1283)</f>
        <v>834.48</v>
      </c>
      <c r="H1278" s="16">
        <f t="shared" si="196"/>
        <v>4.3268212713468502E-6</v>
      </c>
    </row>
    <row r="1279" spans="1:11" outlineLevel="1" x14ac:dyDescent="0.2">
      <c r="A1279" s="29"/>
      <c r="B1279" s="30" t="s">
        <v>1773</v>
      </c>
      <c r="C1279" s="30" t="s">
        <v>3251</v>
      </c>
      <c r="D1279" s="34" t="s">
        <v>1781</v>
      </c>
      <c r="E1279" s="31">
        <v>2</v>
      </c>
      <c r="F1279" s="31">
        <v>405.13</v>
      </c>
      <c r="G1279" s="32">
        <f t="shared" ref="G1279:G1283" si="204">F1279*E1279</f>
        <v>810.26</v>
      </c>
      <c r="H1279" s="33">
        <f t="shared" si="196"/>
        <v>4.2012393386558084E-6</v>
      </c>
      <c r="K1279" t="str">
        <f xml:space="preserve"> B1278 &amp; B1279</f>
        <v>Z000144003Z020104008</v>
      </c>
    </row>
    <row r="1280" spans="1:11" outlineLevel="1" x14ac:dyDescent="0.2">
      <c r="A1280" s="29"/>
      <c r="B1280" s="30" t="s">
        <v>637</v>
      </c>
      <c r="C1280" s="30" t="s">
        <v>1256</v>
      </c>
      <c r="D1280" s="34" t="s">
        <v>1052</v>
      </c>
      <c r="E1280" s="31">
        <v>0.69199999999999995</v>
      </c>
      <c r="F1280" s="31">
        <v>35</v>
      </c>
      <c r="G1280" s="32">
        <f t="shared" si="204"/>
        <v>24.22</v>
      </c>
      <c r="H1280" s="33">
        <f t="shared" si="196"/>
        <v>1.2558193269104197E-7</v>
      </c>
      <c r="K1280" t="str">
        <f xml:space="preserve"> B1278 &amp; B1280</f>
        <v>Z000144003Z030203008</v>
      </c>
    </row>
    <row r="1281" spans="1:11" outlineLevel="1" x14ac:dyDescent="0.2">
      <c r="A1281" s="29"/>
      <c r="B1281" s="30" t="s">
        <v>1006</v>
      </c>
      <c r="C1281" s="30" t="s">
        <v>699</v>
      </c>
      <c r="D1281" s="34" t="s">
        <v>151</v>
      </c>
      <c r="E1281" s="31">
        <v>0</v>
      </c>
      <c r="F1281" s="31">
        <v>28.988</v>
      </c>
      <c r="G1281" s="32">
        <f t="shared" si="204"/>
        <v>0</v>
      </c>
      <c r="H1281" s="33">
        <f t="shared" si="196"/>
        <v>0</v>
      </c>
      <c r="K1281" t="str">
        <f xml:space="preserve"> B1278 &amp; B1281</f>
        <v>Z000144003Z040201011</v>
      </c>
    </row>
    <row r="1282" spans="1:11" outlineLevel="1" x14ac:dyDescent="0.2">
      <c r="A1282" s="29"/>
      <c r="B1282" s="30" t="s">
        <v>801</v>
      </c>
      <c r="C1282" s="30" t="s">
        <v>402</v>
      </c>
      <c r="D1282" s="34" t="s">
        <v>151</v>
      </c>
      <c r="E1282" s="31">
        <v>0</v>
      </c>
      <c r="F1282" s="31">
        <v>10.3</v>
      </c>
      <c r="G1282" s="32">
        <f t="shared" si="204"/>
        <v>0</v>
      </c>
      <c r="H1282" s="33">
        <f t="shared" si="196"/>
        <v>0</v>
      </c>
      <c r="K1282" t="str">
        <f xml:space="preserve"> B1278 &amp; B1282</f>
        <v>Z000144003Z040202006</v>
      </c>
    </row>
    <row r="1283" spans="1:11" outlineLevel="1" x14ac:dyDescent="0.2">
      <c r="A1283" s="29"/>
      <c r="B1283" s="30" t="s">
        <v>498</v>
      </c>
      <c r="C1283" s="30" t="s">
        <v>773</v>
      </c>
      <c r="D1283" s="34" t="s">
        <v>84</v>
      </c>
      <c r="E1283" s="31">
        <v>2.4</v>
      </c>
      <c r="F1283" s="31">
        <v>0</v>
      </c>
      <c r="G1283" s="32">
        <f t="shared" si="204"/>
        <v>0</v>
      </c>
      <c r="H1283" s="33">
        <f t="shared" si="196"/>
        <v>0</v>
      </c>
      <c r="K1283" t="str">
        <f xml:space="preserve"> B1278 &amp; B1283</f>
        <v>Z000144003Z040401001</v>
      </c>
    </row>
    <row r="1284" spans="1:11" outlineLevel="1" x14ac:dyDescent="0.2">
      <c r="A1284" s="11" t="s">
        <v>1727</v>
      </c>
      <c r="B1284" s="11" t="s">
        <v>860</v>
      </c>
      <c r="C1284" s="11" t="s">
        <v>3260</v>
      </c>
      <c r="D1284" s="12" t="s">
        <v>1781</v>
      </c>
      <c r="E1284" s="13">
        <v>104</v>
      </c>
      <c r="F1284" s="14">
        <v>75</v>
      </c>
      <c r="G1284" s="15">
        <f>SUM(G1285:G1288)</f>
        <v>7800</v>
      </c>
      <c r="H1284" s="16">
        <f t="shared" si="196"/>
        <v>4.0443396985554393E-5</v>
      </c>
    </row>
    <row r="1285" spans="1:11" outlineLevel="1" x14ac:dyDescent="0.2">
      <c r="A1285" s="29"/>
      <c r="B1285" s="30" t="s">
        <v>1777</v>
      </c>
      <c r="C1285" s="30" t="s">
        <v>3258</v>
      </c>
      <c r="D1285" s="34" t="s">
        <v>1781</v>
      </c>
      <c r="E1285" s="31">
        <v>104</v>
      </c>
      <c r="F1285" s="31">
        <v>75</v>
      </c>
      <c r="G1285" s="32">
        <f t="shared" ref="G1285:G1288" si="205">F1285*E1285</f>
        <v>7800</v>
      </c>
      <c r="H1285" s="33">
        <f t="shared" si="196"/>
        <v>4.0443396985554393E-5</v>
      </c>
      <c r="K1285" t="str">
        <f xml:space="preserve"> B1284 &amp; B1285</f>
        <v>Z000145001Z020105027</v>
      </c>
    </row>
    <row r="1286" spans="1:11" outlineLevel="1" x14ac:dyDescent="0.2">
      <c r="A1286" s="29"/>
      <c r="B1286" s="30" t="s">
        <v>950</v>
      </c>
      <c r="C1286" s="30" t="s">
        <v>1391</v>
      </c>
      <c r="D1286" s="34" t="s">
        <v>151</v>
      </c>
      <c r="E1286" s="31">
        <v>0</v>
      </c>
      <c r="F1286" s="31">
        <v>15.0943</v>
      </c>
      <c r="G1286" s="32">
        <f t="shared" si="205"/>
        <v>0</v>
      </c>
      <c r="H1286" s="33">
        <f t="shared" si="196"/>
        <v>0</v>
      </c>
      <c r="K1286" t="str">
        <f xml:space="preserve"> B1284 &amp; B1286</f>
        <v>Z000145001Z040201008</v>
      </c>
    </row>
    <row r="1287" spans="1:11" outlineLevel="1" x14ac:dyDescent="0.2">
      <c r="A1287" s="29"/>
      <c r="B1287" s="30" t="s">
        <v>801</v>
      </c>
      <c r="C1287" s="30" t="s">
        <v>402</v>
      </c>
      <c r="D1287" s="34" t="s">
        <v>151</v>
      </c>
      <c r="E1287" s="31">
        <v>0</v>
      </c>
      <c r="F1287" s="31">
        <v>10.3</v>
      </c>
      <c r="G1287" s="32">
        <f t="shared" si="205"/>
        <v>0</v>
      </c>
      <c r="H1287" s="33">
        <f t="shared" si="196"/>
        <v>0</v>
      </c>
      <c r="K1287" t="str">
        <f xml:space="preserve"> B1284 &amp; B1287</f>
        <v>Z000145001Z040202006</v>
      </c>
    </row>
    <row r="1288" spans="1:11" outlineLevel="1" x14ac:dyDescent="0.2">
      <c r="A1288" s="29"/>
      <c r="B1288" s="30" t="s">
        <v>498</v>
      </c>
      <c r="C1288" s="30" t="s">
        <v>773</v>
      </c>
      <c r="D1288" s="34" t="s">
        <v>84</v>
      </c>
      <c r="E1288" s="31">
        <v>124.8</v>
      </c>
      <c r="F1288" s="31">
        <v>0</v>
      </c>
      <c r="G1288" s="32">
        <f t="shared" si="205"/>
        <v>0</v>
      </c>
      <c r="H1288" s="33">
        <f t="shared" si="196"/>
        <v>0</v>
      </c>
      <c r="K1288" t="str">
        <f xml:space="preserve"> B1284 &amp; B1288</f>
        <v>Z000145001Z040401001</v>
      </c>
    </row>
    <row r="1289" spans="1:11" outlineLevel="1" x14ac:dyDescent="0.2">
      <c r="A1289" s="11" t="s">
        <v>1731</v>
      </c>
      <c r="B1289" s="11" t="s">
        <v>953</v>
      </c>
      <c r="C1289" s="11" t="s">
        <v>3272</v>
      </c>
      <c r="D1289" s="12" t="s">
        <v>1781</v>
      </c>
      <c r="E1289" s="13">
        <v>22</v>
      </c>
      <c r="F1289" s="14">
        <v>628.09</v>
      </c>
      <c r="G1289" s="15">
        <f>SUM(G1290:G1293)</f>
        <v>13817.980000000001</v>
      </c>
      <c r="H1289" s="16">
        <f t="shared" si="196"/>
        <v>7.1646929574160375E-5</v>
      </c>
    </row>
    <row r="1290" spans="1:11" outlineLevel="1" x14ac:dyDescent="0.2">
      <c r="A1290" s="29"/>
      <c r="B1290" s="30" t="s">
        <v>16</v>
      </c>
      <c r="C1290" s="30" t="s">
        <v>3064</v>
      </c>
      <c r="D1290" s="34" t="s">
        <v>1781</v>
      </c>
      <c r="E1290" s="31">
        <v>22</v>
      </c>
      <c r="F1290" s="31">
        <v>628.09</v>
      </c>
      <c r="G1290" s="32">
        <f t="shared" ref="G1290:G1293" si="206">F1290*E1290</f>
        <v>13817.980000000001</v>
      </c>
      <c r="H1290" s="33">
        <f t="shared" si="196"/>
        <v>7.1646929574160375E-5</v>
      </c>
      <c r="K1290" t="str">
        <f xml:space="preserve"> B1289 &amp; B1290</f>
        <v>Z000145015Z020105061</v>
      </c>
    </row>
    <row r="1291" spans="1:11" outlineLevel="1" x14ac:dyDescent="0.2">
      <c r="A1291" s="29"/>
      <c r="B1291" s="30" t="s">
        <v>950</v>
      </c>
      <c r="C1291" s="30" t="s">
        <v>1391</v>
      </c>
      <c r="D1291" s="34" t="s">
        <v>151</v>
      </c>
      <c r="E1291" s="31">
        <v>0</v>
      </c>
      <c r="F1291" s="31">
        <v>15.0943</v>
      </c>
      <c r="G1291" s="32">
        <f t="shared" si="206"/>
        <v>0</v>
      </c>
      <c r="H1291" s="33">
        <f t="shared" si="196"/>
        <v>0</v>
      </c>
      <c r="K1291" t="str">
        <f xml:space="preserve"> B1289 &amp; B1291</f>
        <v>Z000145015Z040201008</v>
      </c>
    </row>
    <row r="1292" spans="1:11" outlineLevel="1" x14ac:dyDescent="0.2">
      <c r="A1292" s="29"/>
      <c r="B1292" s="30" t="s">
        <v>801</v>
      </c>
      <c r="C1292" s="30" t="s">
        <v>402</v>
      </c>
      <c r="D1292" s="34" t="s">
        <v>151</v>
      </c>
      <c r="E1292" s="31">
        <v>0</v>
      </c>
      <c r="F1292" s="31">
        <v>10.3</v>
      </c>
      <c r="G1292" s="32">
        <f t="shared" si="206"/>
        <v>0</v>
      </c>
      <c r="H1292" s="33">
        <f t="shared" si="196"/>
        <v>0</v>
      </c>
      <c r="K1292" t="str">
        <f xml:space="preserve"> B1289 &amp; B1292</f>
        <v>Z000145015Z040202006</v>
      </c>
    </row>
    <row r="1293" spans="1:11" outlineLevel="1" x14ac:dyDescent="0.2">
      <c r="A1293" s="29"/>
      <c r="B1293" s="30" t="s">
        <v>498</v>
      </c>
      <c r="C1293" s="30" t="s">
        <v>773</v>
      </c>
      <c r="D1293" s="34" t="s">
        <v>84</v>
      </c>
      <c r="E1293" s="31">
        <v>26.4</v>
      </c>
      <c r="F1293" s="31">
        <v>0</v>
      </c>
      <c r="G1293" s="32">
        <f t="shared" si="206"/>
        <v>0</v>
      </c>
      <c r="H1293" s="33">
        <f t="shared" si="196"/>
        <v>0</v>
      </c>
      <c r="K1293" t="str">
        <f xml:space="preserve"> B1289 &amp; B1293</f>
        <v>Z000145015Z040401001</v>
      </c>
    </row>
    <row r="1294" spans="1:11" outlineLevel="1" x14ac:dyDescent="0.2">
      <c r="A1294" s="11" t="s">
        <v>1734</v>
      </c>
      <c r="B1294" s="11" t="s">
        <v>809</v>
      </c>
      <c r="C1294" s="11" t="s">
        <v>3313</v>
      </c>
      <c r="D1294" s="12" t="s">
        <v>1781</v>
      </c>
      <c r="E1294" s="13">
        <v>84</v>
      </c>
      <c r="F1294" s="14">
        <v>18.131139999999998</v>
      </c>
      <c r="G1294" s="15">
        <f>SUM(G1295:G1299)</f>
        <v>1523.01576</v>
      </c>
      <c r="H1294" s="16">
        <f t="shared" ref="H1294:H1357" si="207">G1294/$F$2</f>
        <v>7.8969142303763891E-6</v>
      </c>
    </row>
    <row r="1295" spans="1:11" outlineLevel="1" x14ac:dyDescent="0.2">
      <c r="A1295" s="29"/>
      <c r="B1295" s="30" t="s">
        <v>1898</v>
      </c>
      <c r="C1295" s="30" t="s">
        <v>3112</v>
      </c>
      <c r="D1295" s="34" t="s">
        <v>1781</v>
      </c>
      <c r="E1295" s="31">
        <v>84</v>
      </c>
      <c r="F1295" s="31">
        <v>18</v>
      </c>
      <c r="G1295" s="32">
        <f t="shared" ref="G1295:G1299" si="208">F1295*E1295</f>
        <v>1512</v>
      </c>
      <c r="H1295" s="33">
        <f t="shared" si="207"/>
        <v>7.8397969541228516E-6</v>
      </c>
      <c r="K1295" t="str">
        <f xml:space="preserve"> B1294 &amp; B1295</f>
        <v>Z000146018Z020105047</v>
      </c>
    </row>
    <row r="1296" spans="1:11" outlineLevel="1" x14ac:dyDescent="0.2">
      <c r="A1296" s="29"/>
      <c r="B1296" s="30" t="s">
        <v>1649</v>
      </c>
      <c r="C1296" s="30" t="s">
        <v>1145</v>
      </c>
      <c r="D1296" s="34" t="s">
        <v>1781</v>
      </c>
      <c r="E1296" s="31">
        <v>2.7888000000000002</v>
      </c>
      <c r="F1296" s="31">
        <v>3.95</v>
      </c>
      <c r="G1296" s="32">
        <f t="shared" si="208"/>
        <v>11.015760000000002</v>
      </c>
      <c r="H1296" s="33">
        <f t="shared" si="207"/>
        <v>5.711727625353728E-8</v>
      </c>
      <c r="K1296" t="str">
        <f xml:space="preserve"> B1294 &amp; B1296</f>
        <v>Z000146018Z030105002</v>
      </c>
    </row>
    <row r="1297" spans="1:11" outlineLevel="1" x14ac:dyDescent="0.2">
      <c r="A1297" s="29"/>
      <c r="B1297" s="30" t="s">
        <v>950</v>
      </c>
      <c r="C1297" s="30" t="s">
        <v>1391</v>
      </c>
      <c r="D1297" s="34" t="s">
        <v>151</v>
      </c>
      <c r="E1297" s="31">
        <v>0</v>
      </c>
      <c r="F1297" s="31">
        <v>15.0943</v>
      </c>
      <c r="G1297" s="32">
        <f t="shared" si="208"/>
        <v>0</v>
      </c>
      <c r="H1297" s="33">
        <f t="shared" si="207"/>
        <v>0</v>
      </c>
      <c r="K1297" t="str">
        <f xml:space="preserve"> B1294 &amp; B1297</f>
        <v>Z000146018Z040201008</v>
      </c>
    </row>
    <row r="1298" spans="1:11" outlineLevel="1" x14ac:dyDescent="0.2">
      <c r="A1298" s="29"/>
      <c r="B1298" s="30" t="s">
        <v>801</v>
      </c>
      <c r="C1298" s="30" t="s">
        <v>402</v>
      </c>
      <c r="D1298" s="34" t="s">
        <v>151</v>
      </c>
      <c r="E1298" s="31">
        <v>0</v>
      </c>
      <c r="F1298" s="31">
        <v>10.3</v>
      </c>
      <c r="G1298" s="32">
        <f t="shared" si="208"/>
        <v>0</v>
      </c>
      <c r="H1298" s="33">
        <f t="shared" si="207"/>
        <v>0</v>
      </c>
      <c r="K1298" t="str">
        <f xml:space="preserve"> B1294 &amp; B1298</f>
        <v>Z000146018Z040202006</v>
      </c>
    </row>
    <row r="1299" spans="1:11" outlineLevel="1" x14ac:dyDescent="0.2">
      <c r="A1299" s="29"/>
      <c r="B1299" s="30" t="s">
        <v>498</v>
      </c>
      <c r="C1299" s="30" t="s">
        <v>773</v>
      </c>
      <c r="D1299" s="34" t="s">
        <v>84</v>
      </c>
      <c r="E1299" s="31">
        <v>100.8</v>
      </c>
      <c r="F1299" s="31">
        <v>0</v>
      </c>
      <c r="G1299" s="32">
        <f t="shared" si="208"/>
        <v>0</v>
      </c>
      <c r="H1299" s="33">
        <f t="shared" si="207"/>
        <v>0</v>
      </c>
      <c r="K1299" t="str">
        <f xml:space="preserve"> B1294 &amp; B1299</f>
        <v>Z000146018Z040401001</v>
      </c>
    </row>
    <row r="1300" spans="1:11" outlineLevel="1" x14ac:dyDescent="0.2">
      <c r="A1300" s="11" t="s">
        <v>1737</v>
      </c>
      <c r="B1300" s="11" t="s">
        <v>594</v>
      </c>
      <c r="C1300" s="11" t="s">
        <v>3325</v>
      </c>
      <c r="D1300" s="12" t="s">
        <v>153</v>
      </c>
      <c r="E1300" s="13">
        <v>217.83</v>
      </c>
      <c r="F1300" s="14">
        <v>201.44157999999999</v>
      </c>
      <c r="G1300" s="15">
        <f>SUM(G1301:G1307)</f>
        <v>43880.019371399998</v>
      </c>
      <c r="H1300" s="16">
        <f t="shared" si="207"/>
        <v>2.2752013373991629E-4</v>
      </c>
    </row>
    <row r="1301" spans="1:11" outlineLevel="1" x14ac:dyDescent="0.2">
      <c r="A1301" s="29"/>
      <c r="B1301" s="30" t="s">
        <v>1474</v>
      </c>
      <c r="C1301" s="30" t="s">
        <v>876</v>
      </c>
      <c r="D1301" s="34" t="s">
        <v>153</v>
      </c>
      <c r="E1301" s="31">
        <v>217.83</v>
      </c>
      <c r="F1301" s="31">
        <v>198</v>
      </c>
      <c r="G1301" s="32">
        <f t="shared" ref="G1301:G1307" si="209">F1301*E1301</f>
        <v>43130.340000000004</v>
      </c>
      <c r="H1301" s="33">
        <f t="shared" si="207"/>
        <v>2.2363300804383799E-4</v>
      </c>
      <c r="K1301" t="str">
        <f xml:space="preserve"> B1300 &amp; B1301</f>
        <v>Z000147003Z020106002</v>
      </c>
    </row>
    <row r="1302" spans="1:11" outlineLevel="1" x14ac:dyDescent="0.2">
      <c r="A1302" s="29"/>
      <c r="B1302" s="30" t="s">
        <v>160</v>
      </c>
      <c r="C1302" s="30" t="s">
        <v>726</v>
      </c>
      <c r="D1302" s="34" t="s">
        <v>1781</v>
      </c>
      <c r="E1302" s="31">
        <v>7.8418799999999997</v>
      </c>
      <c r="F1302" s="31">
        <v>1.96</v>
      </c>
      <c r="G1302" s="32">
        <f t="shared" si="209"/>
        <v>15.370084799999999</v>
      </c>
      <c r="H1302" s="33">
        <f t="shared" si="207"/>
        <v>7.9694671957440434E-8</v>
      </c>
      <c r="K1302" t="str">
        <f xml:space="preserve"> B1300 &amp; B1302</f>
        <v>Z000147003Z030101002</v>
      </c>
    </row>
    <row r="1303" spans="1:11" outlineLevel="1" x14ac:dyDescent="0.2">
      <c r="A1303" s="29"/>
      <c r="B1303" s="30" t="s">
        <v>1909</v>
      </c>
      <c r="C1303" s="30" t="s">
        <v>3136</v>
      </c>
      <c r="D1303" s="34" t="s">
        <v>1781</v>
      </c>
      <c r="E1303" s="31">
        <v>1.6337250000000001</v>
      </c>
      <c r="F1303" s="31">
        <v>66.42</v>
      </c>
      <c r="G1303" s="32">
        <f t="shared" si="209"/>
        <v>108.51201450000001</v>
      </c>
      <c r="H1303" s="33">
        <f t="shared" si="207"/>
        <v>5.6264031796483781E-7</v>
      </c>
      <c r="K1303" t="str">
        <f xml:space="preserve"> B1300 &amp; B1303</f>
        <v>Z000147003Z030103001</v>
      </c>
    </row>
    <row r="1304" spans="1:11" outlineLevel="1" x14ac:dyDescent="0.2">
      <c r="A1304" s="29"/>
      <c r="B1304" s="30" t="s">
        <v>626</v>
      </c>
      <c r="C1304" s="30" t="s">
        <v>1750</v>
      </c>
      <c r="D1304" s="34" t="s">
        <v>1781</v>
      </c>
      <c r="E1304" s="31">
        <v>10.673670000000001</v>
      </c>
      <c r="F1304" s="31">
        <v>58.63</v>
      </c>
      <c r="G1304" s="32">
        <f t="shared" si="209"/>
        <v>625.7972721000001</v>
      </c>
      <c r="H1304" s="33">
        <f t="shared" si="207"/>
        <v>3.2447907061560652E-6</v>
      </c>
      <c r="K1304" t="str">
        <f xml:space="preserve"> B1300 &amp; B1304</f>
        <v>Z000147003Z030203004</v>
      </c>
    </row>
    <row r="1305" spans="1:11" outlineLevel="1" x14ac:dyDescent="0.2">
      <c r="A1305" s="29"/>
      <c r="B1305" s="30" t="s">
        <v>950</v>
      </c>
      <c r="C1305" s="30" t="s">
        <v>1391</v>
      </c>
      <c r="D1305" s="34" t="s">
        <v>151</v>
      </c>
      <c r="E1305" s="31">
        <v>0</v>
      </c>
      <c r="F1305" s="31">
        <v>15.0943</v>
      </c>
      <c r="G1305" s="32">
        <f t="shared" si="209"/>
        <v>0</v>
      </c>
      <c r="H1305" s="33">
        <f t="shared" si="207"/>
        <v>0</v>
      </c>
      <c r="K1305" t="str">
        <f xml:space="preserve"> B1300 &amp; B1305</f>
        <v>Z000147003Z040201008</v>
      </c>
    </row>
    <row r="1306" spans="1:11" outlineLevel="1" x14ac:dyDescent="0.2">
      <c r="A1306" s="29"/>
      <c r="B1306" s="30" t="s">
        <v>801</v>
      </c>
      <c r="C1306" s="30" t="s">
        <v>402</v>
      </c>
      <c r="D1306" s="34" t="s">
        <v>151</v>
      </c>
      <c r="E1306" s="31">
        <v>0</v>
      </c>
      <c r="F1306" s="31">
        <v>10.3</v>
      </c>
      <c r="G1306" s="32">
        <f t="shared" si="209"/>
        <v>0</v>
      </c>
      <c r="H1306" s="33">
        <f t="shared" si="207"/>
        <v>0</v>
      </c>
      <c r="K1306" t="str">
        <f xml:space="preserve"> B1300 &amp; B1306</f>
        <v>Z000147003Z040202006</v>
      </c>
    </row>
    <row r="1307" spans="1:11" outlineLevel="1" x14ac:dyDescent="0.2">
      <c r="A1307" s="29"/>
      <c r="B1307" s="30" t="s">
        <v>498</v>
      </c>
      <c r="C1307" s="30" t="s">
        <v>773</v>
      </c>
      <c r="D1307" s="34" t="s">
        <v>84</v>
      </c>
      <c r="E1307" s="31">
        <v>261.39600000000002</v>
      </c>
      <c r="F1307" s="31">
        <v>0</v>
      </c>
      <c r="G1307" s="32">
        <f t="shared" si="209"/>
        <v>0</v>
      </c>
      <c r="H1307" s="33">
        <f t="shared" si="207"/>
        <v>0</v>
      </c>
      <c r="K1307" t="str">
        <f xml:space="preserve"> B1300 &amp; B1307</f>
        <v>Z000147003Z040401001</v>
      </c>
    </row>
    <row r="1308" spans="1:11" outlineLevel="1" x14ac:dyDescent="0.2">
      <c r="A1308" s="11" t="s">
        <v>1741</v>
      </c>
      <c r="B1308" s="11" t="s">
        <v>596</v>
      </c>
      <c r="C1308" s="11" t="s">
        <v>3333</v>
      </c>
      <c r="D1308" s="12" t="s">
        <v>1781</v>
      </c>
      <c r="E1308" s="13">
        <v>144</v>
      </c>
      <c r="F1308" s="14">
        <v>70.390297000000004</v>
      </c>
      <c r="G1308" s="15">
        <f>SUM(G1309:G1315)</f>
        <v>10136.202768000001</v>
      </c>
      <c r="H1308" s="16">
        <f t="shared" si="207"/>
        <v>5.2556727240038382E-5</v>
      </c>
    </row>
    <row r="1309" spans="1:11" outlineLevel="1" x14ac:dyDescent="0.2">
      <c r="A1309" s="29"/>
      <c r="B1309" s="30" t="s">
        <v>1467</v>
      </c>
      <c r="C1309" s="30" t="s">
        <v>1034</v>
      </c>
      <c r="D1309" s="34" t="s">
        <v>1781</v>
      </c>
      <c r="E1309" s="31">
        <v>144</v>
      </c>
      <c r="F1309" s="31">
        <v>69.534300000000002</v>
      </c>
      <c r="G1309" s="32">
        <f t="shared" ref="G1309:G1315" si="210">F1309*E1309</f>
        <v>10012.939200000001</v>
      </c>
      <c r="H1309" s="33">
        <f t="shared" si="207"/>
        <v>5.1917599366387113E-5</v>
      </c>
      <c r="K1309" t="str">
        <f xml:space="preserve"> B1308 &amp; B1309</f>
        <v>Z000147004Z020106001</v>
      </c>
    </row>
    <row r="1310" spans="1:11" outlineLevel="1" x14ac:dyDescent="0.2">
      <c r="A1310" s="29"/>
      <c r="B1310" s="30" t="s">
        <v>160</v>
      </c>
      <c r="C1310" s="30" t="s">
        <v>726</v>
      </c>
      <c r="D1310" s="34" t="s">
        <v>1781</v>
      </c>
      <c r="E1310" s="31">
        <v>5.1839999999999993</v>
      </c>
      <c r="F1310" s="31">
        <v>1.96</v>
      </c>
      <c r="G1310" s="32">
        <f t="shared" si="210"/>
        <v>10.160639999999999</v>
      </c>
      <c r="H1310" s="33">
        <f t="shared" si="207"/>
        <v>5.2683435531705562E-8</v>
      </c>
      <c r="K1310" t="str">
        <f xml:space="preserve"> B1308 &amp; B1310</f>
        <v>Z000147004Z030101002</v>
      </c>
    </row>
    <row r="1311" spans="1:11" outlineLevel="1" x14ac:dyDescent="0.2">
      <c r="A1311" s="29"/>
      <c r="B1311" s="30" t="s">
        <v>1909</v>
      </c>
      <c r="C1311" s="30" t="s">
        <v>3136</v>
      </c>
      <c r="D1311" s="34" t="s">
        <v>1781</v>
      </c>
      <c r="E1311" s="31">
        <v>1.08</v>
      </c>
      <c r="F1311" s="31">
        <v>66.42</v>
      </c>
      <c r="G1311" s="32">
        <f t="shared" si="210"/>
        <v>71.73360000000001</v>
      </c>
      <c r="H1311" s="33">
        <f t="shared" si="207"/>
        <v>3.7194236692345706E-7</v>
      </c>
      <c r="K1311" t="str">
        <f xml:space="preserve"> B1308 &amp; B1311</f>
        <v>Z000147004Z030103001</v>
      </c>
    </row>
    <row r="1312" spans="1:11" outlineLevel="1" x14ac:dyDescent="0.2">
      <c r="A1312" s="29"/>
      <c r="B1312" s="30" t="s">
        <v>626</v>
      </c>
      <c r="C1312" s="30" t="s">
        <v>1750</v>
      </c>
      <c r="D1312" s="34" t="s">
        <v>1781</v>
      </c>
      <c r="E1312" s="31">
        <v>0.7056</v>
      </c>
      <c r="F1312" s="31">
        <v>58.63</v>
      </c>
      <c r="G1312" s="32">
        <f t="shared" si="210"/>
        <v>41.369328000000003</v>
      </c>
      <c r="H1312" s="33">
        <f t="shared" si="207"/>
        <v>2.14502071196104E-7</v>
      </c>
      <c r="K1312" t="str">
        <f xml:space="preserve"> B1308 &amp; B1312</f>
        <v>Z000147004Z030203004</v>
      </c>
    </row>
    <row r="1313" spans="1:11" outlineLevel="1" x14ac:dyDescent="0.2">
      <c r="A1313" s="29"/>
      <c r="B1313" s="30" t="s">
        <v>950</v>
      </c>
      <c r="C1313" s="30" t="s">
        <v>1391</v>
      </c>
      <c r="D1313" s="34" t="s">
        <v>151</v>
      </c>
      <c r="E1313" s="31">
        <v>0</v>
      </c>
      <c r="F1313" s="31">
        <v>15.0943</v>
      </c>
      <c r="G1313" s="32">
        <f t="shared" si="210"/>
        <v>0</v>
      </c>
      <c r="H1313" s="33">
        <f t="shared" si="207"/>
        <v>0</v>
      </c>
      <c r="K1313" t="str">
        <f xml:space="preserve"> B1308 &amp; B1313</f>
        <v>Z000147004Z040201008</v>
      </c>
    </row>
    <row r="1314" spans="1:11" outlineLevel="1" x14ac:dyDescent="0.2">
      <c r="A1314" s="29"/>
      <c r="B1314" s="30" t="s">
        <v>801</v>
      </c>
      <c r="C1314" s="30" t="s">
        <v>402</v>
      </c>
      <c r="D1314" s="34" t="s">
        <v>151</v>
      </c>
      <c r="E1314" s="31">
        <v>0</v>
      </c>
      <c r="F1314" s="31">
        <v>10.3</v>
      </c>
      <c r="G1314" s="32">
        <f t="shared" si="210"/>
        <v>0</v>
      </c>
      <c r="H1314" s="33">
        <f t="shared" si="207"/>
        <v>0</v>
      </c>
      <c r="K1314" t="str">
        <f xml:space="preserve"> B1308 &amp; B1314</f>
        <v>Z000147004Z040202006</v>
      </c>
    </row>
    <row r="1315" spans="1:11" outlineLevel="1" x14ac:dyDescent="0.2">
      <c r="A1315" s="29"/>
      <c r="B1315" s="30" t="s">
        <v>498</v>
      </c>
      <c r="C1315" s="30" t="s">
        <v>773</v>
      </c>
      <c r="D1315" s="34" t="s">
        <v>84</v>
      </c>
      <c r="E1315" s="31">
        <v>172.79999999999998</v>
      </c>
      <c r="F1315" s="31">
        <v>0</v>
      </c>
      <c r="G1315" s="32">
        <f t="shared" si="210"/>
        <v>0</v>
      </c>
      <c r="H1315" s="33">
        <f t="shared" si="207"/>
        <v>0</v>
      </c>
      <c r="K1315" t="str">
        <f xml:space="preserve"> B1308 &amp; B1315</f>
        <v>Z000147004Z040401001</v>
      </c>
    </row>
    <row r="1316" spans="1:11" outlineLevel="1" x14ac:dyDescent="0.2">
      <c r="A1316" s="11" t="s">
        <v>1744</v>
      </c>
      <c r="B1316" s="11" t="s">
        <v>602</v>
      </c>
      <c r="C1316" s="11" t="s">
        <v>3349</v>
      </c>
      <c r="D1316" s="12" t="s">
        <v>1781</v>
      </c>
      <c r="E1316" s="13">
        <v>23</v>
      </c>
      <c r="F1316" s="14">
        <v>44.015996999999999</v>
      </c>
      <c r="G1316" s="15">
        <f>SUM(G1317:G1323)</f>
        <v>1012.367931</v>
      </c>
      <c r="H1316" s="16">
        <f t="shared" si="207"/>
        <v>5.2491792472919666E-6</v>
      </c>
    </row>
    <row r="1317" spans="1:11" outlineLevel="1" x14ac:dyDescent="0.2">
      <c r="A1317" s="29"/>
      <c r="B1317" s="30" t="s">
        <v>1486</v>
      </c>
      <c r="C1317" s="30" t="s">
        <v>904</v>
      </c>
      <c r="D1317" s="34" t="s">
        <v>1781</v>
      </c>
      <c r="E1317" s="31">
        <v>23</v>
      </c>
      <c r="F1317" s="31">
        <v>43.16</v>
      </c>
      <c r="G1317" s="32">
        <f t="shared" ref="G1317:G1323" si="211">F1317*E1317</f>
        <v>992.68</v>
      </c>
      <c r="H1317" s="33">
        <f t="shared" si="207"/>
        <v>5.147096323028222E-6</v>
      </c>
      <c r="K1317" t="str">
        <f xml:space="preserve"> B1316 &amp; B1317</f>
        <v>Z000147006Z020106008</v>
      </c>
    </row>
    <row r="1318" spans="1:11" outlineLevel="1" x14ac:dyDescent="0.2">
      <c r="A1318" s="29"/>
      <c r="B1318" s="30" t="s">
        <v>160</v>
      </c>
      <c r="C1318" s="30" t="s">
        <v>726</v>
      </c>
      <c r="D1318" s="34" t="s">
        <v>1781</v>
      </c>
      <c r="E1318" s="31">
        <v>0.82799999999999996</v>
      </c>
      <c r="F1318" s="31">
        <v>1.96</v>
      </c>
      <c r="G1318" s="32">
        <f t="shared" si="211"/>
        <v>1.6228799999999999</v>
      </c>
      <c r="H1318" s="33">
        <f t="shared" si="207"/>
        <v>8.4147153974251934E-9</v>
      </c>
      <c r="K1318" t="str">
        <f xml:space="preserve"> B1316 &amp; B1318</f>
        <v>Z000147006Z030101002</v>
      </c>
    </row>
    <row r="1319" spans="1:11" outlineLevel="1" x14ac:dyDescent="0.2">
      <c r="A1319" s="29"/>
      <c r="B1319" s="30" t="s">
        <v>1909</v>
      </c>
      <c r="C1319" s="30" t="s">
        <v>3136</v>
      </c>
      <c r="D1319" s="34" t="s">
        <v>1781</v>
      </c>
      <c r="E1319" s="31">
        <v>0.17249999999999999</v>
      </c>
      <c r="F1319" s="31">
        <v>66.42</v>
      </c>
      <c r="G1319" s="32">
        <f t="shared" si="211"/>
        <v>11.45745</v>
      </c>
      <c r="H1319" s="33">
        <f t="shared" si="207"/>
        <v>5.9407461383607717E-8</v>
      </c>
      <c r="K1319" t="str">
        <f xml:space="preserve"> B1316 &amp; B1319</f>
        <v>Z000147006Z030103001</v>
      </c>
    </row>
    <row r="1320" spans="1:11" outlineLevel="1" x14ac:dyDescent="0.2">
      <c r="A1320" s="29"/>
      <c r="B1320" s="30" t="s">
        <v>626</v>
      </c>
      <c r="C1320" s="30" t="s">
        <v>1750</v>
      </c>
      <c r="D1320" s="34" t="s">
        <v>1781</v>
      </c>
      <c r="E1320" s="31">
        <v>0.11269999999999999</v>
      </c>
      <c r="F1320" s="31">
        <v>58.63</v>
      </c>
      <c r="G1320" s="32">
        <f t="shared" si="211"/>
        <v>6.6076009999999998</v>
      </c>
      <c r="H1320" s="33">
        <f t="shared" si="207"/>
        <v>3.4260747482711054E-8</v>
      </c>
      <c r="K1320" t="str">
        <f xml:space="preserve"> B1316 &amp; B1320</f>
        <v>Z000147006Z030203004</v>
      </c>
    </row>
    <row r="1321" spans="1:11" outlineLevel="1" x14ac:dyDescent="0.2">
      <c r="A1321" s="29"/>
      <c r="B1321" s="30" t="s">
        <v>950</v>
      </c>
      <c r="C1321" s="30" t="s">
        <v>1391</v>
      </c>
      <c r="D1321" s="34" t="s">
        <v>151</v>
      </c>
      <c r="E1321" s="31">
        <v>0</v>
      </c>
      <c r="F1321" s="31">
        <v>15.0943</v>
      </c>
      <c r="G1321" s="32">
        <f t="shared" si="211"/>
        <v>0</v>
      </c>
      <c r="H1321" s="33">
        <f t="shared" si="207"/>
        <v>0</v>
      </c>
      <c r="K1321" t="str">
        <f xml:space="preserve"> B1316 &amp; B1321</f>
        <v>Z000147006Z040201008</v>
      </c>
    </row>
    <row r="1322" spans="1:11" outlineLevel="1" x14ac:dyDescent="0.2">
      <c r="A1322" s="29"/>
      <c r="B1322" s="30" t="s">
        <v>801</v>
      </c>
      <c r="C1322" s="30" t="s">
        <v>402</v>
      </c>
      <c r="D1322" s="34" t="s">
        <v>151</v>
      </c>
      <c r="E1322" s="31">
        <v>0</v>
      </c>
      <c r="F1322" s="31">
        <v>10.3</v>
      </c>
      <c r="G1322" s="32">
        <f t="shared" si="211"/>
        <v>0</v>
      </c>
      <c r="H1322" s="33">
        <f t="shared" si="207"/>
        <v>0</v>
      </c>
      <c r="K1322" t="str">
        <f xml:space="preserve"> B1316 &amp; B1322</f>
        <v>Z000147006Z040202006</v>
      </c>
    </row>
    <row r="1323" spans="1:11" outlineLevel="1" x14ac:dyDescent="0.2">
      <c r="A1323" s="29"/>
      <c r="B1323" s="30" t="s">
        <v>498</v>
      </c>
      <c r="C1323" s="30" t="s">
        <v>773</v>
      </c>
      <c r="D1323" s="34" t="s">
        <v>84</v>
      </c>
      <c r="E1323" s="31">
        <v>27.599999999999998</v>
      </c>
      <c r="F1323" s="31">
        <v>0</v>
      </c>
      <c r="G1323" s="32">
        <f t="shared" si="211"/>
        <v>0</v>
      </c>
      <c r="H1323" s="33">
        <f t="shared" si="207"/>
        <v>0</v>
      </c>
      <c r="K1323" t="str">
        <f xml:space="preserve"> B1316 &amp; B1323</f>
        <v>Z000147006Z040401001</v>
      </c>
    </row>
    <row r="1324" spans="1:11" outlineLevel="1" x14ac:dyDescent="0.2">
      <c r="A1324" s="11" t="s">
        <v>1746</v>
      </c>
      <c r="B1324" s="11" t="s">
        <v>599</v>
      </c>
      <c r="C1324" s="11" t="s">
        <v>3341</v>
      </c>
      <c r="D1324" s="12" t="s">
        <v>1781</v>
      </c>
      <c r="E1324" s="13">
        <v>13</v>
      </c>
      <c r="F1324" s="14">
        <v>99.505996999999994</v>
      </c>
      <c r="G1324" s="15">
        <f>SUM(G1325:G1331)</f>
        <v>1293.577961</v>
      </c>
      <c r="H1324" s="16">
        <f t="shared" si="207"/>
        <v>6.707267565190641E-6</v>
      </c>
    </row>
    <row r="1325" spans="1:11" outlineLevel="1" x14ac:dyDescent="0.2">
      <c r="A1325" s="29"/>
      <c r="B1325" s="30" t="s">
        <v>1482</v>
      </c>
      <c r="C1325" s="30" t="s">
        <v>396</v>
      </c>
      <c r="D1325" s="34" t="s">
        <v>1781</v>
      </c>
      <c r="E1325" s="31">
        <v>13</v>
      </c>
      <c r="F1325" s="31">
        <v>98.65</v>
      </c>
      <c r="G1325" s="32">
        <f t="shared" ref="G1325:G1331" si="212">F1325*E1325</f>
        <v>1282.45</v>
      </c>
      <c r="H1325" s="33">
        <f t="shared" si="207"/>
        <v>6.6495685210415684E-6</v>
      </c>
      <c r="K1325" t="str">
        <f xml:space="preserve"> B1324 &amp; B1325</f>
        <v>Z000147005Z020106007</v>
      </c>
    </row>
    <row r="1326" spans="1:11" outlineLevel="1" x14ac:dyDescent="0.2">
      <c r="A1326" s="29"/>
      <c r="B1326" s="30" t="s">
        <v>160</v>
      </c>
      <c r="C1326" s="30" t="s">
        <v>726</v>
      </c>
      <c r="D1326" s="34" t="s">
        <v>1781</v>
      </c>
      <c r="E1326" s="31">
        <v>0.46799999999999997</v>
      </c>
      <c r="F1326" s="31">
        <v>1.96</v>
      </c>
      <c r="G1326" s="32">
        <f t="shared" si="212"/>
        <v>0.91727999999999987</v>
      </c>
      <c r="H1326" s="33">
        <f t="shared" si="207"/>
        <v>4.7561434855011964E-9</v>
      </c>
      <c r="K1326" t="str">
        <f xml:space="preserve"> B1324 &amp; B1326</f>
        <v>Z000147005Z030101002</v>
      </c>
    </row>
    <row r="1327" spans="1:11" outlineLevel="1" x14ac:dyDescent="0.2">
      <c r="A1327" s="29"/>
      <c r="B1327" s="30" t="s">
        <v>1909</v>
      </c>
      <c r="C1327" s="30" t="s">
        <v>3136</v>
      </c>
      <c r="D1327" s="34" t="s">
        <v>1781</v>
      </c>
      <c r="E1327" s="31">
        <v>9.7500000000000003E-2</v>
      </c>
      <c r="F1327" s="31">
        <v>66.42</v>
      </c>
      <c r="G1327" s="32">
        <f t="shared" si="212"/>
        <v>6.4759500000000001</v>
      </c>
      <c r="H1327" s="33">
        <f t="shared" si="207"/>
        <v>3.3578130347256535E-8</v>
      </c>
      <c r="K1327" t="str">
        <f xml:space="preserve"> B1324 &amp; B1327</f>
        <v>Z000147005Z030103001</v>
      </c>
    </row>
    <row r="1328" spans="1:11" outlineLevel="1" x14ac:dyDescent="0.2">
      <c r="A1328" s="29"/>
      <c r="B1328" s="30" t="s">
        <v>626</v>
      </c>
      <c r="C1328" s="30" t="s">
        <v>1750</v>
      </c>
      <c r="D1328" s="34" t="s">
        <v>1781</v>
      </c>
      <c r="E1328" s="31">
        <v>6.3699999999999993E-2</v>
      </c>
      <c r="F1328" s="31">
        <v>58.63</v>
      </c>
      <c r="G1328" s="32">
        <f t="shared" si="212"/>
        <v>3.7347309999999996</v>
      </c>
      <c r="H1328" s="33">
        <f t="shared" si="207"/>
        <v>1.9364770316314939E-8</v>
      </c>
      <c r="K1328" t="str">
        <f xml:space="preserve"> B1324 &amp; B1328</f>
        <v>Z000147005Z030203004</v>
      </c>
    </row>
    <row r="1329" spans="1:11" outlineLevel="1" x14ac:dyDescent="0.2">
      <c r="A1329" s="29"/>
      <c r="B1329" s="30" t="s">
        <v>950</v>
      </c>
      <c r="C1329" s="30" t="s">
        <v>1391</v>
      </c>
      <c r="D1329" s="34" t="s">
        <v>151</v>
      </c>
      <c r="E1329" s="31">
        <v>0</v>
      </c>
      <c r="F1329" s="31">
        <v>15.0943</v>
      </c>
      <c r="G1329" s="32">
        <f t="shared" si="212"/>
        <v>0</v>
      </c>
      <c r="H1329" s="33">
        <f t="shared" si="207"/>
        <v>0</v>
      </c>
      <c r="K1329" t="str">
        <f xml:space="preserve"> B1324 &amp; B1329</f>
        <v>Z000147005Z040201008</v>
      </c>
    </row>
    <row r="1330" spans="1:11" outlineLevel="1" x14ac:dyDescent="0.2">
      <c r="A1330" s="29"/>
      <c r="B1330" s="30" t="s">
        <v>801</v>
      </c>
      <c r="C1330" s="30" t="s">
        <v>402</v>
      </c>
      <c r="D1330" s="34" t="s">
        <v>151</v>
      </c>
      <c r="E1330" s="31">
        <v>0</v>
      </c>
      <c r="F1330" s="31">
        <v>10.3</v>
      </c>
      <c r="G1330" s="32">
        <f t="shared" si="212"/>
        <v>0</v>
      </c>
      <c r="H1330" s="33">
        <f t="shared" si="207"/>
        <v>0</v>
      </c>
      <c r="K1330" t="str">
        <f xml:space="preserve"> B1324 &amp; B1330</f>
        <v>Z000147005Z040202006</v>
      </c>
    </row>
    <row r="1331" spans="1:11" outlineLevel="1" x14ac:dyDescent="0.2">
      <c r="A1331" s="29"/>
      <c r="B1331" s="30" t="s">
        <v>498</v>
      </c>
      <c r="C1331" s="30" t="s">
        <v>773</v>
      </c>
      <c r="D1331" s="34" t="s">
        <v>84</v>
      </c>
      <c r="E1331" s="31">
        <v>15.6</v>
      </c>
      <c r="F1331" s="31">
        <v>0</v>
      </c>
      <c r="G1331" s="32">
        <f t="shared" si="212"/>
        <v>0</v>
      </c>
      <c r="H1331" s="33">
        <f t="shared" si="207"/>
        <v>0</v>
      </c>
      <c r="K1331" t="str">
        <f xml:space="preserve"> B1324 &amp; B1331</f>
        <v>Z000147005Z040401001</v>
      </c>
    </row>
    <row r="1332" spans="1:11" outlineLevel="1" x14ac:dyDescent="0.2">
      <c r="A1332" s="11" t="s">
        <v>1748</v>
      </c>
      <c r="B1332" s="11" t="s">
        <v>1280</v>
      </c>
      <c r="C1332" s="11" t="s">
        <v>3246</v>
      </c>
      <c r="D1332" s="12" t="s">
        <v>1781</v>
      </c>
      <c r="E1332" s="13">
        <v>50</v>
      </c>
      <c r="F1332" s="14">
        <v>1108.0859</v>
      </c>
      <c r="G1332" s="15">
        <f>SUM(G1333:G1337)</f>
        <v>55404.294999999998</v>
      </c>
      <c r="H1332" s="16">
        <f t="shared" si="207"/>
        <v>2.872740894089444E-4</v>
      </c>
    </row>
    <row r="1333" spans="1:11" outlineLevel="1" x14ac:dyDescent="0.2">
      <c r="A1333" s="29"/>
      <c r="B1333" s="30" t="s">
        <v>17</v>
      </c>
      <c r="C1333" s="30" t="s">
        <v>3039</v>
      </c>
      <c r="D1333" s="34" t="s">
        <v>1781</v>
      </c>
      <c r="E1333" s="31">
        <v>50</v>
      </c>
      <c r="F1333" s="31">
        <v>1107.92</v>
      </c>
      <c r="G1333" s="32">
        <f t="shared" ref="G1333:G1337" si="213">F1333*E1333</f>
        <v>55396</v>
      </c>
      <c r="H1333" s="33">
        <f t="shared" si="207"/>
        <v>2.8723107941176556E-4</v>
      </c>
      <c r="K1333" t="str">
        <f xml:space="preserve"> B1332 &amp; B1333</f>
        <v>Z000143021Z020103028</v>
      </c>
    </row>
    <row r="1334" spans="1:11" outlineLevel="1" x14ac:dyDescent="0.2">
      <c r="A1334" s="29"/>
      <c r="B1334" s="30" t="s">
        <v>1649</v>
      </c>
      <c r="C1334" s="30" t="s">
        <v>1145</v>
      </c>
      <c r="D1334" s="34" t="s">
        <v>1781</v>
      </c>
      <c r="E1334" s="31">
        <v>2.1</v>
      </c>
      <c r="F1334" s="31">
        <v>3.95</v>
      </c>
      <c r="G1334" s="32">
        <f t="shared" si="213"/>
        <v>8.2949999999999999</v>
      </c>
      <c r="H1334" s="33">
        <f t="shared" si="207"/>
        <v>4.3009997178868426E-8</v>
      </c>
      <c r="K1334" t="str">
        <f xml:space="preserve"> B1332 &amp; B1334</f>
        <v>Z000143021Z030105002</v>
      </c>
    </row>
    <row r="1335" spans="1:11" outlineLevel="1" x14ac:dyDescent="0.2">
      <c r="A1335" s="29"/>
      <c r="B1335" s="30" t="s">
        <v>950</v>
      </c>
      <c r="C1335" s="30" t="s">
        <v>1391</v>
      </c>
      <c r="D1335" s="34" t="s">
        <v>151</v>
      </c>
      <c r="E1335" s="31">
        <v>0</v>
      </c>
      <c r="F1335" s="31">
        <v>15.0943</v>
      </c>
      <c r="G1335" s="32">
        <f t="shared" si="213"/>
        <v>0</v>
      </c>
      <c r="H1335" s="33">
        <f t="shared" si="207"/>
        <v>0</v>
      </c>
      <c r="K1335" t="str">
        <f xml:space="preserve"> B1332 &amp; B1335</f>
        <v>Z000143021Z040201008</v>
      </c>
    </row>
    <row r="1336" spans="1:11" outlineLevel="1" x14ac:dyDescent="0.2">
      <c r="A1336" s="29"/>
      <c r="B1336" s="30" t="s">
        <v>801</v>
      </c>
      <c r="C1336" s="30" t="s">
        <v>402</v>
      </c>
      <c r="D1336" s="34" t="s">
        <v>151</v>
      </c>
      <c r="E1336" s="31">
        <v>0</v>
      </c>
      <c r="F1336" s="31">
        <v>10.3</v>
      </c>
      <c r="G1336" s="32">
        <f t="shared" si="213"/>
        <v>0</v>
      </c>
      <c r="H1336" s="33">
        <f t="shared" si="207"/>
        <v>0</v>
      </c>
      <c r="K1336" t="str">
        <f xml:space="preserve"> B1332 &amp; B1336</f>
        <v>Z000143021Z040202006</v>
      </c>
    </row>
    <row r="1337" spans="1:11" outlineLevel="1" x14ac:dyDescent="0.2">
      <c r="A1337" s="29"/>
      <c r="B1337" s="30" t="s">
        <v>498</v>
      </c>
      <c r="C1337" s="30" t="s">
        <v>773</v>
      </c>
      <c r="D1337" s="34" t="s">
        <v>84</v>
      </c>
      <c r="E1337" s="31">
        <v>60</v>
      </c>
      <c r="F1337" s="31">
        <v>0</v>
      </c>
      <c r="G1337" s="32">
        <f t="shared" si="213"/>
        <v>0</v>
      </c>
      <c r="H1337" s="33">
        <f t="shared" si="207"/>
        <v>0</v>
      </c>
      <c r="K1337" t="str">
        <f xml:space="preserve"> B1332 &amp; B1337</f>
        <v>Z000143021Z040401001</v>
      </c>
    </row>
    <row r="1338" spans="1:11" outlineLevel="1" x14ac:dyDescent="0.2">
      <c r="A1338" s="11" t="s">
        <v>1796</v>
      </c>
      <c r="B1338" s="11" t="s">
        <v>1277</v>
      </c>
      <c r="C1338" s="11" t="s">
        <v>3240</v>
      </c>
      <c r="D1338" s="12" t="s">
        <v>1781</v>
      </c>
      <c r="E1338" s="13">
        <v>4</v>
      </c>
      <c r="F1338" s="14">
        <v>161.2259</v>
      </c>
      <c r="G1338" s="15">
        <f>SUM(G1339:G1343)</f>
        <v>644.90359999999998</v>
      </c>
      <c r="H1338" s="16">
        <f t="shared" si="207"/>
        <v>3.3438579887452792E-6</v>
      </c>
    </row>
    <row r="1339" spans="1:11" outlineLevel="1" x14ac:dyDescent="0.2">
      <c r="A1339" s="29"/>
      <c r="B1339" s="30" t="s">
        <v>15</v>
      </c>
      <c r="C1339" s="30" t="s">
        <v>3238</v>
      </c>
      <c r="D1339" s="34" t="s">
        <v>1781</v>
      </c>
      <c r="E1339" s="31">
        <v>4</v>
      </c>
      <c r="F1339" s="31">
        <v>161.06</v>
      </c>
      <c r="G1339" s="32">
        <f t="shared" ref="G1339:G1343" si="214">F1339*E1339</f>
        <v>644.24</v>
      </c>
      <c r="H1339" s="33">
        <f t="shared" si="207"/>
        <v>3.3404171889709699E-6</v>
      </c>
      <c r="K1339" t="str">
        <f xml:space="preserve"> B1338 &amp; B1339</f>
        <v>Z000143020Z020103027</v>
      </c>
    </row>
    <row r="1340" spans="1:11" outlineLevel="1" x14ac:dyDescent="0.2">
      <c r="A1340" s="29"/>
      <c r="B1340" s="30" t="s">
        <v>1649</v>
      </c>
      <c r="C1340" s="30" t="s">
        <v>1145</v>
      </c>
      <c r="D1340" s="34" t="s">
        <v>1781</v>
      </c>
      <c r="E1340" s="31">
        <v>0.16800000000000001</v>
      </c>
      <c r="F1340" s="31">
        <v>3.95</v>
      </c>
      <c r="G1340" s="32">
        <f t="shared" si="214"/>
        <v>0.66360000000000008</v>
      </c>
      <c r="H1340" s="33">
        <f t="shared" si="207"/>
        <v>3.4407997743094745E-9</v>
      </c>
      <c r="K1340" t="str">
        <f xml:space="preserve"> B1338 &amp; B1340</f>
        <v>Z000143020Z030105002</v>
      </c>
    </row>
    <row r="1341" spans="1:11" outlineLevel="1" x14ac:dyDescent="0.2">
      <c r="A1341" s="29"/>
      <c r="B1341" s="30" t="s">
        <v>950</v>
      </c>
      <c r="C1341" s="30" t="s">
        <v>1391</v>
      </c>
      <c r="D1341" s="34" t="s">
        <v>151</v>
      </c>
      <c r="E1341" s="31">
        <v>0</v>
      </c>
      <c r="F1341" s="31">
        <v>15.0943</v>
      </c>
      <c r="G1341" s="32">
        <f t="shared" si="214"/>
        <v>0</v>
      </c>
      <c r="H1341" s="33">
        <f t="shared" si="207"/>
        <v>0</v>
      </c>
      <c r="K1341" t="str">
        <f xml:space="preserve"> B1338 &amp; B1341</f>
        <v>Z000143020Z040201008</v>
      </c>
    </row>
    <row r="1342" spans="1:11" outlineLevel="1" x14ac:dyDescent="0.2">
      <c r="A1342" s="29"/>
      <c r="B1342" s="30" t="s">
        <v>801</v>
      </c>
      <c r="C1342" s="30" t="s">
        <v>402</v>
      </c>
      <c r="D1342" s="34" t="s">
        <v>151</v>
      </c>
      <c r="E1342" s="31">
        <v>0</v>
      </c>
      <c r="F1342" s="31">
        <v>10.3</v>
      </c>
      <c r="G1342" s="32">
        <f t="shared" si="214"/>
        <v>0</v>
      </c>
      <c r="H1342" s="33">
        <f t="shared" si="207"/>
        <v>0</v>
      </c>
      <c r="K1342" t="str">
        <f xml:space="preserve"> B1338 &amp; B1342</f>
        <v>Z000143020Z040202006</v>
      </c>
    </row>
    <row r="1343" spans="1:11" outlineLevel="1" x14ac:dyDescent="0.2">
      <c r="A1343" s="29"/>
      <c r="B1343" s="30" t="s">
        <v>498</v>
      </c>
      <c r="C1343" s="30" t="s">
        <v>773</v>
      </c>
      <c r="D1343" s="34" t="s">
        <v>84</v>
      </c>
      <c r="E1343" s="31">
        <v>4.8</v>
      </c>
      <c r="F1343" s="31">
        <v>0</v>
      </c>
      <c r="G1343" s="32">
        <f t="shared" si="214"/>
        <v>0</v>
      </c>
      <c r="H1343" s="33">
        <f t="shared" si="207"/>
        <v>0</v>
      </c>
      <c r="K1343" t="str">
        <f xml:space="preserve"> B1338 &amp; B1343</f>
        <v>Z000143020Z040401001</v>
      </c>
    </row>
    <row r="1344" spans="1:11" outlineLevel="1" x14ac:dyDescent="0.2">
      <c r="A1344" s="11" t="s">
        <v>1799</v>
      </c>
      <c r="B1344" s="11" t="s">
        <v>813</v>
      </c>
      <c r="C1344" s="11" t="s">
        <v>3319</v>
      </c>
      <c r="D1344" s="12" t="s">
        <v>1781</v>
      </c>
      <c r="E1344" s="13">
        <v>4</v>
      </c>
      <c r="F1344" s="14">
        <v>134.79960000000003</v>
      </c>
      <c r="G1344" s="15">
        <f>SUM(G1345:G1349)</f>
        <v>539.19840000000011</v>
      </c>
      <c r="H1344" s="16">
        <f t="shared" si="207"/>
        <v>2.7957711468174047E-6</v>
      </c>
    </row>
    <row r="1345" spans="1:11" outlineLevel="1" x14ac:dyDescent="0.2">
      <c r="A1345" s="29"/>
      <c r="B1345" s="30" t="s">
        <v>1900</v>
      </c>
      <c r="C1345" s="30" t="s">
        <v>1930</v>
      </c>
      <c r="D1345" s="34" t="s">
        <v>1781</v>
      </c>
      <c r="E1345" s="31">
        <v>4</v>
      </c>
      <c r="F1345" s="31">
        <v>134.61000000000001</v>
      </c>
      <c r="G1345" s="32">
        <f t="shared" ref="G1345:G1349" si="215">F1345*E1345</f>
        <v>538.44000000000005</v>
      </c>
      <c r="H1345" s="33">
        <f t="shared" si="207"/>
        <v>2.7918388042181938E-6</v>
      </c>
      <c r="K1345" t="str">
        <f xml:space="preserve"> B1344 &amp; B1345</f>
        <v>Z000146019Z020105048</v>
      </c>
    </row>
    <row r="1346" spans="1:11" outlineLevel="1" x14ac:dyDescent="0.2">
      <c r="A1346" s="29"/>
      <c r="B1346" s="30" t="s">
        <v>1649</v>
      </c>
      <c r="C1346" s="30" t="s">
        <v>1145</v>
      </c>
      <c r="D1346" s="34" t="s">
        <v>1781</v>
      </c>
      <c r="E1346" s="31">
        <v>0.192</v>
      </c>
      <c r="F1346" s="31">
        <v>3.95</v>
      </c>
      <c r="G1346" s="32">
        <f t="shared" si="215"/>
        <v>0.75840000000000007</v>
      </c>
      <c r="H1346" s="33">
        <f t="shared" si="207"/>
        <v>3.9323425992108276E-9</v>
      </c>
      <c r="K1346" t="str">
        <f xml:space="preserve"> B1344 &amp; B1346</f>
        <v>Z000146019Z030105002</v>
      </c>
    </row>
    <row r="1347" spans="1:11" outlineLevel="1" x14ac:dyDescent="0.2">
      <c r="A1347" s="29"/>
      <c r="B1347" s="30" t="s">
        <v>950</v>
      </c>
      <c r="C1347" s="30" t="s">
        <v>1391</v>
      </c>
      <c r="D1347" s="34" t="s">
        <v>151</v>
      </c>
      <c r="E1347" s="31">
        <v>0</v>
      </c>
      <c r="F1347" s="31">
        <v>15.0943</v>
      </c>
      <c r="G1347" s="32">
        <f t="shared" si="215"/>
        <v>0</v>
      </c>
      <c r="H1347" s="33">
        <f t="shared" si="207"/>
        <v>0</v>
      </c>
      <c r="K1347" t="str">
        <f xml:space="preserve"> B1344 &amp; B1347</f>
        <v>Z000146019Z040201008</v>
      </c>
    </row>
    <row r="1348" spans="1:11" outlineLevel="1" x14ac:dyDescent="0.2">
      <c r="A1348" s="29"/>
      <c r="B1348" s="30" t="s">
        <v>801</v>
      </c>
      <c r="C1348" s="30" t="s">
        <v>402</v>
      </c>
      <c r="D1348" s="34" t="s">
        <v>151</v>
      </c>
      <c r="E1348" s="31">
        <v>0</v>
      </c>
      <c r="F1348" s="31">
        <v>10.3</v>
      </c>
      <c r="G1348" s="32">
        <f t="shared" si="215"/>
        <v>0</v>
      </c>
      <c r="H1348" s="33">
        <f t="shared" si="207"/>
        <v>0</v>
      </c>
      <c r="K1348" t="str">
        <f xml:space="preserve"> B1344 &amp; B1348</f>
        <v>Z000146019Z040202006</v>
      </c>
    </row>
    <row r="1349" spans="1:11" outlineLevel="1" x14ac:dyDescent="0.2">
      <c r="A1349" s="29"/>
      <c r="B1349" s="30" t="s">
        <v>498</v>
      </c>
      <c r="C1349" s="30" t="s">
        <v>773</v>
      </c>
      <c r="D1349" s="34" t="s">
        <v>84</v>
      </c>
      <c r="E1349" s="31">
        <v>4.8</v>
      </c>
      <c r="F1349" s="31">
        <v>0</v>
      </c>
      <c r="G1349" s="32">
        <f t="shared" si="215"/>
        <v>0</v>
      </c>
      <c r="H1349" s="33">
        <f t="shared" si="207"/>
        <v>0</v>
      </c>
      <c r="K1349" t="str">
        <f xml:space="preserve"> B1344 &amp; B1349</f>
        <v>Z000146019Z040401001</v>
      </c>
    </row>
    <row r="1350" spans="1:11" outlineLevel="1" x14ac:dyDescent="0.2">
      <c r="A1350" s="11" t="s">
        <v>1803</v>
      </c>
      <c r="B1350" s="11" t="s">
        <v>720</v>
      </c>
      <c r="C1350" s="11" t="s">
        <v>3283</v>
      </c>
      <c r="D1350" s="12" t="s">
        <v>1781</v>
      </c>
      <c r="E1350" s="13">
        <v>68</v>
      </c>
      <c r="F1350" s="14">
        <v>405.34960000000001</v>
      </c>
      <c r="G1350" s="15">
        <f>SUM(G1351:G1355)</f>
        <v>27563.772800000002</v>
      </c>
      <c r="H1350" s="16">
        <f t="shared" si="207"/>
        <v>1.4291956484231106E-4</v>
      </c>
    </row>
    <row r="1351" spans="1:11" outlineLevel="1" x14ac:dyDescent="0.2">
      <c r="A1351" s="29"/>
      <c r="B1351" s="30" t="s">
        <v>1631</v>
      </c>
      <c r="C1351" s="30" t="s">
        <v>3125</v>
      </c>
      <c r="D1351" s="34" t="s">
        <v>1781</v>
      </c>
      <c r="E1351" s="31">
        <v>68</v>
      </c>
      <c r="F1351" s="31">
        <v>405.16</v>
      </c>
      <c r="G1351" s="32">
        <f t="shared" ref="G1351:G1355" si="216">F1351*E1351</f>
        <v>27550.880000000001</v>
      </c>
      <c r="H1351" s="33">
        <f t="shared" si="207"/>
        <v>1.4285271501812447E-4</v>
      </c>
      <c r="K1351" t="str">
        <f xml:space="preserve"> B1350 &amp; B1351</f>
        <v>Z000146007Z020105008</v>
      </c>
    </row>
    <row r="1352" spans="1:11" outlineLevel="1" x14ac:dyDescent="0.2">
      <c r="A1352" s="29"/>
      <c r="B1352" s="30" t="s">
        <v>1649</v>
      </c>
      <c r="C1352" s="30" t="s">
        <v>1145</v>
      </c>
      <c r="D1352" s="34" t="s">
        <v>1781</v>
      </c>
      <c r="E1352" s="31">
        <v>3.2640000000000002</v>
      </c>
      <c r="F1352" s="31">
        <v>3.95</v>
      </c>
      <c r="G1352" s="32">
        <f t="shared" si="216"/>
        <v>12.892800000000001</v>
      </c>
      <c r="H1352" s="33">
        <f t="shared" si="207"/>
        <v>6.6849824186584077E-8</v>
      </c>
      <c r="K1352" t="str">
        <f xml:space="preserve"> B1350 &amp; B1352</f>
        <v>Z000146007Z030105002</v>
      </c>
    </row>
    <row r="1353" spans="1:11" outlineLevel="1" x14ac:dyDescent="0.2">
      <c r="A1353" s="29"/>
      <c r="B1353" s="30" t="s">
        <v>950</v>
      </c>
      <c r="C1353" s="30" t="s">
        <v>1391</v>
      </c>
      <c r="D1353" s="34" t="s">
        <v>151</v>
      </c>
      <c r="E1353" s="31">
        <v>0</v>
      </c>
      <c r="F1353" s="31">
        <v>15.0943</v>
      </c>
      <c r="G1353" s="32">
        <f t="shared" si="216"/>
        <v>0</v>
      </c>
      <c r="H1353" s="33">
        <f t="shared" si="207"/>
        <v>0</v>
      </c>
      <c r="K1353" t="str">
        <f xml:space="preserve"> B1350 &amp; B1353</f>
        <v>Z000146007Z040201008</v>
      </c>
    </row>
    <row r="1354" spans="1:11" outlineLevel="1" x14ac:dyDescent="0.2">
      <c r="A1354" s="29"/>
      <c r="B1354" s="30" t="s">
        <v>801</v>
      </c>
      <c r="C1354" s="30" t="s">
        <v>402</v>
      </c>
      <c r="D1354" s="34" t="s">
        <v>151</v>
      </c>
      <c r="E1354" s="31">
        <v>0</v>
      </c>
      <c r="F1354" s="31">
        <v>10.3</v>
      </c>
      <c r="G1354" s="32">
        <f t="shared" si="216"/>
        <v>0</v>
      </c>
      <c r="H1354" s="33">
        <f t="shared" si="207"/>
        <v>0</v>
      </c>
      <c r="K1354" t="str">
        <f xml:space="preserve"> B1350 &amp; B1354</f>
        <v>Z000146007Z040202006</v>
      </c>
    </row>
    <row r="1355" spans="1:11" outlineLevel="1" x14ac:dyDescent="0.2">
      <c r="A1355" s="29"/>
      <c r="B1355" s="30" t="s">
        <v>498</v>
      </c>
      <c r="C1355" s="30" t="s">
        <v>773</v>
      </c>
      <c r="D1355" s="34" t="s">
        <v>84</v>
      </c>
      <c r="E1355" s="31">
        <v>81.599999999999994</v>
      </c>
      <c r="F1355" s="31">
        <v>0</v>
      </c>
      <c r="G1355" s="32">
        <f t="shared" si="216"/>
        <v>0</v>
      </c>
      <c r="H1355" s="33">
        <f t="shared" si="207"/>
        <v>0</v>
      </c>
      <c r="K1355" t="str">
        <f xml:space="preserve"> B1350 &amp; B1355</f>
        <v>Z000146007Z040401001</v>
      </c>
    </row>
    <row r="1356" spans="1:11" outlineLevel="1" x14ac:dyDescent="0.2">
      <c r="A1356" s="11" t="s">
        <v>1806</v>
      </c>
      <c r="B1356" s="11" t="s">
        <v>942</v>
      </c>
      <c r="C1356" s="11" t="s">
        <v>3265</v>
      </c>
      <c r="D1356" s="12" t="s">
        <v>1781</v>
      </c>
      <c r="E1356" s="13">
        <v>18</v>
      </c>
      <c r="F1356" s="14">
        <v>300.07584000000003</v>
      </c>
      <c r="G1356" s="15">
        <f>SUM(G1357:G1361)</f>
        <v>5401.3651200000004</v>
      </c>
      <c r="H1356" s="16">
        <f t="shared" si="207"/>
        <v>2.8006353052831625E-5</v>
      </c>
    </row>
    <row r="1357" spans="1:11" outlineLevel="1" x14ac:dyDescent="0.2">
      <c r="A1357" s="29"/>
      <c r="B1357" s="30" t="s">
        <v>1615</v>
      </c>
      <c r="C1357" s="30" t="s">
        <v>3268</v>
      </c>
      <c r="D1357" s="34" t="s">
        <v>1781</v>
      </c>
      <c r="E1357" s="31">
        <v>18</v>
      </c>
      <c r="F1357" s="31">
        <v>300</v>
      </c>
      <c r="G1357" s="32">
        <f t="shared" ref="G1357:G1361" si="217">F1357*E1357</f>
        <v>5400</v>
      </c>
      <c r="H1357" s="33">
        <f t="shared" si="207"/>
        <v>2.7999274836153043E-5</v>
      </c>
      <c r="K1357" t="str">
        <f xml:space="preserve"> B1356 &amp; B1357</f>
        <v>Z000145010Z020105002</v>
      </c>
    </row>
    <row r="1358" spans="1:11" outlineLevel="1" x14ac:dyDescent="0.2">
      <c r="A1358" s="29"/>
      <c r="B1358" s="30" t="s">
        <v>1649</v>
      </c>
      <c r="C1358" s="30" t="s">
        <v>1145</v>
      </c>
      <c r="D1358" s="34" t="s">
        <v>1781</v>
      </c>
      <c r="E1358" s="31">
        <v>0.34559999999999996</v>
      </c>
      <c r="F1358" s="31">
        <v>3.95</v>
      </c>
      <c r="G1358" s="32">
        <f t="shared" si="217"/>
        <v>1.3651199999999999</v>
      </c>
      <c r="H1358" s="33">
        <f t="shared" ref="H1358:H1429" si="218">G1358/$F$2</f>
        <v>7.0782166785794882E-9</v>
      </c>
      <c r="K1358" t="str">
        <f xml:space="preserve"> B1356 &amp; B1358</f>
        <v>Z000145010Z030105002</v>
      </c>
    </row>
    <row r="1359" spans="1:11" outlineLevel="1" x14ac:dyDescent="0.2">
      <c r="A1359" s="29"/>
      <c r="B1359" s="30" t="s">
        <v>950</v>
      </c>
      <c r="C1359" s="30" t="s">
        <v>1391</v>
      </c>
      <c r="D1359" s="34" t="s">
        <v>151</v>
      </c>
      <c r="E1359" s="31">
        <v>0</v>
      </c>
      <c r="F1359" s="31">
        <v>15.0943</v>
      </c>
      <c r="G1359" s="32">
        <f t="shared" si="217"/>
        <v>0</v>
      </c>
      <c r="H1359" s="33">
        <f t="shared" si="218"/>
        <v>0</v>
      </c>
      <c r="K1359" t="str">
        <f xml:space="preserve"> B1356 &amp; B1359</f>
        <v>Z000145010Z040201008</v>
      </c>
    </row>
    <row r="1360" spans="1:11" outlineLevel="1" x14ac:dyDescent="0.2">
      <c r="A1360" s="29"/>
      <c r="B1360" s="30" t="s">
        <v>801</v>
      </c>
      <c r="C1360" s="30" t="s">
        <v>402</v>
      </c>
      <c r="D1360" s="34" t="s">
        <v>151</v>
      </c>
      <c r="E1360" s="31">
        <v>0</v>
      </c>
      <c r="F1360" s="31">
        <v>10.3</v>
      </c>
      <c r="G1360" s="32">
        <f t="shared" si="217"/>
        <v>0</v>
      </c>
      <c r="H1360" s="33">
        <f t="shared" si="218"/>
        <v>0</v>
      </c>
      <c r="K1360" t="str">
        <f xml:space="preserve"> B1356 &amp; B1360</f>
        <v>Z000145010Z040202006</v>
      </c>
    </row>
    <row r="1361" spans="1:11" outlineLevel="1" x14ac:dyDescent="0.2">
      <c r="A1361" s="29"/>
      <c r="B1361" s="30" t="s">
        <v>498</v>
      </c>
      <c r="C1361" s="30" t="s">
        <v>773</v>
      </c>
      <c r="D1361" s="34" t="s">
        <v>84</v>
      </c>
      <c r="E1361" s="31">
        <v>21.599999999999998</v>
      </c>
      <c r="F1361" s="31">
        <v>0</v>
      </c>
      <c r="G1361" s="32">
        <f t="shared" si="217"/>
        <v>0</v>
      </c>
      <c r="H1361" s="33">
        <f t="shared" si="218"/>
        <v>0</v>
      </c>
      <c r="K1361" t="str">
        <f xml:space="preserve"> B1356 &amp; B1361</f>
        <v>Z000145010Z040401001</v>
      </c>
    </row>
    <row r="1362" spans="1:11" outlineLevel="1" x14ac:dyDescent="0.2">
      <c r="A1362" s="11" t="s">
        <v>1808</v>
      </c>
      <c r="B1362" s="11" t="s">
        <v>717</v>
      </c>
      <c r="C1362" s="11" t="s">
        <v>3277</v>
      </c>
      <c r="D1362" s="12" t="s">
        <v>1781</v>
      </c>
      <c r="E1362" s="13">
        <v>153</v>
      </c>
      <c r="F1362" s="14">
        <v>30.08295</v>
      </c>
      <c r="G1362" s="15">
        <f>SUM(G1363:G1367)</f>
        <v>4602.6913500000001</v>
      </c>
      <c r="H1362" s="16">
        <f t="shared" si="218"/>
        <v>2.3865188906413755E-5</v>
      </c>
    </row>
    <row r="1363" spans="1:11" outlineLevel="1" x14ac:dyDescent="0.2">
      <c r="A1363" s="29"/>
      <c r="B1363" s="30" t="s">
        <v>1827</v>
      </c>
      <c r="C1363" s="30" t="s">
        <v>3076</v>
      </c>
      <c r="D1363" s="34" t="s">
        <v>1781</v>
      </c>
      <c r="E1363" s="31">
        <v>153</v>
      </c>
      <c r="F1363" s="31">
        <v>30</v>
      </c>
      <c r="G1363" s="32">
        <f t="shared" ref="G1363:G1367" si="219">F1363*E1363</f>
        <v>4590</v>
      </c>
      <c r="H1363" s="33">
        <f t="shared" si="218"/>
        <v>2.3799383610730086E-5</v>
      </c>
      <c r="K1363" t="str">
        <f xml:space="preserve"> B1362 &amp; B1363</f>
        <v>Z000146006Z020105036</v>
      </c>
    </row>
    <row r="1364" spans="1:11" outlineLevel="1" x14ac:dyDescent="0.2">
      <c r="A1364" s="29"/>
      <c r="B1364" s="30" t="s">
        <v>1649</v>
      </c>
      <c r="C1364" s="30" t="s">
        <v>1145</v>
      </c>
      <c r="D1364" s="34" t="s">
        <v>1781</v>
      </c>
      <c r="E1364" s="31">
        <v>3.2130000000000001</v>
      </c>
      <c r="F1364" s="31">
        <v>3.95</v>
      </c>
      <c r="G1364" s="32">
        <f t="shared" si="219"/>
        <v>12.691350000000002</v>
      </c>
      <c r="H1364" s="33">
        <f t="shared" si="218"/>
        <v>6.5805295683668691E-8</v>
      </c>
      <c r="K1364" t="str">
        <f xml:space="preserve"> B1362 &amp; B1364</f>
        <v>Z000146006Z030105002</v>
      </c>
    </row>
    <row r="1365" spans="1:11" outlineLevel="1" x14ac:dyDescent="0.2">
      <c r="A1365" s="29"/>
      <c r="B1365" s="30" t="s">
        <v>950</v>
      </c>
      <c r="C1365" s="30" t="s">
        <v>1391</v>
      </c>
      <c r="D1365" s="34" t="s">
        <v>151</v>
      </c>
      <c r="E1365" s="31">
        <v>0</v>
      </c>
      <c r="F1365" s="31">
        <v>15.0943</v>
      </c>
      <c r="G1365" s="32">
        <f t="shared" si="219"/>
        <v>0</v>
      </c>
      <c r="H1365" s="33">
        <f t="shared" si="218"/>
        <v>0</v>
      </c>
      <c r="K1365" t="str">
        <f xml:space="preserve"> B1362 &amp; B1365</f>
        <v>Z000146006Z040201008</v>
      </c>
    </row>
    <row r="1366" spans="1:11" outlineLevel="1" x14ac:dyDescent="0.2">
      <c r="A1366" s="29"/>
      <c r="B1366" s="30" t="s">
        <v>801</v>
      </c>
      <c r="C1366" s="30" t="s">
        <v>402</v>
      </c>
      <c r="D1366" s="34" t="s">
        <v>151</v>
      </c>
      <c r="E1366" s="31">
        <v>0</v>
      </c>
      <c r="F1366" s="31">
        <v>10.3</v>
      </c>
      <c r="G1366" s="32">
        <f t="shared" si="219"/>
        <v>0</v>
      </c>
      <c r="H1366" s="33">
        <f t="shared" si="218"/>
        <v>0</v>
      </c>
      <c r="K1366" t="str">
        <f xml:space="preserve"> B1362 &amp; B1366</f>
        <v>Z000146006Z040202006</v>
      </c>
    </row>
    <row r="1367" spans="1:11" outlineLevel="1" x14ac:dyDescent="0.2">
      <c r="A1367" s="29"/>
      <c r="B1367" s="30" t="s">
        <v>498</v>
      </c>
      <c r="C1367" s="30" t="s">
        <v>773</v>
      </c>
      <c r="D1367" s="34" t="s">
        <v>84</v>
      </c>
      <c r="E1367" s="31">
        <v>183.6</v>
      </c>
      <c r="F1367" s="31">
        <v>0</v>
      </c>
      <c r="G1367" s="32">
        <f t="shared" si="219"/>
        <v>0</v>
      </c>
      <c r="H1367" s="33">
        <f t="shared" si="218"/>
        <v>0</v>
      </c>
      <c r="K1367" t="str">
        <f xml:space="preserve"> B1362 &amp; B1367</f>
        <v>Z000146006Z040401001</v>
      </c>
    </row>
    <row r="1368" spans="1:11" outlineLevel="1" x14ac:dyDescent="0.2">
      <c r="A1368" s="11" t="s">
        <v>4962</v>
      </c>
      <c r="B1368" s="11" t="s">
        <v>4961</v>
      </c>
      <c r="C1368" s="11" t="s">
        <v>4964</v>
      </c>
      <c r="D1368" s="12" t="s">
        <v>1781</v>
      </c>
      <c r="E1368" s="13">
        <v>9</v>
      </c>
      <c r="F1368" s="14">
        <v>300.07584000000003</v>
      </c>
      <c r="G1368" s="15">
        <f>SUM(G1369:G1373)</f>
        <v>2700.6825600000002</v>
      </c>
      <c r="H1368" s="16">
        <f t="shared" si="218"/>
        <v>1.4003176526415813E-5</v>
      </c>
    </row>
    <row r="1369" spans="1:11" outlineLevel="1" x14ac:dyDescent="0.2">
      <c r="A1369" s="29"/>
      <c r="B1369" s="30" t="s">
        <v>801</v>
      </c>
      <c r="C1369" s="30" t="s">
        <v>402</v>
      </c>
      <c r="D1369" s="34" t="s">
        <v>1781</v>
      </c>
      <c r="E1369" s="31">
        <v>0</v>
      </c>
      <c r="F1369" s="31">
        <v>10.3</v>
      </c>
      <c r="G1369" s="32">
        <f t="shared" ref="G1369:G1373" si="220">F1369*E1369</f>
        <v>0</v>
      </c>
      <c r="H1369" s="33">
        <f t="shared" si="218"/>
        <v>0</v>
      </c>
      <c r="K1369" t="str">
        <f xml:space="preserve"> B1368 &amp; B1369</f>
        <v>Z000146011Z040202006</v>
      </c>
    </row>
    <row r="1370" spans="1:11" outlineLevel="1" x14ac:dyDescent="0.2">
      <c r="A1370" s="29"/>
      <c r="B1370" s="30" t="s">
        <v>4965</v>
      </c>
      <c r="C1370" s="30" t="s">
        <v>4966</v>
      </c>
      <c r="D1370" s="34" t="s">
        <v>1781</v>
      </c>
      <c r="E1370" s="31">
        <v>9</v>
      </c>
      <c r="F1370" s="31">
        <v>300</v>
      </c>
      <c r="G1370" s="32">
        <f t="shared" si="220"/>
        <v>2700</v>
      </c>
      <c r="H1370" s="33">
        <f t="shared" ref="H1370:H1379" si="221">G1370/$F$2</f>
        <v>1.3999637418076522E-5</v>
      </c>
      <c r="K1370" t="str">
        <f xml:space="preserve"> B1368 &amp; B1370</f>
        <v>Z000146011Z020105004</v>
      </c>
    </row>
    <row r="1371" spans="1:11" outlineLevel="1" x14ac:dyDescent="0.2">
      <c r="A1371" s="29"/>
      <c r="B1371" s="30" t="s">
        <v>498</v>
      </c>
      <c r="C1371" s="30" t="s">
        <v>773</v>
      </c>
      <c r="D1371" s="34" t="s">
        <v>151</v>
      </c>
      <c r="E1371" s="31">
        <v>10.799999999999999</v>
      </c>
      <c r="F1371" s="31">
        <v>0</v>
      </c>
      <c r="G1371" s="32">
        <f t="shared" si="220"/>
        <v>0</v>
      </c>
      <c r="H1371" s="33">
        <f t="shared" si="221"/>
        <v>0</v>
      </c>
      <c r="K1371" t="str">
        <f xml:space="preserve"> B1368 &amp; B1371</f>
        <v>Z000146011Z040401001</v>
      </c>
    </row>
    <row r="1372" spans="1:11" outlineLevel="1" x14ac:dyDescent="0.2">
      <c r="A1372" s="29"/>
      <c r="B1372" s="30" t="s">
        <v>950</v>
      </c>
      <c r="C1372" s="30" t="s">
        <v>1391</v>
      </c>
      <c r="D1372" s="34" t="s">
        <v>151</v>
      </c>
      <c r="E1372" s="31">
        <v>0</v>
      </c>
      <c r="F1372" s="31">
        <v>15.0943</v>
      </c>
      <c r="G1372" s="32">
        <f t="shared" si="220"/>
        <v>0</v>
      </c>
      <c r="H1372" s="33">
        <f t="shared" si="221"/>
        <v>0</v>
      </c>
      <c r="K1372" t="str">
        <f xml:space="preserve"> B1368 &amp; B1372</f>
        <v>Z000146011Z040201008</v>
      </c>
    </row>
    <row r="1373" spans="1:11" outlineLevel="1" x14ac:dyDescent="0.2">
      <c r="A1373" s="29"/>
      <c r="B1373" s="30" t="s">
        <v>1649</v>
      </c>
      <c r="C1373" s="30" t="s">
        <v>1145</v>
      </c>
      <c r="D1373" s="34" t="s">
        <v>84</v>
      </c>
      <c r="E1373" s="31">
        <v>0.17279999999999998</v>
      </c>
      <c r="F1373" s="31">
        <v>3.95</v>
      </c>
      <c r="G1373" s="32">
        <f t="shared" si="220"/>
        <v>0.68255999999999994</v>
      </c>
      <c r="H1373" s="33">
        <f t="shared" si="221"/>
        <v>3.5391083392897441E-9</v>
      </c>
      <c r="K1373" t="str">
        <f xml:space="preserve"> B1368 &amp; B1373</f>
        <v>Z000146011Z030105002</v>
      </c>
    </row>
    <row r="1374" spans="1:11" outlineLevel="1" x14ac:dyDescent="0.2">
      <c r="A1374" s="11" t="s">
        <v>4952</v>
      </c>
      <c r="B1374" s="11" t="s">
        <v>4951</v>
      </c>
      <c r="C1374" s="11" t="s">
        <v>4954</v>
      </c>
      <c r="D1374" s="12" t="s">
        <v>1781</v>
      </c>
      <c r="E1374" s="13">
        <v>16</v>
      </c>
      <c r="F1374" s="14">
        <v>260.08294999999998</v>
      </c>
      <c r="G1374" s="15">
        <f>SUM(G1375:G1379)</f>
        <v>4161.3271999999997</v>
      </c>
      <c r="H1374" s="16">
        <f t="shared" si="221"/>
        <v>2.1576693325177629E-5</v>
      </c>
    </row>
    <row r="1375" spans="1:11" outlineLevel="1" x14ac:dyDescent="0.2">
      <c r="A1375" s="29"/>
      <c r="B1375" s="30" t="s">
        <v>950</v>
      </c>
      <c r="C1375" s="30" t="s">
        <v>1391</v>
      </c>
      <c r="D1375" s="34" t="s">
        <v>1781</v>
      </c>
      <c r="E1375" s="31">
        <v>0</v>
      </c>
      <c r="F1375" s="31">
        <v>15.0943</v>
      </c>
      <c r="G1375" s="32">
        <f t="shared" ref="G1375:G1379" si="222">F1375*E1375</f>
        <v>0</v>
      </c>
      <c r="H1375" s="33">
        <f t="shared" si="221"/>
        <v>0</v>
      </c>
      <c r="K1375" t="str">
        <f xml:space="preserve"> B1374 &amp; B1375</f>
        <v>Z000143006Z040201008</v>
      </c>
    </row>
    <row r="1376" spans="1:11" outlineLevel="1" x14ac:dyDescent="0.2">
      <c r="A1376" s="29"/>
      <c r="B1376" s="30" t="s">
        <v>1649</v>
      </c>
      <c r="C1376" s="30" t="s">
        <v>1145</v>
      </c>
      <c r="D1376" s="34" t="s">
        <v>1781</v>
      </c>
      <c r="E1376" s="31">
        <v>0.33600000000000002</v>
      </c>
      <c r="F1376" s="31">
        <v>3.95</v>
      </c>
      <c r="G1376" s="32">
        <f t="shared" si="222"/>
        <v>1.3272000000000002</v>
      </c>
      <c r="H1376" s="33">
        <f t="shared" si="221"/>
        <v>6.8815995486189489E-9</v>
      </c>
      <c r="K1376" t="str">
        <f xml:space="preserve"> B1374 &amp; B1376</f>
        <v>Z000143006Z030105002</v>
      </c>
    </row>
    <row r="1377" spans="1:11" outlineLevel="1" x14ac:dyDescent="0.2">
      <c r="A1377" s="29"/>
      <c r="B1377" s="30" t="s">
        <v>498</v>
      </c>
      <c r="C1377" s="30" t="s">
        <v>773</v>
      </c>
      <c r="D1377" s="34" t="s">
        <v>151</v>
      </c>
      <c r="E1377" s="31">
        <v>19.2</v>
      </c>
      <c r="F1377" s="31">
        <v>0</v>
      </c>
      <c r="G1377" s="32">
        <f t="shared" si="222"/>
        <v>0</v>
      </c>
      <c r="H1377" s="33">
        <f t="shared" si="221"/>
        <v>0</v>
      </c>
      <c r="K1377" t="str">
        <f xml:space="preserve"> B1374 &amp; B1377</f>
        <v>Z000143006Z040401001</v>
      </c>
    </row>
    <row r="1378" spans="1:11" outlineLevel="1" x14ac:dyDescent="0.2">
      <c r="A1378" s="29"/>
      <c r="B1378" s="30" t="s">
        <v>801</v>
      </c>
      <c r="C1378" s="30" t="s">
        <v>402</v>
      </c>
      <c r="D1378" s="34" t="s">
        <v>151</v>
      </c>
      <c r="E1378" s="31">
        <v>0</v>
      </c>
      <c r="F1378" s="31">
        <v>10.3</v>
      </c>
      <c r="G1378" s="32">
        <f t="shared" si="222"/>
        <v>0</v>
      </c>
      <c r="H1378" s="33">
        <f t="shared" si="221"/>
        <v>0</v>
      </c>
      <c r="K1378" t="str">
        <f xml:space="preserve"> B1374 &amp; B1378</f>
        <v>Z000143006Z040202006</v>
      </c>
    </row>
    <row r="1379" spans="1:11" outlineLevel="1" x14ac:dyDescent="0.2">
      <c r="A1379" s="29"/>
      <c r="B1379" s="30" t="s">
        <v>4958</v>
      </c>
      <c r="C1379" s="30" t="s">
        <v>4959</v>
      </c>
      <c r="D1379" s="34" t="s">
        <v>84</v>
      </c>
      <c r="E1379" s="31">
        <v>16</v>
      </c>
      <c r="F1379" s="31">
        <v>260</v>
      </c>
      <c r="G1379" s="32">
        <f t="shared" si="222"/>
        <v>4160</v>
      </c>
      <c r="H1379" s="33">
        <f t="shared" si="221"/>
        <v>2.1569811725629011E-5</v>
      </c>
      <c r="K1379" t="str">
        <f xml:space="preserve"> B1374 &amp; B1379</f>
        <v>Z000143006Z020103012</v>
      </c>
    </row>
    <row r="1380" spans="1:11" x14ac:dyDescent="0.2">
      <c r="A1380" s="23" t="s">
        <v>1165</v>
      </c>
      <c r="B1380" s="23" t="s">
        <v>328</v>
      </c>
      <c r="C1380" s="23" t="s">
        <v>234</v>
      </c>
      <c r="D1380" s="24"/>
      <c r="E1380" s="25"/>
      <c r="F1380" s="26"/>
      <c r="G1380" s="27">
        <f>SUM(G1381,G1387,G1393,G1399,G1405,G1411,G1417,G1423)</f>
        <v>49664.900750000001</v>
      </c>
      <c r="H1380" s="28">
        <f t="shared" si="218"/>
        <v>2.5751503811287287E-4</v>
      </c>
    </row>
    <row r="1381" spans="1:11" outlineLevel="1" x14ac:dyDescent="0.2">
      <c r="A1381" s="11" t="s">
        <v>1573</v>
      </c>
      <c r="B1381" s="11" t="s">
        <v>804</v>
      </c>
      <c r="C1381" s="11" t="s">
        <v>3307</v>
      </c>
      <c r="D1381" s="12" t="s">
        <v>1781</v>
      </c>
      <c r="E1381" s="13">
        <v>2</v>
      </c>
      <c r="F1381" s="14">
        <v>2265.79</v>
      </c>
      <c r="G1381" s="15">
        <f>SUM(G1382:G1386)</f>
        <v>4531.58</v>
      </c>
      <c r="H1381" s="16">
        <f t="shared" si="218"/>
        <v>2.3496472937410073E-5</v>
      </c>
    </row>
    <row r="1382" spans="1:11" outlineLevel="1" x14ac:dyDescent="0.2">
      <c r="A1382" s="29"/>
      <c r="B1382" s="30" t="s">
        <v>1888</v>
      </c>
      <c r="C1382" s="30" t="s">
        <v>3105</v>
      </c>
      <c r="D1382" s="34" t="s">
        <v>1781</v>
      </c>
      <c r="E1382" s="31">
        <v>2</v>
      </c>
      <c r="F1382" s="31">
        <v>2109.31</v>
      </c>
      <c r="G1382" s="32">
        <f t="shared" ref="G1382:G1386" si="223">F1382*E1382</f>
        <v>4218.62</v>
      </c>
      <c r="H1382" s="33">
        <f t="shared" si="218"/>
        <v>2.1873759409128137E-5</v>
      </c>
      <c r="K1382" t="str">
        <f xml:space="preserve"> B1381 &amp; B1382</f>
        <v>Z000146015Z020105042</v>
      </c>
    </row>
    <row r="1383" spans="1:11" outlineLevel="1" x14ac:dyDescent="0.2">
      <c r="A1383" s="29"/>
      <c r="B1383" s="30" t="s">
        <v>885</v>
      </c>
      <c r="C1383" s="30" t="s">
        <v>3086</v>
      </c>
      <c r="D1383" s="34" t="s">
        <v>1781</v>
      </c>
      <c r="E1383" s="31">
        <v>16</v>
      </c>
      <c r="F1383" s="31">
        <v>19.559999999999999</v>
      </c>
      <c r="G1383" s="32">
        <f t="shared" si="223"/>
        <v>312.95999999999998</v>
      </c>
      <c r="H1383" s="33">
        <f t="shared" si="218"/>
        <v>1.6227135282819363E-6</v>
      </c>
      <c r="K1383" t="str">
        <f xml:space="preserve"> B1381 &amp; B1383</f>
        <v>Z000146015Z030201004</v>
      </c>
    </row>
    <row r="1384" spans="1:11" outlineLevel="1" x14ac:dyDescent="0.2">
      <c r="A1384" s="29"/>
      <c r="B1384" s="30" t="s">
        <v>950</v>
      </c>
      <c r="C1384" s="30" t="s">
        <v>1391</v>
      </c>
      <c r="D1384" s="34" t="s">
        <v>151</v>
      </c>
      <c r="E1384" s="31">
        <v>0</v>
      </c>
      <c r="F1384" s="31">
        <v>15.0943</v>
      </c>
      <c r="G1384" s="32">
        <f t="shared" si="223"/>
        <v>0</v>
      </c>
      <c r="H1384" s="33">
        <f t="shared" si="218"/>
        <v>0</v>
      </c>
      <c r="K1384" t="str">
        <f xml:space="preserve"> B1381 &amp; B1384</f>
        <v>Z000146015Z040201008</v>
      </c>
    </row>
    <row r="1385" spans="1:11" outlineLevel="1" x14ac:dyDescent="0.2">
      <c r="A1385" s="29"/>
      <c r="B1385" s="30" t="s">
        <v>801</v>
      </c>
      <c r="C1385" s="30" t="s">
        <v>402</v>
      </c>
      <c r="D1385" s="34" t="s">
        <v>151</v>
      </c>
      <c r="E1385" s="31">
        <v>0</v>
      </c>
      <c r="F1385" s="31">
        <v>10.3</v>
      </c>
      <c r="G1385" s="32">
        <f t="shared" si="223"/>
        <v>0</v>
      </c>
      <c r="H1385" s="33">
        <f t="shared" si="218"/>
        <v>0</v>
      </c>
      <c r="K1385" t="str">
        <f xml:space="preserve"> B1381 &amp; B1385</f>
        <v>Z000146015Z040202006</v>
      </c>
    </row>
    <row r="1386" spans="1:11" outlineLevel="1" x14ac:dyDescent="0.2">
      <c r="A1386" s="29"/>
      <c r="B1386" s="30" t="s">
        <v>498</v>
      </c>
      <c r="C1386" s="30" t="s">
        <v>773</v>
      </c>
      <c r="D1386" s="34" t="s">
        <v>84</v>
      </c>
      <c r="E1386" s="31">
        <v>2.4</v>
      </c>
      <c r="F1386" s="31">
        <v>0</v>
      </c>
      <c r="G1386" s="32">
        <f t="shared" si="223"/>
        <v>0</v>
      </c>
      <c r="H1386" s="33">
        <f t="shared" si="218"/>
        <v>0</v>
      </c>
      <c r="K1386" t="str">
        <f xml:space="preserve"> B1381 &amp; B1386</f>
        <v>Z000146015Z040401001</v>
      </c>
    </row>
    <row r="1387" spans="1:11" outlineLevel="1" x14ac:dyDescent="0.2">
      <c r="A1387" s="11" t="s">
        <v>1578</v>
      </c>
      <c r="B1387" s="11" t="s">
        <v>800</v>
      </c>
      <c r="C1387" s="11" t="s">
        <v>3289</v>
      </c>
      <c r="D1387" s="12" t="s">
        <v>1781</v>
      </c>
      <c r="E1387" s="13">
        <v>27</v>
      </c>
      <c r="F1387" s="14">
        <v>242.74239999999998</v>
      </c>
      <c r="G1387" s="15">
        <f>SUM(G1388:G1392)</f>
        <v>6554.0447999999997</v>
      </c>
      <c r="H1387" s="16">
        <f t="shared" si="218"/>
        <v>3.3983055859936979E-5</v>
      </c>
    </row>
    <row r="1388" spans="1:11" outlineLevel="1" x14ac:dyDescent="0.2">
      <c r="A1388" s="29"/>
      <c r="B1388" s="30" t="s">
        <v>1886</v>
      </c>
      <c r="C1388" s="30" t="s">
        <v>3083</v>
      </c>
      <c r="D1388" s="34" t="s">
        <v>1781</v>
      </c>
      <c r="E1388" s="31">
        <v>27</v>
      </c>
      <c r="F1388" s="31">
        <v>125.3824</v>
      </c>
      <c r="G1388" s="32">
        <f t="shared" ref="G1388:G1392" si="224">F1388*E1388</f>
        <v>3385.3248000000003</v>
      </c>
      <c r="H1388" s="33">
        <f t="shared" si="218"/>
        <v>1.7553081386082379E-5</v>
      </c>
      <c r="K1388" t="str">
        <f xml:space="preserve"> B1387 &amp; B1388</f>
        <v>Z000146012Z020105041</v>
      </c>
    </row>
    <row r="1389" spans="1:11" outlineLevel="1" x14ac:dyDescent="0.2">
      <c r="A1389" s="29"/>
      <c r="B1389" s="30" t="s">
        <v>885</v>
      </c>
      <c r="C1389" s="30" t="s">
        <v>3086</v>
      </c>
      <c r="D1389" s="34" t="s">
        <v>1781</v>
      </c>
      <c r="E1389" s="31">
        <v>162</v>
      </c>
      <c r="F1389" s="31">
        <v>19.559999999999999</v>
      </c>
      <c r="G1389" s="32">
        <f t="shared" si="224"/>
        <v>3168.72</v>
      </c>
      <c r="H1389" s="33">
        <f t="shared" si="218"/>
        <v>1.6429974473854604E-5</v>
      </c>
      <c r="K1389" t="str">
        <f xml:space="preserve"> B1387 &amp; B1389</f>
        <v>Z000146012Z030201004</v>
      </c>
    </row>
    <row r="1390" spans="1:11" outlineLevel="1" x14ac:dyDescent="0.2">
      <c r="A1390" s="29"/>
      <c r="B1390" s="30" t="s">
        <v>950</v>
      </c>
      <c r="C1390" s="30" t="s">
        <v>1391</v>
      </c>
      <c r="D1390" s="34" t="s">
        <v>151</v>
      </c>
      <c r="E1390" s="31">
        <v>0</v>
      </c>
      <c r="F1390" s="31">
        <v>15.0943</v>
      </c>
      <c r="G1390" s="32">
        <f t="shared" si="224"/>
        <v>0</v>
      </c>
      <c r="H1390" s="33">
        <f t="shared" si="218"/>
        <v>0</v>
      </c>
      <c r="K1390" t="str">
        <f xml:space="preserve"> B1387 &amp; B1390</f>
        <v>Z000146012Z040201008</v>
      </c>
    </row>
    <row r="1391" spans="1:11" outlineLevel="1" x14ac:dyDescent="0.2">
      <c r="A1391" s="29"/>
      <c r="B1391" s="30" t="s">
        <v>801</v>
      </c>
      <c r="C1391" s="30" t="s">
        <v>402</v>
      </c>
      <c r="D1391" s="34" t="s">
        <v>151</v>
      </c>
      <c r="E1391" s="31">
        <v>0</v>
      </c>
      <c r="F1391" s="31">
        <v>10.3</v>
      </c>
      <c r="G1391" s="32">
        <f t="shared" si="224"/>
        <v>0</v>
      </c>
      <c r="H1391" s="33">
        <f t="shared" si="218"/>
        <v>0</v>
      </c>
      <c r="K1391" t="str">
        <f xml:space="preserve"> B1387 &amp; B1391</f>
        <v>Z000146012Z040202006</v>
      </c>
    </row>
    <row r="1392" spans="1:11" outlineLevel="1" x14ac:dyDescent="0.2">
      <c r="A1392" s="29"/>
      <c r="B1392" s="30" t="s">
        <v>498</v>
      </c>
      <c r="C1392" s="30" t="s">
        <v>773</v>
      </c>
      <c r="D1392" s="34" t="s">
        <v>84</v>
      </c>
      <c r="E1392" s="31">
        <v>32.4</v>
      </c>
      <c r="F1392" s="31">
        <v>0</v>
      </c>
      <c r="G1392" s="32">
        <f t="shared" si="224"/>
        <v>0</v>
      </c>
      <c r="H1392" s="33">
        <f t="shared" si="218"/>
        <v>0</v>
      </c>
      <c r="K1392" t="str">
        <f xml:space="preserve"> B1387 &amp; B1392</f>
        <v>Z000146012Z040401001</v>
      </c>
    </row>
    <row r="1393" spans="1:11" outlineLevel="1" x14ac:dyDescent="0.2">
      <c r="A1393" s="11" t="s">
        <v>1583</v>
      </c>
      <c r="B1393" s="11" t="s">
        <v>802</v>
      </c>
      <c r="C1393" s="11" t="s">
        <v>3295</v>
      </c>
      <c r="D1393" s="12" t="s">
        <v>1781</v>
      </c>
      <c r="E1393" s="13">
        <v>13</v>
      </c>
      <c r="F1393" s="14">
        <v>269.19689999999997</v>
      </c>
      <c r="G1393" s="15">
        <f>SUM(G1394:G1398)</f>
        <v>3499.5596999999998</v>
      </c>
      <c r="H1393" s="16">
        <f t="shared" si="218"/>
        <v>1.8145395156634312E-5</v>
      </c>
    </row>
    <row r="1394" spans="1:11" outlineLevel="1" x14ac:dyDescent="0.2">
      <c r="A1394" s="29"/>
      <c r="B1394" s="30" t="s">
        <v>1883</v>
      </c>
      <c r="C1394" s="30" t="s">
        <v>3091</v>
      </c>
      <c r="D1394" s="34" t="s">
        <v>1781</v>
      </c>
      <c r="E1394" s="31">
        <v>13</v>
      </c>
      <c r="F1394" s="31">
        <v>151.83690000000001</v>
      </c>
      <c r="G1394" s="32">
        <f t="shared" ref="G1394:G1398" si="225">F1394*E1394</f>
        <v>1973.8797000000002</v>
      </c>
      <c r="H1394" s="33">
        <f t="shared" si="218"/>
        <v>1.0234666706259874E-5</v>
      </c>
      <c r="K1394" t="str">
        <f xml:space="preserve"> B1393 &amp; B1394</f>
        <v>Z000146013Z020105040</v>
      </c>
    </row>
    <row r="1395" spans="1:11" outlineLevel="1" x14ac:dyDescent="0.2">
      <c r="A1395" s="29"/>
      <c r="B1395" s="30" t="s">
        <v>885</v>
      </c>
      <c r="C1395" s="30" t="s">
        <v>3086</v>
      </c>
      <c r="D1395" s="34" t="s">
        <v>1781</v>
      </c>
      <c r="E1395" s="31">
        <v>78</v>
      </c>
      <c r="F1395" s="31">
        <v>19.559999999999999</v>
      </c>
      <c r="G1395" s="32">
        <f t="shared" si="225"/>
        <v>1525.6799999999998</v>
      </c>
      <c r="H1395" s="33">
        <f t="shared" si="218"/>
        <v>7.9107284503744385E-6</v>
      </c>
      <c r="K1395" t="str">
        <f xml:space="preserve"> B1393 &amp; B1395</f>
        <v>Z000146013Z030201004</v>
      </c>
    </row>
    <row r="1396" spans="1:11" outlineLevel="1" x14ac:dyDescent="0.2">
      <c r="A1396" s="29"/>
      <c r="B1396" s="30" t="s">
        <v>950</v>
      </c>
      <c r="C1396" s="30" t="s">
        <v>1391</v>
      </c>
      <c r="D1396" s="34" t="s">
        <v>151</v>
      </c>
      <c r="E1396" s="31">
        <v>0</v>
      </c>
      <c r="F1396" s="31">
        <v>15.0943</v>
      </c>
      <c r="G1396" s="32">
        <f t="shared" si="225"/>
        <v>0</v>
      </c>
      <c r="H1396" s="33">
        <f t="shared" si="218"/>
        <v>0</v>
      </c>
      <c r="K1396" t="str">
        <f xml:space="preserve"> B1393 &amp; B1396</f>
        <v>Z000146013Z040201008</v>
      </c>
    </row>
    <row r="1397" spans="1:11" outlineLevel="1" x14ac:dyDescent="0.2">
      <c r="A1397" s="29"/>
      <c r="B1397" s="30" t="s">
        <v>801</v>
      </c>
      <c r="C1397" s="30" t="s">
        <v>402</v>
      </c>
      <c r="D1397" s="34" t="s">
        <v>151</v>
      </c>
      <c r="E1397" s="31">
        <v>0</v>
      </c>
      <c r="F1397" s="31">
        <v>10.3</v>
      </c>
      <c r="G1397" s="32">
        <f t="shared" si="225"/>
        <v>0</v>
      </c>
      <c r="H1397" s="33">
        <f t="shared" si="218"/>
        <v>0</v>
      </c>
      <c r="K1397" t="str">
        <f xml:space="preserve"> B1393 &amp; B1397</f>
        <v>Z000146013Z040202006</v>
      </c>
    </row>
    <row r="1398" spans="1:11" outlineLevel="1" x14ac:dyDescent="0.2">
      <c r="A1398" s="29"/>
      <c r="B1398" s="30" t="s">
        <v>498</v>
      </c>
      <c r="C1398" s="30" t="s">
        <v>773</v>
      </c>
      <c r="D1398" s="34" t="s">
        <v>84</v>
      </c>
      <c r="E1398" s="31">
        <v>15.6</v>
      </c>
      <c r="F1398" s="31">
        <v>0</v>
      </c>
      <c r="G1398" s="32">
        <f t="shared" si="225"/>
        <v>0</v>
      </c>
      <c r="H1398" s="33">
        <f t="shared" si="218"/>
        <v>0</v>
      </c>
      <c r="K1398" t="str">
        <f xml:space="preserve"> B1393 &amp; B1398</f>
        <v>Z000146013Z040401001</v>
      </c>
    </row>
    <row r="1399" spans="1:11" outlineLevel="1" x14ac:dyDescent="0.2">
      <c r="A1399" s="11" t="s">
        <v>1585</v>
      </c>
      <c r="B1399" s="11" t="s">
        <v>803</v>
      </c>
      <c r="C1399" s="11" t="s">
        <v>3301</v>
      </c>
      <c r="D1399" s="12" t="s">
        <v>1781</v>
      </c>
      <c r="E1399" s="13">
        <v>18</v>
      </c>
      <c r="F1399" s="14">
        <v>272.33880000000005</v>
      </c>
      <c r="G1399" s="15">
        <f>SUM(G1400:G1404)</f>
        <v>4902.0984000000008</v>
      </c>
      <c r="H1399" s="16">
        <f t="shared" si="218"/>
        <v>2.5417629699160393E-5</v>
      </c>
    </row>
    <row r="1400" spans="1:11" outlineLevel="1" x14ac:dyDescent="0.2">
      <c r="A1400" s="29"/>
      <c r="B1400" s="30" t="s">
        <v>1834</v>
      </c>
      <c r="C1400" s="30" t="s">
        <v>3098</v>
      </c>
      <c r="D1400" s="34" t="s">
        <v>1781</v>
      </c>
      <c r="E1400" s="31">
        <v>18</v>
      </c>
      <c r="F1400" s="31">
        <v>154.97880000000001</v>
      </c>
      <c r="G1400" s="32">
        <f t="shared" ref="G1400:G1404" si="226">F1400*E1400</f>
        <v>2789.6184000000003</v>
      </c>
      <c r="H1400" s="33">
        <f t="shared" si="218"/>
        <v>1.4464313383257318E-5</v>
      </c>
      <c r="K1400" t="str">
        <f xml:space="preserve"> B1399 &amp; B1400</f>
        <v>Z000146014Z020105039</v>
      </c>
    </row>
    <row r="1401" spans="1:11" outlineLevel="1" x14ac:dyDescent="0.2">
      <c r="A1401" s="29"/>
      <c r="B1401" s="30" t="s">
        <v>885</v>
      </c>
      <c r="C1401" s="30" t="s">
        <v>3086</v>
      </c>
      <c r="D1401" s="34" t="s">
        <v>1781</v>
      </c>
      <c r="E1401" s="31">
        <v>108</v>
      </c>
      <c r="F1401" s="31">
        <v>19.559999999999999</v>
      </c>
      <c r="G1401" s="32">
        <f t="shared" si="226"/>
        <v>2112.48</v>
      </c>
      <c r="H1401" s="33">
        <f t="shared" si="218"/>
        <v>1.095331631590307E-5</v>
      </c>
      <c r="K1401" t="str">
        <f xml:space="preserve"> B1399 &amp; B1401</f>
        <v>Z000146014Z030201004</v>
      </c>
    </row>
    <row r="1402" spans="1:11" outlineLevel="1" x14ac:dyDescent="0.2">
      <c r="A1402" s="29"/>
      <c r="B1402" s="30" t="s">
        <v>950</v>
      </c>
      <c r="C1402" s="30" t="s">
        <v>1391</v>
      </c>
      <c r="D1402" s="34" t="s">
        <v>151</v>
      </c>
      <c r="E1402" s="31">
        <v>0</v>
      </c>
      <c r="F1402" s="31">
        <v>15.0943</v>
      </c>
      <c r="G1402" s="32">
        <f t="shared" si="226"/>
        <v>0</v>
      </c>
      <c r="H1402" s="33">
        <f t="shared" si="218"/>
        <v>0</v>
      </c>
      <c r="K1402" t="str">
        <f xml:space="preserve"> B1399 &amp; B1402</f>
        <v>Z000146014Z040201008</v>
      </c>
    </row>
    <row r="1403" spans="1:11" outlineLevel="1" x14ac:dyDescent="0.2">
      <c r="A1403" s="29"/>
      <c r="B1403" s="30" t="s">
        <v>801</v>
      </c>
      <c r="C1403" s="30" t="s">
        <v>402</v>
      </c>
      <c r="D1403" s="34" t="s">
        <v>151</v>
      </c>
      <c r="E1403" s="31">
        <v>0</v>
      </c>
      <c r="F1403" s="31">
        <v>10.3</v>
      </c>
      <c r="G1403" s="32">
        <f t="shared" si="226"/>
        <v>0</v>
      </c>
      <c r="H1403" s="33">
        <f t="shared" si="218"/>
        <v>0</v>
      </c>
      <c r="K1403" t="str">
        <f xml:space="preserve"> B1399 &amp; B1403</f>
        <v>Z000146014Z040202006</v>
      </c>
    </row>
    <row r="1404" spans="1:11" outlineLevel="1" x14ac:dyDescent="0.2">
      <c r="A1404" s="29"/>
      <c r="B1404" s="30" t="s">
        <v>498</v>
      </c>
      <c r="C1404" s="30" t="s">
        <v>773</v>
      </c>
      <c r="D1404" s="34" t="s">
        <v>84</v>
      </c>
      <c r="E1404" s="31">
        <v>21.599999999999998</v>
      </c>
      <c r="F1404" s="31">
        <v>0</v>
      </c>
      <c r="G1404" s="32">
        <f t="shared" si="226"/>
        <v>0</v>
      </c>
      <c r="H1404" s="33">
        <f t="shared" si="218"/>
        <v>0</v>
      </c>
      <c r="K1404" t="str">
        <f xml:space="preserve"> B1399 &amp; B1404</f>
        <v>Z000146014Z040401001</v>
      </c>
    </row>
    <row r="1405" spans="1:11" outlineLevel="1" x14ac:dyDescent="0.2">
      <c r="A1405" s="11" t="s">
        <v>1587</v>
      </c>
      <c r="B1405" s="11" t="s">
        <v>404</v>
      </c>
      <c r="C1405" s="11" t="s">
        <v>3358</v>
      </c>
      <c r="D1405" s="12" t="s">
        <v>1781</v>
      </c>
      <c r="E1405" s="13">
        <v>2</v>
      </c>
      <c r="F1405" s="14">
        <v>689.93295000000001</v>
      </c>
      <c r="G1405" s="15">
        <f>SUM(G1406:G1410)</f>
        <v>1379.8659</v>
      </c>
      <c r="H1405" s="16">
        <f t="shared" si="218"/>
        <v>7.15467492058068E-6</v>
      </c>
    </row>
    <row r="1406" spans="1:11" outlineLevel="1" x14ac:dyDescent="0.2">
      <c r="A1406" s="29"/>
      <c r="B1406" s="30" t="s">
        <v>1346</v>
      </c>
      <c r="C1406" s="30" t="s">
        <v>3356</v>
      </c>
      <c r="D1406" s="34" t="s">
        <v>1781</v>
      </c>
      <c r="E1406" s="31">
        <v>2</v>
      </c>
      <c r="F1406" s="31">
        <v>689.85</v>
      </c>
      <c r="G1406" s="32">
        <f t="shared" ref="G1406:G1410" si="227">F1406*E1406</f>
        <v>1379.7</v>
      </c>
      <c r="H1406" s="33">
        <f t="shared" si="218"/>
        <v>7.1538147206371027E-6</v>
      </c>
      <c r="K1406" t="str">
        <f xml:space="preserve"> B1405 &amp; B1406</f>
        <v>Z000149004Z020107006</v>
      </c>
    </row>
    <row r="1407" spans="1:11" outlineLevel="1" x14ac:dyDescent="0.2">
      <c r="A1407" s="29"/>
      <c r="B1407" s="30" t="s">
        <v>1649</v>
      </c>
      <c r="C1407" s="30" t="s">
        <v>1145</v>
      </c>
      <c r="D1407" s="34" t="s">
        <v>1781</v>
      </c>
      <c r="E1407" s="31">
        <v>4.2000000000000003E-2</v>
      </c>
      <c r="F1407" s="31">
        <v>3.95</v>
      </c>
      <c r="G1407" s="32">
        <f t="shared" si="227"/>
        <v>0.16590000000000002</v>
      </c>
      <c r="H1407" s="33">
        <f t="shared" si="218"/>
        <v>8.6019994357736862E-10</v>
      </c>
      <c r="K1407" t="str">
        <f xml:space="preserve"> B1405 &amp; B1407</f>
        <v>Z000149004Z030105002</v>
      </c>
    </row>
    <row r="1408" spans="1:11" outlineLevel="1" x14ac:dyDescent="0.2">
      <c r="A1408" s="29"/>
      <c r="B1408" s="30" t="s">
        <v>950</v>
      </c>
      <c r="C1408" s="30" t="s">
        <v>1391</v>
      </c>
      <c r="D1408" s="34" t="s">
        <v>151</v>
      </c>
      <c r="E1408" s="31">
        <v>0</v>
      </c>
      <c r="F1408" s="31">
        <v>15.0943</v>
      </c>
      <c r="G1408" s="32">
        <f t="shared" si="227"/>
        <v>0</v>
      </c>
      <c r="H1408" s="33">
        <f t="shared" si="218"/>
        <v>0</v>
      </c>
      <c r="K1408" t="str">
        <f xml:space="preserve"> B1405 &amp; B1408</f>
        <v>Z000149004Z040201008</v>
      </c>
    </row>
    <row r="1409" spans="1:11" outlineLevel="1" x14ac:dyDescent="0.2">
      <c r="A1409" s="29"/>
      <c r="B1409" s="30" t="s">
        <v>801</v>
      </c>
      <c r="C1409" s="30" t="s">
        <v>402</v>
      </c>
      <c r="D1409" s="34" t="s">
        <v>151</v>
      </c>
      <c r="E1409" s="31">
        <v>0</v>
      </c>
      <c r="F1409" s="31">
        <v>10.3</v>
      </c>
      <c r="G1409" s="32">
        <f t="shared" si="227"/>
        <v>0</v>
      </c>
      <c r="H1409" s="33">
        <f t="shared" si="218"/>
        <v>0</v>
      </c>
      <c r="K1409" t="str">
        <f xml:space="preserve"> B1405 &amp; B1409</f>
        <v>Z000149004Z040202006</v>
      </c>
    </row>
    <row r="1410" spans="1:11" outlineLevel="1" x14ac:dyDescent="0.2">
      <c r="A1410" s="29"/>
      <c r="B1410" s="30" t="s">
        <v>498</v>
      </c>
      <c r="C1410" s="30" t="s">
        <v>773</v>
      </c>
      <c r="D1410" s="34" t="s">
        <v>84</v>
      </c>
      <c r="E1410" s="31">
        <v>2.4</v>
      </c>
      <c r="F1410" s="31">
        <v>0</v>
      </c>
      <c r="G1410" s="32">
        <f t="shared" si="227"/>
        <v>0</v>
      </c>
      <c r="H1410" s="33">
        <f t="shared" si="218"/>
        <v>0</v>
      </c>
      <c r="K1410" t="str">
        <f xml:space="preserve"> B1405 &amp; B1410</f>
        <v>Z000149004Z040401001</v>
      </c>
    </row>
    <row r="1411" spans="1:11" outlineLevel="1" x14ac:dyDescent="0.2">
      <c r="A1411" s="11" t="s">
        <v>1592</v>
      </c>
      <c r="B1411" s="11" t="s">
        <v>408</v>
      </c>
      <c r="C1411" s="11" t="s">
        <v>3365</v>
      </c>
      <c r="D1411" s="12" t="s">
        <v>1781</v>
      </c>
      <c r="E1411" s="13">
        <v>10</v>
      </c>
      <c r="F1411" s="14">
        <v>2254.78395</v>
      </c>
      <c r="G1411" s="15">
        <f>SUM(G1412:G1416)</f>
        <v>22547.839500000002</v>
      </c>
      <c r="H1411" s="16">
        <f t="shared" si="218"/>
        <v>1.1691169539295697E-4</v>
      </c>
    </row>
    <row r="1412" spans="1:11" outlineLevel="1" x14ac:dyDescent="0.2">
      <c r="A1412" s="29"/>
      <c r="B1412" s="30" t="s">
        <v>1340</v>
      </c>
      <c r="C1412" s="30" t="s">
        <v>3363</v>
      </c>
      <c r="D1412" s="34" t="s">
        <v>1781</v>
      </c>
      <c r="E1412" s="31">
        <v>10</v>
      </c>
      <c r="F1412" s="31">
        <v>2254.701</v>
      </c>
      <c r="G1412" s="32">
        <f t="shared" ref="G1412:G1416" si="228">F1412*E1412</f>
        <v>22547.010000000002</v>
      </c>
      <c r="H1412" s="33">
        <f t="shared" si="218"/>
        <v>1.1690739439323909E-4</v>
      </c>
      <c r="K1412" t="str">
        <f xml:space="preserve"> B1411 &amp; B1412</f>
        <v>Z000149007Z020107004</v>
      </c>
    </row>
    <row r="1413" spans="1:11" outlineLevel="1" x14ac:dyDescent="0.2">
      <c r="A1413" s="29"/>
      <c r="B1413" s="30" t="s">
        <v>1649</v>
      </c>
      <c r="C1413" s="30" t="s">
        <v>1145</v>
      </c>
      <c r="D1413" s="34" t="s">
        <v>1781</v>
      </c>
      <c r="E1413" s="31">
        <v>0.21000000000000002</v>
      </c>
      <c r="F1413" s="31">
        <v>3.95</v>
      </c>
      <c r="G1413" s="32">
        <f t="shared" si="228"/>
        <v>0.82950000000000013</v>
      </c>
      <c r="H1413" s="33">
        <f t="shared" si="218"/>
        <v>4.3009997178868434E-9</v>
      </c>
      <c r="K1413" t="str">
        <f xml:space="preserve"> B1411 &amp; B1413</f>
        <v>Z000149007Z030105002</v>
      </c>
    </row>
    <row r="1414" spans="1:11" outlineLevel="1" x14ac:dyDescent="0.2">
      <c r="A1414" s="29"/>
      <c r="B1414" s="30" t="s">
        <v>950</v>
      </c>
      <c r="C1414" s="30" t="s">
        <v>1391</v>
      </c>
      <c r="D1414" s="34" t="s">
        <v>151</v>
      </c>
      <c r="E1414" s="31">
        <v>0</v>
      </c>
      <c r="F1414" s="31">
        <v>15.0943</v>
      </c>
      <c r="G1414" s="32">
        <f t="shared" si="228"/>
        <v>0</v>
      </c>
      <c r="H1414" s="33">
        <f t="shared" si="218"/>
        <v>0</v>
      </c>
      <c r="K1414" t="str">
        <f xml:space="preserve"> B1411 &amp; B1414</f>
        <v>Z000149007Z040201008</v>
      </c>
    </row>
    <row r="1415" spans="1:11" outlineLevel="1" x14ac:dyDescent="0.2">
      <c r="A1415" s="29"/>
      <c r="B1415" s="30" t="s">
        <v>801</v>
      </c>
      <c r="C1415" s="30" t="s">
        <v>402</v>
      </c>
      <c r="D1415" s="34" t="s">
        <v>151</v>
      </c>
      <c r="E1415" s="31">
        <v>0</v>
      </c>
      <c r="F1415" s="31">
        <v>10.3</v>
      </c>
      <c r="G1415" s="32">
        <f t="shared" si="228"/>
        <v>0</v>
      </c>
      <c r="H1415" s="33">
        <f t="shared" si="218"/>
        <v>0</v>
      </c>
      <c r="K1415" t="str">
        <f xml:space="preserve"> B1411 &amp; B1415</f>
        <v>Z000149007Z040202006</v>
      </c>
    </row>
    <row r="1416" spans="1:11" outlineLevel="1" x14ac:dyDescent="0.2">
      <c r="A1416" s="29"/>
      <c r="B1416" s="30" t="s">
        <v>498</v>
      </c>
      <c r="C1416" s="30" t="s">
        <v>773</v>
      </c>
      <c r="D1416" s="34" t="s">
        <v>84</v>
      </c>
      <c r="E1416" s="31">
        <v>12</v>
      </c>
      <c r="F1416" s="31">
        <v>0</v>
      </c>
      <c r="G1416" s="32">
        <f t="shared" si="228"/>
        <v>0</v>
      </c>
      <c r="H1416" s="33">
        <f t="shared" si="218"/>
        <v>0</v>
      </c>
      <c r="K1416" t="str">
        <f xml:space="preserve"> B1411 &amp; B1416</f>
        <v>Z000149007Z040401001</v>
      </c>
    </row>
    <row r="1417" spans="1:11" outlineLevel="1" x14ac:dyDescent="0.2">
      <c r="A1417" s="11" t="s">
        <v>1594</v>
      </c>
      <c r="B1417" s="11" t="s">
        <v>458</v>
      </c>
      <c r="C1417" s="11" t="s">
        <v>3371</v>
      </c>
      <c r="D1417" s="12" t="s">
        <v>1781</v>
      </c>
      <c r="E1417" s="13">
        <v>11</v>
      </c>
      <c r="F1417" s="14">
        <v>379.08294999999998</v>
      </c>
      <c r="G1417" s="15">
        <f>SUM(G1418:G1422)</f>
        <v>4169.9124499999998</v>
      </c>
      <c r="H1417" s="16">
        <f t="shared" si="218"/>
        <v>2.1621208283378939E-5</v>
      </c>
    </row>
    <row r="1418" spans="1:11" outlineLevel="1" x14ac:dyDescent="0.2">
      <c r="A1418" s="29"/>
      <c r="B1418" s="30" t="s">
        <v>1416</v>
      </c>
      <c r="C1418" s="30" t="s">
        <v>3164</v>
      </c>
      <c r="D1418" s="34" t="s">
        <v>1781</v>
      </c>
      <c r="E1418" s="31">
        <v>11</v>
      </c>
      <c r="F1418" s="31">
        <v>379</v>
      </c>
      <c r="G1418" s="32">
        <f t="shared" ref="G1418:G1422" si="229">F1418*E1418</f>
        <v>4169</v>
      </c>
      <c r="H1418" s="33">
        <f t="shared" si="218"/>
        <v>2.1616477183689265E-5</v>
      </c>
      <c r="K1418" t="str">
        <f xml:space="preserve"> B1417 &amp; B1418</f>
        <v>Z000149012Z020107014</v>
      </c>
    </row>
    <row r="1419" spans="1:11" outlineLevel="1" x14ac:dyDescent="0.2">
      <c r="A1419" s="29"/>
      <c r="B1419" s="30" t="s">
        <v>1649</v>
      </c>
      <c r="C1419" s="30" t="s">
        <v>1145</v>
      </c>
      <c r="D1419" s="34" t="s">
        <v>1781</v>
      </c>
      <c r="E1419" s="31">
        <v>0.23100000000000001</v>
      </c>
      <c r="F1419" s="31">
        <v>3.95</v>
      </c>
      <c r="G1419" s="32">
        <f t="shared" si="229"/>
        <v>0.91245000000000009</v>
      </c>
      <c r="H1419" s="33">
        <f t="shared" si="218"/>
        <v>4.7310996896755268E-9</v>
      </c>
      <c r="K1419" t="str">
        <f xml:space="preserve"> B1417 &amp; B1419</f>
        <v>Z000149012Z030105002</v>
      </c>
    </row>
    <row r="1420" spans="1:11" outlineLevel="1" x14ac:dyDescent="0.2">
      <c r="A1420" s="29"/>
      <c r="B1420" s="30" t="s">
        <v>950</v>
      </c>
      <c r="C1420" s="30" t="s">
        <v>1391</v>
      </c>
      <c r="D1420" s="34" t="s">
        <v>151</v>
      </c>
      <c r="E1420" s="31">
        <v>0</v>
      </c>
      <c r="F1420" s="31">
        <v>15.0943</v>
      </c>
      <c r="G1420" s="32">
        <f t="shared" si="229"/>
        <v>0</v>
      </c>
      <c r="H1420" s="33">
        <f t="shared" si="218"/>
        <v>0</v>
      </c>
      <c r="K1420" t="str">
        <f xml:space="preserve"> B1417 &amp; B1420</f>
        <v>Z000149012Z040201008</v>
      </c>
    </row>
    <row r="1421" spans="1:11" outlineLevel="1" x14ac:dyDescent="0.2">
      <c r="A1421" s="29"/>
      <c r="B1421" s="30" t="s">
        <v>801</v>
      </c>
      <c r="C1421" s="30" t="s">
        <v>402</v>
      </c>
      <c r="D1421" s="34" t="s">
        <v>151</v>
      </c>
      <c r="E1421" s="31">
        <v>0</v>
      </c>
      <c r="F1421" s="31">
        <v>10.3</v>
      </c>
      <c r="G1421" s="32">
        <f t="shared" si="229"/>
        <v>0</v>
      </c>
      <c r="H1421" s="33">
        <f t="shared" si="218"/>
        <v>0</v>
      </c>
      <c r="K1421" t="str">
        <f xml:space="preserve"> B1417 &amp; B1421</f>
        <v>Z000149012Z040202006</v>
      </c>
    </row>
    <row r="1422" spans="1:11" outlineLevel="1" x14ac:dyDescent="0.2">
      <c r="A1422" s="29"/>
      <c r="B1422" s="30" t="s">
        <v>498</v>
      </c>
      <c r="C1422" s="30" t="s">
        <v>773</v>
      </c>
      <c r="D1422" s="34" t="s">
        <v>84</v>
      </c>
      <c r="E1422" s="31">
        <v>13.2</v>
      </c>
      <c r="F1422" s="31">
        <v>0</v>
      </c>
      <c r="G1422" s="32">
        <f t="shared" si="229"/>
        <v>0</v>
      </c>
      <c r="H1422" s="33">
        <f t="shared" si="218"/>
        <v>0</v>
      </c>
      <c r="K1422" t="str">
        <f xml:space="preserve"> B1417 &amp; B1422</f>
        <v>Z000149012Z040401001</v>
      </c>
    </row>
    <row r="1423" spans="1:11" outlineLevel="1" x14ac:dyDescent="0.2">
      <c r="A1423" s="11" t="s">
        <v>1596</v>
      </c>
      <c r="B1423" s="11" t="s">
        <v>4971</v>
      </c>
      <c r="C1423" s="11" t="s">
        <v>4973</v>
      </c>
      <c r="D1423" s="12" t="s">
        <v>1781</v>
      </c>
      <c r="E1423" s="13">
        <v>8</v>
      </c>
      <c r="F1423" s="14">
        <v>260</v>
      </c>
      <c r="G1423" s="15">
        <f>SUM(G1424:G1427)</f>
        <v>2080</v>
      </c>
      <c r="H1423" s="16">
        <f t="shared" si="218"/>
        <v>1.0784905862814505E-5</v>
      </c>
    </row>
    <row r="1424" spans="1:11" outlineLevel="1" x14ac:dyDescent="0.2">
      <c r="A1424" s="29"/>
      <c r="B1424" s="30" t="s">
        <v>4975</v>
      </c>
      <c r="C1424" s="30" t="s">
        <v>4976</v>
      </c>
      <c r="D1424" s="34" t="s">
        <v>1781</v>
      </c>
      <c r="E1424" s="31">
        <v>8</v>
      </c>
      <c r="F1424" s="31">
        <v>260</v>
      </c>
      <c r="G1424" s="32">
        <f t="shared" ref="G1424:G1427" si="230">F1424*E1424</f>
        <v>2080</v>
      </c>
      <c r="H1424" s="33">
        <f t="shared" si="218"/>
        <v>1.0784905862814505E-5</v>
      </c>
      <c r="K1424" t="str">
        <f xml:space="preserve"> B1423 &amp; B1424</f>
        <v>Z000149003Z020107002</v>
      </c>
    </row>
    <row r="1425" spans="1:11" outlineLevel="1" x14ac:dyDescent="0.2">
      <c r="A1425" s="29"/>
      <c r="B1425" s="30" t="s">
        <v>950</v>
      </c>
      <c r="C1425" s="30" t="s">
        <v>1391</v>
      </c>
      <c r="D1425" s="34" t="s">
        <v>151</v>
      </c>
      <c r="E1425" s="31">
        <v>0</v>
      </c>
      <c r="F1425" s="31">
        <v>15.0943</v>
      </c>
      <c r="G1425" s="32">
        <f t="shared" si="230"/>
        <v>0</v>
      </c>
      <c r="H1425" s="33">
        <f t="shared" si="218"/>
        <v>0</v>
      </c>
      <c r="K1425" t="str">
        <f xml:space="preserve"> B1423 &amp; B1425</f>
        <v>Z000149003Z040201008</v>
      </c>
    </row>
    <row r="1426" spans="1:11" outlineLevel="1" x14ac:dyDescent="0.2">
      <c r="A1426" s="29"/>
      <c r="B1426" s="30" t="s">
        <v>801</v>
      </c>
      <c r="C1426" s="30" t="s">
        <v>402</v>
      </c>
      <c r="D1426" s="34" t="s">
        <v>151</v>
      </c>
      <c r="E1426" s="31">
        <v>0</v>
      </c>
      <c r="F1426" s="31">
        <v>10.3</v>
      </c>
      <c r="G1426" s="32">
        <f t="shared" si="230"/>
        <v>0</v>
      </c>
      <c r="H1426" s="33">
        <f t="shared" si="218"/>
        <v>0</v>
      </c>
      <c r="K1426" t="str">
        <f xml:space="preserve"> B1423 &amp; B1426</f>
        <v>Z000149003Z040202006</v>
      </c>
    </row>
    <row r="1427" spans="1:11" outlineLevel="1" x14ac:dyDescent="0.2">
      <c r="A1427" s="29"/>
      <c r="B1427" s="30" t="s">
        <v>498</v>
      </c>
      <c r="C1427" s="30" t="s">
        <v>773</v>
      </c>
      <c r="D1427" s="34" t="s">
        <v>84</v>
      </c>
      <c r="E1427" s="31">
        <v>9.6</v>
      </c>
      <c r="F1427" s="31">
        <v>0</v>
      </c>
      <c r="G1427" s="32">
        <f t="shared" si="230"/>
        <v>0</v>
      </c>
      <c r="H1427" s="33">
        <f t="shared" si="218"/>
        <v>0</v>
      </c>
      <c r="K1427" t="str">
        <f xml:space="preserve"> B1423 &amp; B1427</f>
        <v>Z000149003Z040401001</v>
      </c>
    </row>
    <row r="1428" spans="1:11" outlineLevel="1" x14ac:dyDescent="0.2">
      <c r="A1428" s="29"/>
      <c r="B1428" s="30" t="s">
        <v>1649</v>
      </c>
      <c r="C1428" s="30" t="s">
        <v>1145</v>
      </c>
      <c r="D1428" s="34" t="s">
        <v>84</v>
      </c>
      <c r="E1428" s="31">
        <v>0.16800000000000001</v>
      </c>
      <c r="F1428" s="31">
        <v>3.95</v>
      </c>
      <c r="G1428" s="32">
        <f t="shared" ref="G1428" si="231">F1428*E1428</f>
        <v>0.66360000000000008</v>
      </c>
      <c r="H1428" s="33">
        <f t="shared" ref="H1428" si="232">G1428/$F$2</f>
        <v>3.4407997743094745E-9</v>
      </c>
      <c r="K1428" t="str">
        <f xml:space="preserve"> B1423 &amp; B1428</f>
        <v>Z000149003Z030105002</v>
      </c>
    </row>
    <row r="1429" spans="1:11" ht="18.75" x14ac:dyDescent="0.2">
      <c r="A1429" s="5">
        <v>15</v>
      </c>
      <c r="B1429" s="5" t="s">
        <v>328</v>
      </c>
      <c r="C1429" s="5" t="s">
        <v>1543</v>
      </c>
      <c r="D1429" s="6"/>
      <c r="E1429" s="7"/>
      <c r="F1429" s="8"/>
      <c r="G1429" s="9">
        <f>SUM(G1430,G1479,G1503,)</f>
        <v>9735431.0788141917</v>
      </c>
      <c r="H1429" s="10">
        <f t="shared" si="218"/>
        <v>5.0478705634100826E-2</v>
      </c>
    </row>
    <row r="1430" spans="1:11" ht="15" x14ac:dyDescent="0.2">
      <c r="A1430" s="17" t="s">
        <v>2041</v>
      </c>
      <c r="B1430" s="17" t="s">
        <v>328</v>
      </c>
      <c r="C1430" s="17" t="s">
        <v>1810</v>
      </c>
      <c r="D1430" s="18"/>
      <c r="E1430" s="19"/>
      <c r="F1430" s="20"/>
      <c r="G1430" s="21">
        <f>SUM(G1431,G1444,G1454,G1465,G1473)</f>
        <v>6047515.3397572804</v>
      </c>
      <c r="H1430" s="22">
        <f t="shared" ref="H1430:H1466" si="233">G1430/$F$2</f>
        <v>3.1356674828465839E-2</v>
      </c>
    </row>
    <row r="1431" spans="1:11" x14ac:dyDescent="0.2">
      <c r="A1431" s="23" t="s">
        <v>1102</v>
      </c>
      <c r="B1431" s="23" t="s">
        <v>328</v>
      </c>
      <c r="C1431" s="23" t="s">
        <v>1895</v>
      </c>
      <c r="D1431" s="24"/>
      <c r="E1431" s="25"/>
      <c r="F1431" s="26"/>
      <c r="G1431" s="27">
        <f>SUM(G1432)</f>
        <v>256994.65977984003</v>
      </c>
      <c r="H1431" s="28">
        <f t="shared" si="233"/>
        <v>1.3325303908517385E-3</v>
      </c>
    </row>
    <row r="1432" spans="1:11" outlineLevel="1" x14ac:dyDescent="0.2">
      <c r="A1432" s="11" t="s">
        <v>546</v>
      </c>
      <c r="B1432" s="11" t="s">
        <v>1245</v>
      </c>
      <c r="C1432" s="11" t="s">
        <v>3377</v>
      </c>
      <c r="D1432" s="12" t="s">
        <v>1152</v>
      </c>
      <c r="E1432" s="13">
        <v>1489.68</v>
      </c>
      <c r="F1432" s="14">
        <v>172.51668800000002</v>
      </c>
      <c r="G1432" s="15">
        <f>SUM(G1433:G1443)</f>
        <v>256994.65977984003</v>
      </c>
      <c r="H1432" s="16">
        <f t="shared" si="233"/>
        <v>1.3325303908517385E-3</v>
      </c>
    </row>
    <row r="1433" spans="1:11" outlineLevel="1" x14ac:dyDescent="0.2">
      <c r="A1433" s="29"/>
      <c r="B1433" s="30" t="s">
        <v>853</v>
      </c>
      <c r="C1433" s="30" t="s">
        <v>980</v>
      </c>
      <c r="D1433" s="34" t="s">
        <v>1052</v>
      </c>
      <c r="E1433" s="31">
        <v>13600.778400000001</v>
      </c>
      <c r="F1433" s="31">
        <v>0.9</v>
      </c>
      <c r="G1433" s="32">
        <f t="shared" ref="G1433:G1443" si="234">F1433*E1433</f>
        <v>12240.700560000001</v>
      </c>
      <c r="H1433" s="33">
        <f t="shared" si="233"/>
        <v>6.3468655401202313E-5</v>
      </c>
      <c r="K1433" t="str">
        <f xml:space="preserve"> B1432 &amp; B1433</f>
        <v>Z000151002Z020201001</v>
      </c>
    </row>
    <row r="1434" spans="1:11" outlineLevel="1" x14ac:dyDescent="0.2">
      <c r="A1434" s="29"/>
      <c r="B1434" s="30" t="s">
        <v>706</v>
      </c>
      <c r="C1434" s="30" t="s">
        <v>130</v>
      </c>
      <c r="D1434" s="34" t="s">
        <v>1052</v>
      </c>
      <c r="E1434" s="31">
        <v>157.90608</v>
      </c>
      <c r="F1434" s="31">
        <v>8</v>
      </c>
      <c r="G1434" s="32">
        <f t="shared" si="234"/>
        <v>1263.24864</v>
      </c>
      <c r="H1434" s="33">
        <f t="shared" si="233"/>
        <v>6.5500084921771399E-6</v>
      </c>
      <c r="K1434" t="str">
        <f xml:space="preserve"> B1432 &amp; B1434</f>
        <v>Z000151002Z020202001</v>
      </c>
    </row>
    <row r="1435" spans="1:11" outlineLevel="1" x14ac:dyDescent="0.2">
      <c r="A1435" s="29"/>
      <c r="B1435" s="30" t="s">
        <v>1549</v>
      </c>
      <c r="C1435" s="30" t="s">
        <v>486</v>
      </c>
      <c r="D1435" s="34" t="s">
        <v>1152</v>
      </c>
      <c r="E1435" s="31">
        <v>1728.0288</v>
      </c>
      <c r="F1435" s="31">
        <v>51.5</v>
      </c>
      <c r="G1435" s="32">
        <f t="shared" si="234"/>
        <v>88993.483200000002</v>
      </c>
      <c r="H1435" s="33">
        <f t="shared" si="233"/>
        <v>4.6143573976729051E-4</v>
      </c>
      <c r="K1435" t="str">
        <f xml:space="preserve"> B1432 &amp; B1435</f>
        <v>Z000151002Z020302005</v>
      </c>
    </row>
    <row r="1436" spans="1:11" outlineLevel="1" x14ac:dyDescent="0.2">
      <c r="A1436" s="29"/>
      <c r="B1436" s="30" t="s">
        <v>1503</v>
      </c>
      <c r="C1436" s="30" t="s">
        <v>464</v>
      </c>
      <c r="D1436" s="34" t="s">
        <v>1667</v>
      </c>
      <c r="E1436" s="31">
        <v>11917.44</v>
      </c>
      <c r="F1436" s="31">
        <v>0.05</v>
      </c>
      <c r="G1436" s="32">
        <f t="shared" si="234"/>
        <v>595.87200000000007</v>
      </c>
      <c r="H1436" s="33">
        <f t="shared" si="233"/>
        <v>3.0896266472533681E-6</v>
      </c>
      <c r="K1436" t="str">
        <f xml:space="preserve"> B1432 &amp; B1436</f>
        <v>Z000151002Z030106001</v>
      </c>
    </row>
    <row r="1437" spans="1:11" outlineLevel="1" x14ac:dyDescent="0.2">
      <c r="A1437" s="29"/>
      <c r="B1437" s="30" t="s">
        <v>1507</v>
      </c>
      <c r="C1437" s="30" t="s">
        <v>1272</v>
      </c>
      <c r="D1437" s="34" t="s">
        <v>1667</v>
      </c>
      <c r="E1437" s="31">
        <v>5958.72</v>
      </c>
      <c r="F1437" s="31">
        <v>1.6400000000000001E-2</v>
      </c>
      <c r="G1437" s="32">
        <f t="shared" si="234"/>
        <v>97.723008000000007</v>
      </c>
      <c r="H1437" s="33">
        <f t="shared" si="233"/>
        <v>5.0669877014955239E-7</v>
      </c>
      <c r="K1437" t="str">
        <f xml:space="preserve"> B1432 &amp; B1437</f>
        <v>Z000151002Z030106002</v>
      </c>
    </row>
    <row r="1438" spans="1:11" outlineLevel="1" x14ac:dyDescent="0.2">
      <c r="A1438" s="29"/>
      <c r="B1438" s="30" t="s">
        <v>939</v>
      </c>
      <c r="C1438" s="30" t="s">
        <v>640</v>
      </c>
      <c r="D1438" s="34" t="s">
        <v>151</v>
      </c>
      <c r="E1438" s="31">
        <v>0</v>
      </c>
      <c r="F1438" s="31">
        <v>21.15</v>
      </c>
      <c r="G1438" s="32">
        <f t="shared" si="234"/>
        <v>0</v>
      </c>
      <c r="H1438" s="33">
        <f t="shared" si="233"/>
        <v>0</v>
      </c>
      <c r="K1438" t="str">
        <f xml:space="preserve"> B1432 &amp; B1438</f>
        <v>Z000151002Z040201003</v>
      </c>
    </row>
    <row r="1439" spans="1:11" outlineLevel="1" x14ac:dyDescent="0.2">
      <c r="A1439" s="29"/>
      <c r="B1439" s="30" t="s">
        <v>801</v>
      </c>
      <c r="C1439" s="30" t="s">
        <v>402</v>
      </c>
      <c r="D1439" s="34" t="s">
        <v>151</v>
      </c>
      <c r="E1439" s="31">
        <v>0</v>
      </c>
      <c r="F1439" s="31">
        <v>10.3</v>
      </c>
      <c r="G1439" s="32">
        <f t="shared" si="234"/>
        <v>0</v>
      </c>
      <c r="H1439" s="33">
        <f t="shared" si="233"/>
        <v>0</v>
      </c>
      <c r="K1439" t="str">
        <f xml:space="preserve"> B1432 &amp; B1439</f>
        <v>Z000151002Z040202006</v>
      </c>
    </row>
    <row r="1440" spans="1:11" outlineLevel="1" x14ac:dyDescent="0.2">
      <c r="A1440" s="29"/>
      <c r="B1440" s="30" t="s">
        <v>833</v>
      </c>
      <c r="C1440" s="30" t="s">
        <v>3384</v>
      </c>
      <c r="D1440" s="34" t="s">
        <v>1152</v>
      </c>
      <c r="E1440" s="31">
        <v>1489.68</v>
      </c>
      <c r="F1440" s="31">
        <v>90</v>
      </c>
      <c r="G1440" s="32">
        <f t="shared" si="234"/>
        <v>134071.20000000001</v>
      </c>
      <c r="H1440" s="33">
        <f t="shared" si="233"/>
        <v>6.951659956320078E-4</v>
      </c>
      <c r="K1440" t="str">
        <f xml:space="preserve"> B1432 &amp; B1440</f>
        <v>Z000151002Z040308004</v>
      </c>
    </row>
    <row r="1441" spans="1:11" outlineLevel="1" x14ac:dyDescent="0.2">
      <c r="A1441" s="29"/>
      <c r="B1441" s="30" t="s">
        <v>903</v>
      </c>
      <c r="C1441" s="30" t="s">
        <v>864</v>
      </c>
      <c r="D1441" s="34" t="s">
        <v>1152</v>
      </c>
      <c r="E1441" s="31">
        <v>1489.68</v>
      </c>
      <c r="F1441" s="31">
        <v>3.5</v>
      </c>
      <c r="G1441" s="32">
        <f t="shared" si="234"/>
        <v>5213.88</v>
      </c>
      <c r="H1441" s="33">
        <f t="shared" si="233"/>
        <v>2.7034233163466967E-5</v>
      </c>
      <c r="K1441" t="str">
        <f xml:space="preserve"> B1432 &amp; B1441</f>
        <v>Z000151002Z040308018</v>
      </c>
    </row>
    <row r="1442" spans="1:11" outlineLevel="1" x14ac:dyDescent="0.2">
      <c r="A1442" s="29"/>
      <c r="B1442" s="30" t="s">
        <v>498</v>
      </c>
      <c r="C1442" s="30" t="s">
        <v>773</v>
      </c>
      <c r="D1442" s="34" t="s">
        <v>84</v>
      </c>
      <c r="E1442" s="31">
        <v>1787.616</v>
      </c>
      <c r="F1442" s="31">
        <v>0</v>
      </c>
      <c r="G1442" s="32">
        <f t="shared" si="234"/>
        <v>0</v>
      </c>
      <c r="H1442" s="33">
        <f t="shared" si="233"/>
        <v>0</v>
      </c>
      <c r="K1442" t="str">
        <f xml:space="preserve"> B1432 &amp; B1442</f>
        <v>Z000151002Z040401001</v>
      </c>
    </row>
    <row r="1443" spans="1:11" outlineLevel="1" x14ac:dyDescent="0.2">
      <c r="A1443" s="29"/>
      <c r="B1443" s="30" t="s">
        <v>941</v>
      </c>
      <c r="C1443" s="30" t="s">
        <v>1485</v>
      </c>
      <c r="D1443" s="34" t="s">
        <v>1819</v>
      </c>
      <c r="E1443" s="31">
        <v>1728.0288</v>
      </c>
      <c r="F1443" s="31">
        <v>8.4017999999999997</v>
      </c>
      <c r="G1443" s="32">
        <f t="shared" si="234"/>
        <v>14518.55237184</v>
      </c>
      <c r="H1443" s="33">
        <f t="shared" si="233"/>
        <v>7.5279432978190704E-5</v>
      </c>
      <c r="K1443" t="str">
        <f xml:space="preserve"> B1432 &amp; B1443</f>
        <v>Z000151002Z060101021</v>
      </c>
    </row>
    <row r="1444" spans="1:11" x14ac:dyDescent="0.2">
      <c r="A1444" s="23" t="s">
        <v>1105</v>
      </c>
      <c r="B1444" s="23" t="s">
        <v>328</v>
      </c>
      <c r="C1444" s="23" t="s">
        <v>1447</v>
      </c>
      <c r="D1444" s="24"/>
      <c r="E1444" s="25"/>
      <c r="F1444" s="26"/>
      <c r="G1444" s="27">
        <f>SUM(G1445)</f>
        <v>70554.932504640004</v>
      </c>
      <c r="H1444" s="28">
        <f t="shared" si="233"/>
        <v>3.6583091597104504E-4</v>
      </c>
    </row>
    <row r="1445" spans="1:11" outlineLevel="1" x14ac:dyDescent="0.2">
      <c r="A1445" s="11" t="s">
        <v>444</v>
      </c>
      <c r="B1445" s="11" t="s">
        <v>1120</v>
      </c>
      <c r="C1445" s="11" t="s">
        <v>3421</v>
      </c>
      <c r="D1445" s="12" t="s">
        <v>153</v>
      </c>
      <c r="E1445" s="13">
        <v>388.8</v>
      </c>
      <c r="F1445" s="14">
        <v>181.46844780000001</v>
      </c>
      <c r="G1445" s="15">
        <f>SUM(G1446:G1453)</f>
        <v>70554.932504640004</v>
      </c>
      <c r="H1445" s="16">
        <f t="shared" si="233"/>
        <v>3.6583091597104504E-4</v>
      </c>
    </row>
    <row r="1446" spans="1:11" outlineLevel="1" x14ac:dyDescent="0.2">
      <c r="A1446" s="29"/>
      <c r="B1446" s="30" t="s">
        <v>853</v>
      </c>
      <c r="C1446" s="30" t="s">
        <v>980</v>
      </c>
      <c r="D1446" s="34" t="s">
        <v>1052</v>
      </c>
      <c r="E1446" s="31">
        <v>602.83439999999996</v>
      </c>
      <c r="F1446" s="31">
        <v>0.9</v>
      </c>
      <c r="G1446" s="32">
        <f t="shared" ref="G1446:G1453" si="235">F1446*E1446</f>
        <v>542.55096000000003</v>
      </c>
      <c r="H1446" s="33">
        <f t="shared" si="233"/>
        <v>2.813154341047903E-6</v>
      </c>
      <c r="K1446" t="str">
        <f xml:space="preserve"> B1445 &amp; B1446</f>
        <v>Z000153023Z020201001</v>
      </c>
    </row>
    <row r="1447" spans="1:11" outlineLevel="1" x14ac:dyDescent="0.2">
      <c r="A1447" s="29"/>
      <c r="B1447" s="30" t="s">
        <v>706</v>
      </c>
      <c r="C1447" s="30" t="s">
        <v>130</v>
      </c>
      <c r="D1447" s="34" t="s">
        <v>1052</v>
      </c>
      <c r="E1447" s="31">
        <v>83.980800000000002</v>
      </c>
      <c r="F1447" s="31">
        <v>8</v>
      </c>
      <c r="G1447" s="32">
        <f t="shared" si="235"/>
        <v>671.84640000000002</v>
      </c>
      <c r="H1447" s="33">
        <f t="shared" si="233"/>
        <v>3.4835577780148171E-6</v>
      </c>
      <c r="K1447" t="str">
        <f xml:space="preserve"> B1445 &amp; B1447</f>
        <v>Z000153023Z020202001</v>
      </c>
    </row>
    <row r="1448" spans="1:11" outlineLevel="1" x14ac:dyDescent="0.2">
      <c r="A1448" s="29"/>
      <c r="B1448" s="30" t="s">
        <v>750</v>
      </c>
      <c r="C1448" s="30" t="s">
        <v>1785</v>
      </c>
      <c r="D1448" s="34" t="s">
        <v>1152</v>
      </c>
      <c r="E1448" s="31">
        <v>76.982400000000013</v>
      </c>
      <c r="F1448" s="31">
        <v>836.11109999999996</v>
      </c>
      <c r="G1448" s="32">
        <f t="shared" si="235"/>
        <v>64365.839144640006</v>
      </c>
      <c r="H1448" s="33">
        <f t="shared" si="233"/>
        <v>3.337401519019247E-4</v>
      </c>
      <c r="K1448" t="str">
        <f xml:space="preserve"> B1445 &amp; B1448</f>
        <v>Z000153023Z020309024</v>
      </c>
    </row>
    <row r="1449" spans="1:11" outlineLevel="1" x14ac:dyDescent="0.2">
      <c r="A1449" s="29"/>
      <c r="B1449" s="30" t="s">
        <v>1006</v>
      </c>
      <c r="C1449" s="30" t="s">
        <v>699</v>
      </c>
      <c r="D1449" s="34" t="s">
        <v>151</v>
      </c>
      <c r="E1449" s="31">
        <v>0</v>
      </c>
      <c r="F1449" s="31">
        <v>28.988</v>
      </c>
      <c r="G1449" s="32">
        <f t="shared" si="235"/>
        <v>0</v>
      </c>
      <c r="H1449" s="33">
        <f t="shared" si="233"/>
        <v>0</v>
      </c>
      <c r="K1449" t="str">
        <f xml:space="preserve"> B1445 &amp; B1449</f>
        <v>Z000153023Z040201011</v>
      </c>
    </row>
    <row r="1450" spans="1:11" outlineLevel="1" x14ac:dyDescent="0.2">
      <c r="A1450" s="29"/>
      <c r="B1450" s="30" t="s">
        <v>801</v>
      </c>
      <c r="C1450" s="30" t="s">
        <v>402</v>
      </c>
      <c r="D1450" s="34" t="s">
        <v>151</v>
      </c>
      <c r="E1450" s="31">
        <v>0</v>
      </c>
      <c r="F1450" s="31">
        <v>10.3</v>
      </c>
      <c r="G1450" s="32">
        <f t="shared" si="235"/>
        <v>0</v>
      </c>
      <c r="H1450" s="33">
        <f t="shared" si="233"/>
        <v>0</v>
      </c>
      <c r="K1450" t="str">
        <f xml:space="preserve"> B1445 &amp; B1450</f>
        <v>Z000153023Z040202006</v>
      </c>
    </row>
    <row r="1451" spans="1:11" outlineLevel="1" x14ac:dyDescent="0.2">
      <c r="A1451" s="29"/>
      <c r="B1451" s="30" t="s">
        <v>824</v>
      </c>
      <c r="C1451" s="30" t="s">
        <v>3418</v>
      </c>
      <c r="D1451" s="34" t="s">
        <v>1152</v>
      </c>
      <c r="E1451" s="31">
        <v>75.816000000000003</v>
      </c>
      <c r="F1451" s="31">
        <v>25</v>
      </c>
      <c r="G1451" s="32">
        <f t="shared" si="235"/>
        <v>1895.4</v>
      </c>
      <c r="H1451" s="33">
        <f t="shared" si="233"/>
        <v>9.8277454674897187E-6</v>
      </c>
      <c r="K1451" t="str">
        <f xml:space="preserve"> B1445 &amp; B1451</f>
        <v>Z000153023Z040308001</v>
      </c>
    </row>
    <row r="1452" spans="1:11" outlineLevel="1" x14ac:dyDescent="0.2">
      <c r="A1452" s="29"/>
      <c r="B1452" s="30" t="s">
        <v>498</v>
      </c>
      <c r="C1452" s="30" t="s">
        <v>773</v>
      </c>
      <c r="D1452" s="34" t="s">
        <v>84</v>
      </c>
      <c r="E1452" s="31">
        <v>466.56</v>
      </c>
      <c r="F1452" s="31">
        <v>0</v>
      </c>
      <c r="G1452" s="32">
        <f t="shared" si="235"/>
        <v>0</v>
      </c>
      <c r="H1452" s="33">
        <f t="shared" si="233"/>
        <v>0</v>
      </c>
      <c r="K1452" t="str">
        <f xml:space="preserve"> B1445 &amp; B1452</f>
        <v>Z000153023Z040401001</v>
      </c>
    </row>
    <row r="1453" spans="1:11" outlineLevel="1" x14ac:dyDescent="0.2">
      <c r="A1453" s="29"/>
      <c r="B1453" s="30" t="s">
        <v>946</v>
      </c>
      <c r="C1453" s="30" t="s">
        <v>1695</v>
      </c>
      <c r="D1453" s="34" t="s">
        <v>1819</v>
      </c>
      <c r="E1453" s="31">
        <v>76.982400000000013</v>
      </c>
      <c r="F1453" s="31">
        <v>40</v>
      </c>
      <c r="G1453" s="32">
        <f t="shared" si="235"/>
        <v>3079.2960000000003</v>
      </c>
      <c r="H1453" s="33">
        <f t="shared" si="233"/>
        <v>1.5966306482567914E-5</v>
      </c>
      <c r="K1453" t="str">
        <f xml:space="preserve"> B1445 &amp; B1453</f>
        <v>Z000153023Z060101023</v>
      </c>
    </row>
    <row r="1454" spans="1:11" x14ac:dyDescent="0.2">
      <c r="A1454" s="23" t="s">
        <v>1107</v>
      </c>
      <c r="B1454" s="23" t="s">
        <v>328</v>
      </c>
      <c r="C1454" s="23" t="s">
        <v>129</v>
      </c>
      <c r="D1454" s="24"/>
      <c r="E1454" s="25"/>
      <c r="F1454" s="26"/>
      <c r="G1454" s="27">
        <f>SUM(G1455,G1462)</f>
        <v>4822982.9066399997</v>
      </c>
      <c r="H1454" s="28">
        <f t="shared" si="233"/>
        <v>2.5007411839459558E-2</v>
      </c>
    </row>
    <row r="1455" spans="1:11" outlineLevel="1" x14ac:dyDescent="0.2">
      <c r="A1455" s="11" t="s">
        <v>343</v>
      </c>
      <c r="B1455" s="11" t="s">
        <v>1119</v>
      </c>
      <c r="C1455" s="11" t="s">
        <v>3411</v>
      </c>
      <c r="D1455" s="12" t="s">
        <v>1152</v>
      </c>
      <c r="E1455" s="13">
        <v>7495.44</v>
      </c>
      <c r="F1455" s="14">
        <v>340.48099999999999</v>
      </c>
      <c r="G1455" s="15">
        <f>SUM(G1456:G1461)</f>
        <v>2552054.9066399997</v>
      </c>
      <c r="H1455" s="16">
        <f t="shared" si="233"/>
        <v>1.3232534579253009E-2</v>
      </c>
    </row>
    <row r="1456" spans="1:11" outlineLevel="1" x14ac:dyDescent="0.2">
      <c r="A1456" s="29"/>
      <c r="B1456" s="30" t="s">
        <v>1484</v>
      </c>
      <c r="C1456" s="30" t="s">
        <v>469</v>
      </c>
      <c r="D1456" s="34" t="s">
        <v>1152</v>
      </c>
      <c r="E1456" s="31">
        <v>7870.2119999999995</v>
      </c>
      <c r="F1456" s="31">
        <v>233.62</v>
      </c>
      <c r="G1456" s="32">
        <f t="shared" ref="G1456:G1461" si="236">F1456*E1456</f>
        <v>1838638.92744</v>
      </c>
      <c r="H1456" s="33">
        <f t="shared" si="233"/>
        <v>9.5334364173781869E-3</v>
      </c>
      <c r="K1456" t="str">
        <f xml:space="preserve"> B1455 &amp; B1456</f>
        <v>Z000152006Z020303010</v>
      </c>
    </row>
    <row r="1457" spans="1:11" outlineLevel="1" x14ac:dyDescent="0.2">
      <c r="A1457" s="29"/>
      <c r="B1457" s="30" t="s">
        <v>639</v>
      </c>
      <c r="C1457" s="30" t="s">
        <v>1300</v>
      </c>
      <c r="D1457" s="34" t="s">
        <v>1052</v>
      </c>
      <c r="E1457" s="31">
        <v>4309.8779999999997</v>
      </c>
      <c r="F1457" s="31">
        <v>26.4</v>
      </c>
      <c r="G1457" s="32">
        <f t="shared" si="236"/>
        <v>113780.77919999999</v>
      </c>
      <c r="H1457" s="33">
        <f t="shared" si="233"/>
        <v>5.899591310911936E-4</v>
      </c>
      <c r="K1457" t="str">
        <f xml:space="preserve"> B1455 &amp; B1457</f>
        <v>Z000152006Z030203009</v>
      </c>
    </row>
    <row r="1458" spans="1:11" outlineLevel="1" x14ac:dyDescent="0.2">
      <c r="A1458" s="29"/>
      <c r="B1458" s="30" t="s">
        <v>1016</v>
      </c>
      <c r="C1458" s="30" t="s">
        <v>746</v>
      </c>
      <c r="D1458" s="34" t="s">
        <v>151</v>
      </c>
      <c r="E1458" s="31">
        <v>0</v>
      </c>
      <c r="F1458" s="31">
        <v>18</v>
      </c>
      <c r="G1458" s="32">
        <f t="shared" si="236"/>
        <v>0</v>
      </c>
      <c r="H1458" s="33">
        <f t="shared" si="233"/>
        <v>0</v>
      </c>
      <c r="K1458" t="str">
        <f xml:space="preserve"> B1455 &amp; B1458</f>
        <v>Z000152006Z040201015</v>
      </c>
    </row>
    <row r="1459" spans="1:11" outlineLevel="1" x14ac:dyDescent="0.2">
      <c r="A1459" s="29"/>
      <c r="B1459" s="30" t="s">
        <v>801</v>
      </c>
      <c r="C1459" s="30" t="s">
        <v>402</v>
      </c>
      <c r="D1459" s="34" t="s">
        <v>151</v>
      </c>
      <c r="E1459" s="31">
        <v>0</v>
      </c>
      <c r="F1459" s="31">
        <v>10.3</v>
      </c>
      <c r="G1459" s="32">
        <f t="shared" si="236"/>
        <v>0</v>
      </c>
      <c r="H1459" s="33">
        <f t="shared" si="233"/>
        <v>0</v>
      </c>
      <c r="K1459" t="str">
        <f xml:space="preserve"> B1455 &amp; B1459</f>
        <v>Z000152006Z040202006</v>
      </c>
    </row>
    <row r="1460" spans="1:11" outlineLevel="1" x14ac:dyDescent="0.2">
      <c r="A1460" s="29"/>
      <c r="B1460" s="30" t="s">
        <v>966</v>
      </c>
      <c r="C1460" s="30" t="s">
        <v>3415</v>
      </c>
      <c r="D1460" s="34" t="s">
        <v>1152</v>
      </c>
      <c r="E1460" s="31">
        <v>7495.44</v>
      </c>
      <c r="F1460" s="31">
        <v>80</v>
      </c>
      <c r="G1460" s="32">
        <f t="shared" si="236"/>
        <v>599635.19999999995</v>
      </c>
      <c r="H1460" s="33">
        <f t="shared" si="233"/>
        <v>3.109139030783629E-3</v>
      </c>
      <c r="K1460" t="str">
        <f xml:space="preserve"> B1455 &amp; B1460</f>
        <v>Z000152006Z040308020</v>
      </c>
    </row>
    <row r="1461" spans="1:11" outlineLevel="1" x14ac:dyDescent="0.2">
      <c r="A1461" s="29"/>
      <c r="B1461" s="30" t="s">
        <v>498</v>
      </c>
      <c r="C1461" s="30" t="s">
        <v>773</v>
      </c>
      <c r="D1461" s="34" t="s">
        <v>84</v>
      </c>
      <c r="E1461" s="31">
        <v>8994.5279999999984</v>
      </c>
      <c r="F1461" s="31">
        <v>0</v>
      </c>
      <c r="G1461" s="32">
        <f t="shared" si="236"/>
        <v>0</v>
      </c>
      <c r="H1461" s="33">
        <f t="shared" si="233"/>
        <v>0</v>
      </c>
      <c r="K1461" t="str">
        <f xml:space="preserve"> B1455 &amp; B1461</f>
        <v>Z000152006Z040401001</v>
      </c>
    </row>
    <row r="1462" spans="1:11" outlineLevel="1" x14ac:dyDescent="0.2">
      <c r="A1462" s="11" t="s">
        <v>345</v>
      </c>
      <c r="B1462" s="11" t="s">
        <v>1117</v>
      </c>
      <c r="C1462" s="11" t="s">
        <v>3407</v>
      </c>
      <c r="D1462" s="12" t="s">
        <v>1152</v>
      </c>
      <c r="E1462" s="13">
        <v>2428.8000000000002</v>
      </c>
      <c r="F1462" s="14">
        <v>934.99999999999989</v>
      </c>
      <c r="G1462" s="15">
        <f>SUM(G1463:G1464)</f>
        <v>2270928</v>
      </c>
      <c r="H1462" s="16">
        <f t="shared" si="233"/>
        <v>1.1774877260206547E-2</v>
      </c>
    </row>
    <row r="1463" spans="1:11" outlineLevel="1" x14ac:dyDescent="0.2">
      <c r="A1463" s="29"/>
      <c r="B1463" s="30" t="s">
        <v>1422</v>
      </c>
      <c r="C1463" s="30" t="s">
        <v>3405</v>
      </c>
      <c r="D1463" s="34" t="s">
        <v>1152</v>
      </c>
      <c r="E1463" s="31">
        <v>2428.8000000000002</v>
      </c>
      <c r="F1463" s="31">
        <v>673.2</v>
      </c>
      <c r="G1463" s="32">
        <f t="shared" ref="G1463:G1464" si="237">F1463*E1463</f>
        <v>1635068.1600000001</v>
      </c>
      <c r="H1463" s="33">
        <f t="shared" si="233"/>
        <v>8.4779116273487158E-3</v>
      </c>
      <c r="K1463" t="str">
        <f xml:space="preserve"> B1462 &amp; B1463</f>
        <v>Z000152004Z020303002</v>
      </c>
    </row>
    <row r="1464" spans="1:11" outlineLevel="1" x14ac:dyDescent="0.2">
      <c r="A1464" s="29"/>
      <c r="B1464" s="30" t="s">
        <v>1385</v>
      </c>
      <c r="C1464" s="30" t="s">
        <v>3408</v>
      </c>
      <c r="D1464" s="34" t="s">
        <v>1819</v>
      </c>
      <c r="E1464" s="31">
        <v>2428.8000000000002</v>
      </c>
      <c r="F1464" s="31">
        <v>261.8</v>
      </c>
      <c r="G1464" s="32">
        <f t="shared" si="237"/>
        <v>635859.84000000008</v>
      </c>
      <c r="H1464" s="33">
        <f t="shared" si="233"/>
        <v>3.2969656328578336E-3</v>
      </c>
      <c r="K1464" t="str">
        <f xml:space="preserve"> B1462 &amp; B1464</f>
        <v>Z000152004Z040313012</v>
      </c>
    </row>
    <row r="1465" spans="1:11" x14ac:dyDescent="0.2">
      <c r="A1465" s="23" t="s">
        <v>1108</v>
      </c>
      <c r="B1465" s="23" t="s">
        <v>328</v>
      </c>
      <c r="C1465" s="23" t="s">
        <v>202</v>
      </c>
      <c r="D1465" s="24"/>
      <c r="E1465" s="25"/>
      <c r="F1465" s="26"/>
      <c r="G1465" s="27">
        <f>SUM(G1466)</f>
        <v>823006.77132000006</v>
      </c>
      <c r="H1465" s="28">
        <f t="shared" si="233"/>
        <v>4.267331996704378E-3</v>
      </c>
    </row>
    <row r="1466" spans="1:11" outlineLevel="1" x14ac:dyDescent="0.2">
      <c r="A1466" s="11" t="s">
        <v>225</v>
      </c>
      <c r="B1466" s="11" t="s">
        <v>832</v>
      </c>
      <c r="C1466" s="11" t="s">
        <v>3441</v>
      </c>
      <c r="D1466" s="12" t="s">
        <v>153</v>
      </c>
      <c r="E1466" s="13">
        <v>6025.2</v>
      </c>
      <c r="F1466" s="14">
        <v>136.59410000000003</v>
      </c>
      <c r="G1466" s="15">
        <f>SUM(G1467:G1472)</f>
        <v>823006.77132000006</v>
      </c>
      <c r="H1466" s="16">
        <f t="shared" si="233"/>
        <v>4.267331996704378E-3</v>
      </c>
    </row>
    <row r="1467" spans="1:11" outlineLevel="1" x14ac:dyDescent="0.2">
      <c r="A1467" s="29"/>
      <c r="B1467" s="30" t="s">
        <v>1516</v>
      </c>
      <c r="C1467" s="30" t="s">
        <v>3442</v>
      </c>
      <c r="D1467" s="34" t="s">
        <v>153</v>
      </c>
      <c r="E1467" s="31">
        <v>6326.46</v>
      </c>
      <c r="F1467" s="31">
        <v>50</v>
      </c>
      <c r="G1467" s="32">
        <f t="shared" ref="G1467:G1472" si="238">F1467*E1467</f>
        <v>316323</v>
      </c>
      <c r="H1467" s="33">
        <f t="shared" ref="H1467:H1509" si="239">G1467/$F$2</f>
        <v>1.640150854443785E-3</v>
      </c>
      <c r="K1467" t="str">
        <f xml:space="preserve"> B1466 &amp; B1467</f>
        <v>Z000154001Z020311002</v>
      </c>
    </row>
    <row r="1468" spans="1:11" outlineLevel="1" x14ac:dyDescent="0.2">
      <c r="A1468" s="29"/>
      <c r="B1468" s="30" t="s">
        <v>621</v>
      </c>
      <c r="C1468" s="30" t="s">
        <v>3444</v>
      </c>
      <c r="D1468" s="34" t="s">
        <v>1052</v>
      </c>
      <c r="E1468" s="31">
        <v>5964.9479999999994</v>
      </c>
      <c r="F1468" s="31">
        <v>49.59</v>
      </c>
      <c r="G1468" s="32">
        <f t="shared" si="238"/>
        <v>295801.77132</v>
      </c>
      <c r="H1468" s="33">
        <f t="shared" si="239"/>
        <v>1.533747239298069E-3</v>
      </c>
      <c r="K1468" t="str">
        <f xml:space="preserve"> B1466 &amp; B1468</f>
        <v>Z000154001Z030203002</v>
      </c>
    </row>
    <row r="1469" spans="1:11" outlineLevel="1" x14ac:dyDescent="0.2">
      <c r="A1469" s="29"/>
      <c r="B1469" s="30" t="s">
        <v>1009</v>
      </c>
      <c r="C1469" s="30" t="s">
        <v>672</v>
      </c>
      <c r="D1469" s="34" t="s">
        <v>151</v>
      </c>
      <c r="E1469" s="31">
        <v>0</v>
      </c>
      <c r="F1469" s="31">
        <v>16.489999999999998</v>
      </c>
      <c r="G1469" s="32">
        <f t="shared" si="238"/>
        <v>0</v>
      </c>
      <c r="H1469" s="33">
        <f t="shared" si="239"/>
        <v>0</v>
      </c>
      <c r="K1469" t="str">
        <f xml:space="preserve"> B1466 &amp; B1469</f>
        <v>Z000154001Z040201013</v>
      </c>
    </row>
    <row r="1470" spans="1:11" outlineLevel="1" x14ac:dyDescent="0.2">
      <c r="A1470" s="29"/>
      <c r="B1470" s="30" t="s">
        <v>801</v>
      </c>
      <c r="C1470" s="30" t="s">
        <v>402</v>
      </c>
      <c r="D1470" s="34" t="s">
        <v>151</v>
      </c>
      <c r="E1470" s="31">
        <v>0</v>
      </c>
      <c r="F1470" s="31">
        <v>10.3</v>
      </c>
      <c r="G1470" s="32">
        <f t="shared" si="238"/>
        <v>0</v>
      </c>
      <c r="H1470" s="33">
        <f t="shared" si="239"/>
        <v>0</v>
      </c>
      <c r="K1470" t="str">
        <f xml:space="preserve"> B1466 &amp; B1470</f>
        <v>Z000154001Z040202006</v>
      </c>
    </row>
    <row r="1471" spans="1:11" outlineLevel="1" x14ac:dyDescent="0.2">
      <c r="A1471" s="29"/>
      <c r="B1471" s="30" t="s">
        <v>968</v>
      </c>
      <c r="C1471" s="30" t="s">
        <v>3448</v>
      </c>
      <c r="D1471" s="34" t="s">
        <v>153</v>
      </c>
      <c r="E1471" s="31">
        <v>6025.2</v>
      </c>
      <c r="F1471" s="31">
        <v>35</v>
      </c>
      <c r="G1471" s="32">
        <f t="shared" si="238"/>
        <v>210882</v>
      </c>
      <c r="H1471" s="33">
        <f t="shared" si="239"/>
        <v>1.0934339029625233E-3</v>
      </c>
      <c r="K1471" t="str">
        <f xml:space="preserve"> B1466 &amp; B1471</f>
        <v>Z000154001Z040308021</v>
      </c>
    </row>
    <row r="1472" spans="1:11" outlineLevel="1" x14ac:dyDescent="0.2">
      <c r="A1472" s="29"/>
      <c r="B1472" s="30" t="s">
        <v>498</v>
      </c>
      <c r="C1472" s="30" t="s">
        <v>773</v>
      </c>
      <c r="D1472" s="34" t="s">
        <v>84</v>
      </c>
      <c r="E1472" s="31">
        <v>7230.24</v>
      </c>
      <c r="F1472" s="31">
        <v>0</v>
      </c>
      <c r="G1472" s="32">
        <f t="shared" si="238"/>
        <v>0</v>
      </c>
      <c r="H1472" s="33">
        <f t="shared" si="239"/>
        <v>0</v>
      </c>
      <c r="K1472" t="str">
        <f xml:space="preserve"> B1466 &amp; B1472</f>
        <v>Z000154001Z040401001</v>
      </c>
    </row>
    <row r="1473" spans="1:11" x14ac:dyDescent="0.2">
      <c r="A1473" s="23" t="s">
        <v>1110</v>
      </c>
      <c r="B1473" s="23" t="s">
        <v>328</v>
      </c>
      <c r="C1473" s="23" t="s">
        <v>1810</v>
      </c>
      <c r="D1473" s="24"/>
      <c r="E1473" s="25"/>
      <c r="F1473" s="26"/>
      <c r="G1473" s="27">
        <f>SUM(G1474)</f>
        <v>73976.069512799993</v>
      </c>
      <c r="H1473" s="28">
        <f t="shared" si="239"/>
        <v>3.8356968547912019E-4</v>
      </c>
    </row>
    <row r="1474" spans="1:11" outlineLevel="1" x14ac:dyDescent="0.2">
      <c r="A1474" s="11" t="s">
        <v>101</v>
      </c>
      <c r="B1474" s="11" t="s">
        <v>1302</v>
      </c>
      <c r="C1474" s="11" t="s">
        <v>1319</v>
      </c>
      <c r="D1474" s="12" t="s">
        <v>1152</v>
      </c>
      <c r="E1474" s="13">
        <v>11413.92</v>
      </c>
      <c r="F1474" s="14">
        <v>6.4812149999999997</v>
      </c>
      <c r="G1474" s="15">
        <f>SUM(G1475:G1478)</f>
        <v>73976.069512799993</v>
      </c>
      <c r="H1474" s="16">
        <f t="shared" si="239"/>
        <v>3.8356968547912019E-4</v>
      </c>
    </row>
    <row r="1475" spans="1:11" outlineLevel="1" x14ac:dyDescent="0.2">
      <c r="A1475" s="29"/>
      <c r="B1475" s="30" t="s">
        <v>1795</v>
      </c>
      <c r="C1475" s="30" t="s">
        <v>1816</v>
      </c>
      <c r="D1475" s="34" t="s">
        <v>1152</v>
      </c>
      <c r="E1475" s="31">
        <v>11984.616</v>
      </c>
      <c r="F1475" s="31">
        <v>5.8662999999999998</v>
      </c>
      <c r="G1475" s="32">
        <f t="shared" ref="G1475:G1478" si="240">F1475*E1475</f>
        <v>70305.352840799998</v>
      </c>
      <c r="H1475" s="33">
        <f t="shared" si="239"/>
        <v>3.6453683271153188E-4</v>
      </c>
      <c r="K1475" t="str">
        <f xml:space="preserve"> B1474 &amp; B1475</f>
        <v>Z000151016Z030104001</v>
      </c>
    </row>
    <row r="1476" spans="1:11" outlineLevel="1" x14ac:dyDescent="0.2">
      <c r="A1476" s="29"/>
      <c r="B1476" s="30" t="s">
        <v>1650</v>
      </c>
      <c r="C1476" s="30" t="s">
        <v>386</v>
      </c>
      <c r="D1476" s="34" t="s">
        <v>1781</v>
      </c>
      <c r="E1476" s="31">
        <v>456.55680000000001</v>
      </c>
      <c r="F1476" s="31">
        <v>8.0399999999999991</v>
      </c>
      <c r="G1476" s="32">
        <f t="shared" si="240"/>
        <v>3670.7166719999996</v>
      </c>
      <c r="H1476" s="33">
        <f t="shared" si="239"/>
        <v>1.9032852767588339E-5</v>
      </c>
      <c r="K1476" t="str">
        <f xml:space="preserve"> B1474 &amp; B1476</f>
        <v>Z000151016Z030105003</v>
      </c>
    </row>
    <row r="1477" spans="1:11" outlineLevel="1" x14ac:dyDescent="0.2">
      <c r="A1477" s="29"/>
      <c r="B1477" s="30" t="s">
        <v>801</v>
      </c>
      <c r="C1477" s="30" t="s">
        <v>402</v>
      </c>
      <c r="D1477" s="34" t="s">
        <v>151</v>
      </c>
      <c r="E1477" s="31">
        <v>0</v>
      </c>
      <c r="F1477" s="31">
        <v>10.3</v>
      </c>
      <c r="G1477" s="32">
        <f t="shared" si="240"/>
        <v>0</v>
      </c>
      <c r="H1477" s="33">
        <f t="shared" si="239"/>
        <v>0</v>
      </c>
      <c r="K1477" t="str">
        <f xml:space="preserve"> B1474 &amp; B1477</f>
        <v>Z000151016Z040202006</v>
      </c>
    </row>
    <row r="1478" spans="1:11" outlineLevel="1" x14ac:dyDescent="0.2">
      <c r="A1478" s="29"/>
      <c r="B1478" s="30" t="s">
        <v>498</v>
      </c>
      <c r="C1478" s="30" t="s">
        <v>773</v>
      </c>
      <c r="D1478" s="34" t="s">
        <v>84</v>
      </c>
      <c r="E1478" s="31">
        <v>13696.704</v>
      </c>
      <c r="F1478" s="31">
        <v>0</v>
      </c>
      <c r="G1478" s="32">
        <f t="shared" si="240"/>
        <v>0</v>
      </c>
      <c r="H1478" s="33">
        <f t="shared" si="239"/>
        <v>0</v>
      </c>
      <c r="K1478" t="str">
        <f xml:space="preserve"> B1474 &amp; B1478</f>
        <v>Z000151016Z040401001</v>
      </c>
    </row>
    <row r="1479" spans="1:11" ht="15" x14ac:dyDescent="0.2">
      <c r="A1479" s="17" t="s">
        <v>2042</v>
      </c>
      <c r="B1479" s="17" t="s">
        <v>328</v>
      </c>
      <c r="C1479" s="17" t="s">
        <v>646</v>
      </c>
      <c r="D1479" s="18"/>
      <c r="E1479" s="19"/>
      <c r="F1479" s="20"/>
      <c r="G1479" s="21">
        <f>SUM(G1480,G1492)</f>
        <v>1618559.1922956</v>
      </c>
      <c r="H1479" s="22">
        <f t="shared" si="239"/>
        <v>8.3923117895678499E-3</v>
      </c>
    </row>
    <row r="1480" spans="1:11" outlineLevel="1" x14ac:dyDescent="0.2">
      <c r="A1480" s="11" t="s">
        <v>958</v>
      </c>
      <c r="B1480" s="11" t="s">
        <v>1251</v>
      </c>
      <c r="C1480" s="11" t="s">
        <v>3390</v>
      </c>
      <c r="D1480" s="12" t="s">
        <v>1152</v>
      </c>
      <c r="E1480" s="13">
        <v>6387.96</v>
      </c>
      <c r="F1480" s="14">
        <v>177.90785</v>
      </c>
      <c r="G1480" s="15">
        <f>SUM(G1481:G1491)</f>
        <v>1136468.229486</v>
      </c>
      <c r="H1480" s="16">
        <f t="shared" si="239"/>
        <v>5.8926456110990301E-3</v>
      </c>
    </row>
    <row r="1481" spans="1:11" outlineLevel="1" x14ac:dyDescent="0.2">
      <c r="A1481" s="29"/>
      <c r="B1481" s="30" t="s">
        <v>853</v>
      </c>
      <c r="C1481" s="30" t="s">
        <v>980</v>
      </c>
      <c r="D1481" s="34" t="s">
        <v>1052</v>
      </c>
      <c r="E1481" s="31">
        <v>58322.074800000002</v>
      </c>
      <c r="F1481" s="31">
        <v>0.9</v>
      </c>
      <c r="G1481" s="32">
        <f t="shared" ref="G1481:G1491" si="241">F1481*E1481</f>
        <v>52489.867320000005</v>
      </c>
      <c r="H1481" s="33">
        <f t="shared" si="239"/>
        <v>2.7216263355664595E-4</v>
      </c>
      <c r="K1481" t="str">
        <f xml:space="preserve"> B1480 &amp; B1481</f>
        <v>Z000151006Z020201001</v>
      </c>
    </row>
    <row r="1482" spans="1:11" outlineLevel="1" x14ac:dyDescent="0.2">
      <c r="A1482" s="29"/>
      <c r="B1482" s="30" t="s">
        <v>706</v>
      </c>
      <c r="C1482" s="30" t="s">
        <v>130</v>
      </c>
      <c r="D1482" s="34" t="s">
        <v>1052</v>
      </c>
      <c r="E1482" s="31">
        <v>677.12375999999995</v>
      </c>
      <c r="F1482" s="31">
        <v>8</v>
      </c>
      <c r="G1482" s="32">
        <f t="shared" si="241"/>
        <v>5416.9900799999996</v>
      </c>
      <c r="H1482" s="33">
        <f t="shared" si="239"/>
        <v>2.8087369265673083E-5</v>
      </c>
      <c r="K1482" t="str">
        <f xml:space="preserve"> B1480 &amp; B1482</f>
        <v>Z000151006Z020202001</v>
      </c>
    </row>
    <row r="1483" spans="1:11" outlineLevel="1" x14ac:dyDescent="0.2">
      <c r="A1483" s="29"/>
      <c r="B1483" s="30" t="s">
        <v>1549</v>
      </c>
      <c r="C1483" s="30" t="s">
        <v>486</v>
      </c>
      <c r="D1483" s="34" t="s">
        <v>1152</v>
      </c>
      <c r="E1483" s="31">
        <v>7984.95</v>
      </c>
      <c r="F1483" s="31">
        <v>51.5</v>
      </c>
      <c r="G1483" s="32">
        <f t="shared" si="241"/>
        <v>411224.92499999999</v>
      </c>
      <c r="H1483" s="33">
        <f t="shared" si="239"/>
        <v>2.1322221656576708E-3</v>
      </c>
      <c r="K1483" t="str">
        <f xml:space="preserve"> B1480 &amp; B1483</f>
        <v>Z000151006Z020302005</v>
      </c>
    </row>
    <row r="1484" spans="1:11" outlineLevel="1" x14ac:dyDescent="0.2">
      <c r="A1484" s="29"/>
      <c r="B1484" s="30" t="s">
        <v>1503</v>
      </c>
      <c r="C1484" s="30" t="s">
        <v>464</v>
      </c>
      <c r="D1484" s="34" t="s">
        <v>1667</v>
      </c>
      <c r="E1484" s="31">
        <v>51103.68</v>
      </c>
      <c r="F1484" s="31">
        <v>0.05</v>
      </c>
      <c r="G1484" s="32">
        <f t="shared" si="241"/>
        <v>2555.1840000000002</v>
      </c>
      <c r="H1484" s="33">
        <f t="shared" si="239"/>
        <v>1.3248759087581645E-5</v>
      </c>
      <c r="K1484" t="str">
        <f xml:space="preserve"> B1480 &amp; B1484</f>
        <v>Z000151006Z030106001</v>
      </c>
    </row>
    <row r="1485" spans="1:11" outlineLevel="1" x14ac:dyDescent="0.2">
      <c r="A1485" s="29"/>
      <c r="B1485" s="30" t="s">
        <v>1507</v>
      </c>
      <c r="C1485" s="30" t="s">
        <v>1272</v>
      </c>
      <c r="D1485" s="34" t="s">
        <v>1667</v>
      </c>
      <c r="E1485" s="31">
        <v>25551.84</v>
      </c>
      <c r="F1485" s="31">
        <v>1.6400000000000001E-2</v>
      </c>
      <c r="G1485" s="32">
        <f t="shared" si="241"/>
        <v>419.05017600000002</v>
      </c>
      <c r="H1485" s="33">
        <f t="shared" si="239"/>
        <v>2.1727964903633898E-6</v>
      </c>
      <c r="K1485" t="str">
        <f xml:space="preserve"> B1480 &amp; B1485</f>
        <v>Z000151006Z030106002</v>
      </c>
    </row>
    <row r="1486" spans="1:11" outlineLevel="1" x14ac:dyDescent="0.2">
      <c r="A1486" s="29"/>
      <c r="B1486" s="30" t="s">
        <v>939</v>
      </c>
      <c r="C1486" s="30" t="s">
        <v>640</v>
      </c>
      <c r="D1486" s="34" t="s">
        <v>151</v>
      </c>
      <c r="E1486" s="31">
        <v>0</v>
      </c>
      <c r="F1486" s="31">
        <v>21.15</v>
      </c>
      <c r="G1486" s="32">
        <f t="shared" si="241"/>
        <v>0</v>
      </c>
      <c r="H1486" s="33">
        <f t="shared" si="239"/>
        <v>0</v>
      </c>
      <c r="K1486" t="str">
        <f xml:space="preserve"> B1480 &amp; B1486</f>
        <v>Z000151006Z040201003</v>
      </c>
    </row>
    <row r="1487" spans="1:11" outlineLevel="1" x14ac:dyDescent="0.2">
      <c r="A1487" s="29"/>
      <c r="B1487" s="30" t="s">
        <v>801</v>
      </c>
      <c r="C1487" s="30" t="s">
        <v>402</v>
      </c>
      <c r="D1487" s="34" t="s">
        <v>151</v>
      </c>
      <c r="E1487" s="31">
        <v>0</v>
      </c>
      <c r="F1487" s="31">
        <v>10.3</v>
      </c>
      <c r="G1487" s="32">
        <f t="shared" si="241"/>
        <v>0</v>
      </c>
      <c r="H1487" s="33">
        <f t="shared" si="239"/>
        <v>0</v>
      </c>
      <c r="K1487" t="str">
        <f xml:space="preserve"> B1480 &amp; B1487</f>
        <v>Z000151006Z040202006</v>
      </c>
    </row>
    <row r="1488" spans="1:11" outlineLevel="1" x14ac:dyDescent="0.2">
      <c r="A1488" s="29"/>
      <c r="B1488" s="30" t="s">
        <v>833</v>
      </c>
      <c r="C1488" s="30" t="s">
        <v>3384</v>
      </c>
      <c r="D1488" s="34" t="s">
        <v>1152</v>
      </c>
      <c r="E1488" s="31">
        <v>6387.96</v>
      </c>
      <c r="F1488" s="31">
        <v>90</v>
      </c>
      <c r="G1488" s="32">
        <f t="shared" si="241"/>
        <v>574916.4</v>
      </c>
      <c r="H1488" s="33">
        <f t="shared" si="239"/>
        <v>2.98097079470587E-3</v>
      </c>
      <c r="K1488" t="str">
        <f xml:space="preserve"> B1480 &amp; B1488</f>
        <v>Z000151006Z040308004</v>
      </c>
    </row>
    <row r="1489" spans="1:11" outlineLevel="1" x14ac:dyDescent="0.2">
      <c r="A1489" s="29"/>
      <c r="B1489" s="30" t="s">
        <v>903</v>
      </c>
      <c r="C1489" s="30" t="s">
        <v>864</v>
      </c>
      <c r="D1489" s="34" t="s">
        <v>1152</v>
      </c>
      <c r="E1489" s="31">
        <v>6387.96</v>
      </c>
      <c r="F1489" s="31">
        <v>3.5</v>
      </c>
      <c r="G1489" s="32">
        <f t="shared" si="241"/>
        <v>22357.86</v>
      </c>
      <c r="H1489" s="33">
        <f t="shared" si="239"/>
        <v>1.1592664201633938E-4</v>
      </c>
      <c r="K1489" t="str">
        <f xml:space="preserve"> B1480 &amp; B1489</f>
        <v>Z000151006Z040308018</v>
      </c>
    </row>
    <row r="1490" spans="1:11" outlineLevel="1" x14ac:dyDescent="0.2">
      <c r="A1490" s="29"/>
      <c r="B1490" s="30" t="s">
        <v>498</v>
      </c>
      <c r="C1490" s="30" t="s">
        <v>773</v>
      </c>
      <c r="D1490" s="34" t="s">
        <v>84</v>
      </c>
      <c r="E1490" s="31">
        <v>7665.5519999999997</v>
      </c>
      <c r="F1490" s="31">
        <v>0</v>
      </c>
      <c r="G1490" s="32">
        <f t="shared" si="241"/>
        <v>0</v>
      </c>
      <c r="H1490" s="33">
        <f t="shared" si="239"/>
        <v>0</v>
      </c>
      <c r="K1490" t="str">
        <f xml:space="preserve"> B1480 &amp; B1490</f>
        <v>Z000151006Z040401001</v>
      </c>
    </row>
    <row r="1491" spans="1:11" outlineLevel="1" x14ac:dyDescent="0.2">
      <c r="A1491" s="29"/>
      <c r="B1491" s="30" t="s">
        <v>941</v>
      </c>
      <c r="C1491" s="30" t="s">
        <v>1485</v>
      </c>
      <c r="D1491" s="34" t="s">
        <v>1819</v>
      </c>
      <c r="E1491" s="31">
        <v>7984.95</v>
      </c>
      <c r="F1491" s="31">
        <v>8.4017999999999997</v>
      </c>
      <c r="G1491" s="32">
        <f t="shared" si="241"/>
        <v>67087.952909999993</v>
      </c>
      <c r="H1491" s="33">
        <f t="shared" si="239"/>
        <v>3.4785445031888573E-4</v>
      </c>
      <c r="K1491" t="str">
        <f xml:space="preserve"> B1480 &amp; B1491</f>
        <v>Z000151006Z060101021</v>
      </c>
    </row>
    <row r="1492" spans="1:11" outlineLevel="1" x14ac:dyDescent="0.2">
      <c r="A1492" s="11" t="s">
        <v>964</v>
      </c>
      <c r="B1492" s="11" t="s">
        <v>1124</v>
      </c>
      <c r="C1492" s="11" t="s">
        <v>3430</v>
      </c>
      <c r="D1492" s="12" t="s">
        <v>1152</v>
      </c>
      <c r="E1492" s="13">
        <v>392.68799999999999</v>
      </c>
      <c r="F1492" s="14">
        <v>1227.6692</v>
      </c>
      <c r="G1492" s="15">
        <f>SUM(G1493:G1502)</f>
        <v>482090.96280959999</v>
      </c>
      <c r="H1492" s="16">
        <f t="shared" si="239"/>
        <v>2.4996661784688194E-3</v>
      </c>
    </row>
    <row r="1493" spans="1:11" outlineLevel="1" x14ac:dyDescent="0.2">
      <c r="A1493" s="29"/>
      <c r="B1493" s="30" t="s">
        <v>853</v>
      </c>
      <c r="C1493" s="30" t="s">
        <v>980</v>
      </c>
      <c r="D1493" s="34" t="s">
        <v>1052</v>
      </c>
      <c r="E1493" s="31">
        <v>3384.9705599999998</v>
      </c>
      <c r="F1493" s="31">
        <v>0.9</v>
      </c>
      <c r="G1493" s="32">
        <f t="shared" ref="G1493:G1502" si="242">F1493*E1493</f>
        <v>3046.473504</v>
      </c>
      <c r="H1493" s="33">
        <f t="shared" si="239"/>
        <v>1.5796120170287813E-5</v>
      </c>
      <c r="K1493" t="str">
        <f xml:space="preserve"> B1492 &amp; B1493</f>
        <v>Z000153024Z020201001</v>
      </c>
    </row>
    <row r="1494" spans="1:11" outlineLevel="1" x14ac:dyDescent="0.2">
      <c r="A1494" s="29"/>
      <c r="B1494" s="30" t="s">
        <v>706</v>
      </c>
      <c r="C1494" s="30" t="s">
        <v>130</v>
      </c>
      <c r="D1494" s="34" t="s">
        <v>1052</v>
      </c>
      <c r="E1494" s="31">
        <v>54.976320000000001</v>
      </c>
      <c r="F1494" s="31">
        <v>8</v>
      </c>
      <c r="G1494" s="32">
        <f t="shared" si="242"/>
        <v>439.81056000000001</v>
      </c>
      <c r="H1494" s="33">
        <f t="shared" si="239"/>
        <v>2.2804401380152554E-6</v>
      </c>
      <c r="K1494" t="str">
        <f xml:space="preserve"> B1492 &amp; B1494</f>
        <v>Z000153024Z020202001</v>
      </c>
    </row>
    <row r="1495" spans="1:11" outlineLevel="1" x14ac:dyDescent="0.2">
      <c r="A1495" s="29"/>
      <c r="B1495" s="30" t="s">
        <v>1908</v>
      </c>
      <c r="C1495" s="30" t="s">
        <v>1923</v>
      </c>
      <c r="D1495" s="34" t="s">
        <v>1152</v>
      </c>
      <c r="E1495" s="31">
        <v>431.95680000000004</v>
      </c>
      <c r="F1495" s="31">
        <v>957.99199999999996</v>
      </c>
      <c r="G1495" s="32">
        <f t="shared" si="242"/>
        <v>413811.15874560003</v>
      </c>
      <c r="H1495" s="33">
        <f t="shared" si="239"/>
        <v>2.1456319192564837E-3</v>
      </c>
      <c r="K1495" t="str">
        <f xml:space="preserve"> B1492 &amp; B1495</f>
        <v>Z000153024Z020301037</v>
      </c>
    </row>
    <row r="1496" spans="1:11" outlineLevel="1" x14ac:dyDescent="0.2">
      <c r="A1496" s="29"/>
      <c r="B1496" s="30" t="s">
        <v>1006</v>
      </c>
      <c r="C1496" s="30" t="s">
        <v>699</v>
      </c>
      <c r="D1496" s="34" t="s">
        <v>151</v>
      </c>
      <c r="E1496" s="31">
        <v>0</v>
      </c>
      <c r="F1496" s="31">
        <v>28.988</v>
      </c>
      <c r="G1496" s="32">
        <f t="shared" si="242"/>
        <v>0</v>
      </c>
      <c r="H1496" s="33">
        <f t="shared" si="239"/>
        <v>0</v>
      </c>
      <c r="K1496" t="str">
        <f xml:space="preserve"> B1492 &amp; B1496</f>
        <v>Z000153024Z040201011</v>
      </c>
    </row>
    <row r="1497" spans="1:11" outlineLevel="1" x14ac:dyDescent="0.2">
      <c r="A1497" s="29"/>
      <c r="B1497" s="30" t="s">
        <v>801</v>
      </c>
      <c r="C1497" s="30" t="s">
        <v>402</v>
      </c>
      <c r="D1497" s="34" t="s">
        <v>151</v>
      </c>
      <c r="E1497" s="31">
        <v>0</v>
      </c>
      <c r="F1497" s="31">
        <v>10.3</v>
      </c>
      <c r="G1497" s="32">
        <f t="shared" si="242"/>
        <v>0</v>
      </c>
      <c r="H1497" s="33">
        <f t="shared" si="239"/>
        <v>0</v>
      </c>
      <c r="K1497" t="str">
        <f xml:space="preserve"> B1492 &amp; B1497</f>
        <v>Z000153024Z040202006</v>
      </c>
    </row>
    <row r="1498" spans="1:11" outlineLevel="1" x14ac:dyDescent="0.2">
      <c r="A1498" s="29"/>
      <c r="B1498" s="30" t="s">
        <v>824</v>
      </c>
      <c r="C1498" s="30" t="s">
        <v>3418</v>
      </c>
      <c r="D1498" s="34" t="s">
        <v>1152</v>
      </c>
      <c r="E1498" s="31">
        <v>431.95680000000004</v>
      </c>
      <c r="F1498" s="31">
        <v>25</v>
      </c>
      <c r="G1498" s="32">
        <f t="shared" si="242"/>
        <v>10798.920000000002</v>
      </c>
      <c r="H1498" s="33">
        <f t="shared" si="239"/>
        <v>5.5992949817338863E-5</v>
      </c>
      <c r="K1498" t="str">
        <f xml:space="preserve"> B1492 &amp; B1498</f>
        <v>Z000153024Z040308001</v>
      </c>
    </row>
    <row r="1499" spans="1:11" outlineLevel="1" x14ac:dyDescent="0.2">
      <c r="A1499" s="29"/>
      <c r="B1499" s="30" t="s">
        <v>838</v>
      </c>
      <c r="C1499" s="30" t="s">
        <v>3419</v>
      </c>
      <c r="D1499" s="34" t="s">
        <v>1152</v>
      </c>
      <c r="E1499" s="31">
        <v>392.68799999999999</v>
      </c>
      <c r="F1499" s="31">
        <v>90</v>
      </c>
      <c r="G1499" s="32">
        <f t="shared" si="242"/>
        <v>35341.919999999998</v>
      </c>
      <c r="H1499" s="33">
        <f t="shared" si="239"/>
        <v>1.8324965394765443E-4</v>
      </c>
      <c r="K1499" t="str">
        <f xml:space="preserve"> B1492 &amp; B1499</f>
        <v>Z000153024Z040308006</v>
      </c>
    </row>
    <row r="1500" spans="1:11" outlineLevel="1" x14ac:dyDescent="0.2">
      <c r="A1500" s="29"/>
      <c r="B1500" s="30" t="s">
        <v>903</v>
      </c>
      <c r="C1500" s="30" t="s">
        <v>864</v>
      </c>
      <c r="D1500" s="34" t="s">
        <v>1152</v>
      </c>
      <c r="E1500" s="31">
        <v>392.68799999999999</v>
      </c>
      <c r="F1500" s="31">
        <v>3.5</v>
      </c>
      <c r="G1500" s="32">
        <f t="shared" si="242"/>
        <v>1374.4079999999999</v>
      </c>
      <c r="H1500" s="33">
        <f t="shared" si="239"/>
        <v>7.1263754312976715E-6</v>
      </c>
      <c r="K1500" t="str">
        <f xml:space="preserve"> B1492 &amp; B1500</f>
        <v>Z000153024Z040308018</v>
      </c>
    </row>
    <row r="1501" spans="1:11" outlineLevel="1" x14ac:dyDescent="0.2">
      <c r="A1501" s="29"/>
      <c r="B1501" s="30" t="s">
        <v>498</v>
      </c>
      <c r="C1501" s="30" t="s">
        <v>773</v>
      </c>
      <c r="D1501" s="34" t="s">
        <v>84</v>
      </c>
      <c r="E1501" s="31">
        <v>471.22559999999999</v>
      </c>
      <c r="F1501" s="31">
        <v>0</v>
      </c>
      <c r="G1501" s="32">
        <f t="shared" si="242"/>
        <v>0</v>
      </c>
      <c r="H1501" s="33">
        <f t="shared" si="239"/>
        <v>0</v>
      </c>
      <c r="K1501" t="str">
        <f xml:space="preserve"> B1492 &amp; B1501</f>
        <v>Z000153024Z040401001</v>
      </c>
    </row>
    <row r="1502" spans="1:11" outlineLevel="1" x14ac:dyDescent="0.2">
      <c r="A1502" s="29"/>
      <c r="B1502" s="30" t="s">
        <v>946</v>
      </c>
      <c r="C1502" s="30" t="s">
        <v>1695</v>
      </c>
      <c r="D1502" s="34" t="s">
        <v>1819</v>
      </c>
      <c r="E1502" s="31">
        <v>431.95680000000004</v>
      </c>
      <c r="F1502" s="31">
        <v>40</v>
      </c>
      <c r="G1502" s="32">
        <f t="shared" si="242"/>
        <v>17278.272000000001</v>
      </c>
      <c r="H1502" s="33">
        <f t="shared" si="239"/>
        <v>8.9588719707742171E-5</v>
      </c>
      <c r="K1502" t="str">
        <f xml:space="preserve"> B1492 &amp; B1502</f>
        <v>Z000153024Z060101023</v>
      </c>
    </row>
    <row r="1503" spans="1:11" ht="15" x14ac:dyDescent="0.2">
      <c r="A1503" s="17" t="s">
        <v>2043</v>
      </c>
      <c r="B1503" s="17" t="s">
        <v>328</v>
      </c>
      <c r="C1503" s="17" t="s">
        <v>4747</v>
      </c>
      <c r="D1503" s="18"/>
      <c r="E1503" s="19"/>
      <c r="F1503" s="20"/>
      <c r="G1503" s="21">
        <f>SUM(G1504,G1513,G1522,G1531,G1543)</f>
        <v>2069356.5467613121</v>
      </c>
      <c r="H1503" s="22">
        <f t="shared" si="239"/>
        <v>1.0729719016067141E-2</v>
      </c>
    </row>
    <row r="1504" spans="1:11" outlineLevel="1" x14ac:dyDescent="0.2">
      <c r="A1504" s="11" t="s">
        <v>808</v>
      </c>
      <c r="B1504" s="11" t="s">
        <v>645</v>
      </c>
      <c r="C1504" s="11" t="s">
        <v>3481</v>
      </c>
      <c r="D1504" s="12" t="s">
        <v>153</v>
      </c>
      <c r="E1504" s="13">
        <v>1362</v>
      </c>
      <c r="F1504" s="14">
        <v>226.736884</v>
      </c>
      <c r="G1504" s="15">
        <f>SUM(G1505:G1512)</f>
        <v>308815.636008</v>
      </c>
      <c r="H1504" s="16">
        <f t="shared" si="239"/>
        <v>1.6012247900535912E-3</v>
      </c>
    </row>
    <row r="1505" spans="1:11" outlineLevel="1" x14ac:dyDescent="0.2">
      <c r="A1505" s="29"/>
      <c r="B1505" s="30" t="s">
        <v>853</v>
      </c>
      <c r="C1505" s="30" t="s">
        <v>980</v>
      </c>
      <c r="D1505" s="34" t="s">
        <v>1052</v>
      </c>
      <c r="E1505" s="31">
        <v>2342.64</v>
      </c>
      <c r="F1505" s="31">
        <v>0.9</v>
      </c>
      <c r="G1505" s="32">
        <f t="shared" ref="G1505:G1512" si="243">F1505*E1505</f>
        <v>2108.3759999999997</v>
      </c>
      <c r="H1505" s="33">
        <f t="shared" si="239"/>
        <v>1.0932036867027593E-5</v>
      </c>
      <c r="K1505" t="str">
        <f xml:space="preserve"> B1504 &amp; B1505</f>
        <v>Z000157034Z020201001</v>
      </c>
    </row>
    <row r="1506" spans="1:11" outlineLevel="1" x14ac:dyDescent="0.2">
      <c r="A1506" s="29"/>
      <c r="B1506" s="30" t="s">
        <v>357</v>
      </c>
      <c r="C1506" s="30" t="s">
        <v>3482</v>
      </c>
      <c r="D1506" s="34" t="s">
        <v>1152</v>
      </c>
      <c r="E1506" s="31">
        <v>299.64</v>
      </c>
      <c r="F1506" s="31">
        <v>822.22220000000004</v>
      </c>
      <c r="G1506" s="32">
        <f t="shared" si="243"/>
        <v>246370.66000800001</v>
      </c>
      <c r="H1506" s="33">
        <f t="shared" si="239"/>
        <v>1.2774444113200763E-3</v>
      </c>
      <c r="K1506" t="str">
        <f xml:space="preserve"> B1504 &amp; B1506</f>
        <v>Z000157034Z020403020</v>
      </c>
    </row>
    <row r="1507" spans="1:11" outlineLevel="1" x14ac:dyDescent="0.2">
      <c r="A1507" s="29"/>
      <c r="B1507" s="30" t="s">
        <v>1006</v>
      </c>
      <c r="C1507" s="30" t="s">
        <v>699</v>
      </c>
      <c r="D1507" s="34" t="s">
        <v>151</v>
      </c>
      <c r="E1507" s="31">
        <v>0</v>
      </c>
      <c r="F1507" s="31">
        <v>28.988</v>
      </c>
      <c r="G1507" s="32">
        <f t="shared" si="243"/>
        <v>0</v>
      </c>
      <c r="H1507" s="33">
        <f t="shared" si="239"/>
        <v>0</v>
      </c>
      <c r="K1507" t="str">
        <f xml:space="preserve"> B1504 &amp; B1507</f>
        <v>Z000157034Z040201011</v>
      </c>
    </row>
    <row r="1508" spans="1:11" outlineLevel="1" x14ac:dyDescent="0.2">
      <c r="A1508" s="29"/>
      <c r="B1508" s="30" t="s">
        <v>801</v>
      </c>
      <c r="C1508" s="30" t="s">
        <v>402</v>
      </c>
      <c r="D1508" s="34" t="s">
        <v>151</v>
      </c>
      <c r="E1508" s="31">
        <v>0</v>
      </c>
      <c r="F1508" s="31">
        <v>10.3</v>
      </c>
      <c r="G1508" s="32">
        <f t="shared" si="243"/>
        <v>0</v>
      </c>
      <c r="H1508" s="33">
        <f t="shared" si="239"/>
        <v>0</v>
      </c>
      <c r="K1508" t="str">
        <f xml:space="preserve"> B1504 &amp; B1508</f>
        <v>Z000157034Z040202006</v>
      </c>
    </row>
    <row r="1509" spans="1:11" outlineLevel="1" x14ac:dyDescent="0.2">
      <c r="A1509" s="29"/>
      <c r="B1509" s="30" t="s">
        <v>824</v>
      </c>
      <c r="C1509" s="30" t="s">
        <v>3418</v>
      </c>
      <c r="D1509" s="34" t="s">
        <v>1152</v>
      </c>
      <c r="E1509" s="31">
        <v>299.64</v>
      </c>
      <c r="F1509" s="31">
        <v>25</v>
      </c>
      <c r="G1509" s="32">
        <f t="shared" si="243"/>
        <v>7491</v>
      </c>
      <c r="H1509" s="33">
        <f t="shared" si="239"/>
        <v>3.8841216258818968E-5</v>
      </c>
      <c r="K1509" t="str">
        <f xml:space="preserve"> B1504 &amp; B1509</f>
        <v>Z000157034Z040308001</v>
      </c>
    </row>
    <row r="1510" spans="1:11" outlineLevel="1" x14ac:dyDescent="0.2">
      <c r="A1510" s="29"/>
      <c r="B1510" s="30" t="s">
        <v>890</v>
      </c>
      <c r="C1510" s="30" t="s">
        <v>3487</v>
      </c>
      <c r="D1510" s="34" t="s">
        <v>153</v>
      </c>
      <c r="E1510" s="31">
        <v>1362</v>
      </c>
      <c r="F1510" s="31">
        <v>30</v>
      </c>
      <c r="G1510" s="32">
        <f t="shared" si="243"/>
        <v>40860</v>
      </c>
      <c r="H1510" s="33">
        <f t="shared" ref="H1510:H1573" si="244">G1510/$F$2</f>
        <v>2.1186117959355803E-4</v>
      </c>
      <c r="K1510" t="str">
        <f xml:space="preserve"> B1504 &amp; B1510</f>
        <v>Z000157034Z040308014</v>
      </c>
    </row>
    <row r="1511" spans="1:11" outlineLevel="1" x14ac:dyDescent="0.2">
      <c r="A1511" s="29"/>
      <c r="B1511" s="30" t="s">
        <v>498</v>
      </c>
      <c r="C1511" s="30" t="s">
        <v>773</v>
      </c>
      <c r="D1511" s="34" t="s">
        <v>84</v>
      </c>
      <c r="E1511" s="31">
        <v>1634.3999999999999</v>
      </c>
      <c r="F1511" s="31">
        <v>0</v>
      </c>
      <c r="G1511" s="32">
        <f t="shared" si="243"/>
        <v>0</v>
      </c>
      <c r="H1511" s="33">
        <f t="shared" si="244"/>
        <v>0</v>
      </c>
      <c r="K1511" t="str">
        <f xml:space="preserve"> B1504 &amp; B1511</f>
        <v>Z000157034Z040401001</v>
      </c>
    </row>
    <row r="1512" spans="1:11" outlineLevel="1" x14ac:dyDescent="0.2">
      <c r="A1512" s="29"/>
      <c r="B1512" s="30" t="s">
        <v>946</v>
      </c>
      <c r="C1512" s="30" t="s">
        <v>1695</v>
      </c>
      <c r="D1512" s="34" t="s">
        <v>1819</v>
      </c>
      <c r="E1512" s="31">
        <v>299.64</v>
      </c>
      <c r="F1512" s="31">
        <v>40</v>
      </c>
      <c r="G1512" s="32">
        <f t="shared" si="243"/>
        <v>11985.599999999999</v>
      </c>
      <c r="H1512" s="33">
        <f t="shared" si="244"/>
        <v>6.2145946014110346E-5</v>
      </c>
      <c r="K1512" t="str">
        <f xml:space="preserve"> B1504 &amp; B1512</f>
        <v>Z000157034Z060101023</v>
      </c>
    </row>
    <row r="1513" spans="1:11" outlineLevel="1" x14ac:dyDescent="0.2">
      <c r="A1513" s="11" t="s">
        <v>812</v>
      </c>
      <c r="B1513" s="11" t="s">
        <v>651</v>
      </c>
      <c r="C1513" s="11" t="s">
        <v>3503</v>
      </c>
      <c r="D1513" s="12" t="s">
        <v>153</v>
      </c>
      <c r="E1513" s="13">
        <v>2699.52</v>
      </c>
      <c r="F1513" s="14">
        <v>226.736884</v>
      </c>
      <c r="G1513" s="15">
        <f>SUM(G1514:G1521)</f>
        <v>612080.75309568003</v>
      </c>
      <c r="H1513" s="16">
        <f t="shared" si="244"/>
        <v>3.1736698570084217E-3</v>
      </c>
    </row>
    <row r="1514" spans="1:11" outlineLevel="1" x14ac:dyDescent="0.2">
      <c r="A1514" s="29"/>
      <c r="B1514" s="30" t="s">
        <v>853</v>
      </c>
      <c r="C1514" s="30" t="s">
        <v>980</v>
      </c>
      <c r="D1514" s="34" t="s">
        <v>1052</v>
      </c>
      <c r="E1514" s="31">
        <v>4643.1743999999999</v>
      </c>
      <c r="F1514" s="31">
        <v>0.9</v>
      </c>
      <c r="G1514" s="32">
        <f t="shared" ref="G1514:G1521" si="245">F1514*E1514</f>
        <v>4178.8569600000001</v>
      </c>
      <c r="H1514" s="33">
        <f t="shared" si="244"/>
        <v>2.1667586022965002E-5</v>
      </c>
      <c r="K1514" t="str">
        <f xml:space="preserve"> B1513 &amp; B1514</f>
        <v>Z000157036Z020201001</v>
      </c>
    </row>
    <row r="1515" spans="1:11" outlineLevel="1" x14ac:dyDescent="0.2">
      <c r="A1515" s="29"/>
      <c r="B1515" s="30" t="s">
        <v>357</v>
      </c>
      <c r="C1515" s="30" t="s">
        <v>3482</v>
      </c>
      <c r="D1515" s="34" t="s">
        <v>1152</v>
      </c>
      <c r="E1515" s="31">
        <v>593.89440000000002</v>
      </c>
      <c r="F1515" s="31">
        <v>822.22220000000004</v>
      </c>
      <c r="G1515" s="32">
        <f t="shared" si="245"/>
        <v>488313.16013568005</v>
      </c>
      <c r="H1515" s="33">
        <f t="shared" si="244"/>
        <v>2.5319285882869106E-3</v>
      </c>
      <c r="K1515" t="str">
        <f xml:space="preserve"> B1513 &amp; B1515</f>
        <v>Z000157036Z020403020</v>
      </c>
    </row>
    <row r="1516" spans="1:11" outlineLevel="1" x14ac:dyDescent="0.2">
      <c r="A1516" s="29"/>
      <c r="B1516" s="30" t="s">
        <v>1006</v>
      </c>
      <c r="C1516" s="30" t="s">
        <v>699</v>
      </c>
      <c r="D1516" s="34" t="s">
        <v>151</v>
      </c>
      <c r="E1516" s="31">
        <v>0</v>
      </c>
      <c r="F1516" s="31">
        <v>28.988</v>
      </c>
      <c r="G1516" s="32">
        <f t="shared" si="245"/>
        <v>0</v>
      </c>
      <c r="H1516" s="33">
        <f t="shared" si="244"/>
        <v>0</v>
      </c>
      <c r="K1516" t="str">
        <f xml:space="preserve"> B1513 &amp; B1516</f>
        <v>Z000157036Z040201011</v>
      </c>
    </row>
    <row r="1517" spans="1:11" outlineLevel="1" x14ac:dyDescent="0.2">
      <c r="A1517" s="29"/>
      <c r="B1517" s="30" t="s">
        <v>801</v>
      </c>
      <c r="C1517" s="30" t="s">
        <v>402</v>
      </c>
      <c r="D1517" s="34" t="s">
        <v>151</v>
      </c>
      <c r="E1517" s="31">
        <v>0</v>
      </c>
      <c r="F1517" s="31">
        <v>10.3</v>
      </c>
      <c r="G1517" s="32">
        <f t="shared" si="245"/>
        <v>0</v>
      </c>
      <c r="H1517" s="33">
        <f t="shared" si="244"/>
        <v>0</v>
      </c>
      <c r="K1517" t="str">
        <f xml:space="preserve"> B1513 &amp; B1517</f>
        <v>Z000157036Z040202006</v>
      </c>
    </row>
    <row r="1518" spans="1:11" outlineLevel="1" x14ac:dyDescent="0.2">
      <c r="A1518" s="29"/>
      <c r="B1518" s="30" t="s">
        <v>824</v>
      </c>
      <c r="C1518" s="30" t="s">
        <v>3418</v>
      </c>
      <c r="D1518" s="34" t="s">
        <v>1152</v>
      </c>
      <c r="E1518" s="31">
        <v>593.89440000000002</v>
      </c>
      <c r="F1518" s="31">
        <v>25</v>
      </c>
      <c r="G1518" s="32">
        <f t="shared" si="245"/>
        <v>14847.36</v>
      </c>
      <c r="H1518" s="33">
        <f t="shared" si="244"/>
        <v>7.6984317265056532E-5</v>
      </c>
      <c r="K1518" t="str">
        <f xml:space="preserve"> B1513 &amp; B1518</f>
        <v>Z000157036Z040308001</v>
      </c>
    </row>
    <row r="1519" spans="1:11" outlineLevel="1" x14ac:dyDescent="0.2">
      <c r="A1519" s="29"/>
      <c r="B1519" s="30" t="s">
        <v>991</v>
      </c>
      <c r="C1519" s="30" t="s">
        <v>3508</v>
      </c>
      <c r="D1519" s="34" t="s">
        <v>153</v>
      </c>
      <c r="E1519" s="31">
        <v>2699.52</v>
      </c>
      <c r="F1519" s="31">
        <v>30</v>
      </c>
      <c r="G1519" s="32">
        <f t="shared" si="245"/>
        <v>80985.600000000006</v>
      </c>
      <c r="H1519" s="33">
        <f t="shared" si="244"/>
        <v>4.1991445780939924E-4</v>
      </c>
      <c r="K1519" t="str">
        <f xml:space="preserve"> B1513 &amp; B1519</f>
        <v>Z000157036Z040308029</v>
      </c>
    </row>
    <row r="1520" spans="1:11" outlineLevel="1" x14ac:dyDescent="0.2">
      <c r="A1520" s="29"/>
      <c r="B1520" s="30" t="s">
        <v>498</v>
      </c>
      <c r="C1520" s="30" t="s">
        <v>773</v>
      </c>
      <c r="D1520" s="34" t="s">
        <v>84</v>
      </c>
      <c r="E1520" s="31">
        <v>3239.424</v>
      </c>
      <c r="F1520" s="31">
        <v>0</v>
      </c>
      <c r="G1520" s="32">
        <f t="shared" si="245"/>
        <v>0</v>
      </c>
      <c r="H1520" s="33">
        <f t="shared" si="244"/>
        <v>0</v>
      </c>
      <c r="K1520" t="str">
        <f xml:space="preserve"> B1513 &amp; B1520</f>
        <v>Z000157036Z040401001</v>
      </c>
    </row>
    <row r="1521" spans="1:11" outlineLevel="1" x14ac:dyDescent="0.2">
      <c r="A1521" s="29"/>
      <c r="B1521" s="30" t="s">
        <v>946</v>
      </c>
      <c r="C1521" s="30" t="s">
        <v>1695</v>
      </c>
      <c r="D1521" s="34" t="s">
        <v>1819</v>
      </c>
      <c r="E1521" s="31">
        <v>593.89440000000002</v>
      </c>
      <c r="F1521" s="31">
        <v>40</v>
      </c>
      <c r="G1521" s="32">
        <f t="shared" si="245"/>
        <v>23755.776000000002</v>
      </c>
      <c r="H1521" s="33">
        <f t="shared" si="244"/>
        <v>1.2317490762409045E-4</v>
      </c>
      <c r="K1521" t="str">
        <f xml:space="preserve"> B1513 &amp; B1521</f>
        <v>Z000157036Z060101023</v>
      </c>
    </row>
    <row r="1522" spans="1:11" outlineLevel="1" x14ac:dyDescent="0.2">
      <c r="A1522" s="11" t="s">
        <v>817</v>
      </c>
      <c r="B1522" s="11" t="s">
        <v>649</v>
      </c>
      <c r="C1522" s="11" t="s">
        <v>3492</v>
      </c>
      <c r="D1522" s="12" t="s">
        <v>153</v>
      </c>
      <c r="E1522" s="13">
        <v>752.4</v>
      </c>
      <c r="F1522" s="14">
        <v>85.387</v>
      </c>
      <c r="G1522" s="15">
        <f>SUM(G1523:G1530)</f>
        <v>64245.178800000002</v>
      </c>
      <c r="H1522" s="16">
        <f t="shared" si="244"/>
        <v>3.3311452187388761E-4</v>
      </c>
    </row>
    <row r="1523" spans="1:11" outlineLevel="1" x14ac:dyDescent="0.2">
      <c r="A1523" s="29"/>
      <c r="B1523" s="30" t="s">
        <v>853</v>
      </c>
      <c r="C1523" s="30" t="s">
        <v>980</v>
      </c>
      <c r="D1523" s="34" t="s">
        <v>1052</v>
      </c>
      <c r="E1523" s="31">
        <v>323.53199999999998</v>
      </c>
      <c r="F1523" s="31">
        <v>0.9</v>
      </c>
      <c r="G1523" s="32">
        <f t="shared" ref="G1523:G1530" si="246">F1523*E1523</f>
        <v>291.17879999999997</v>
      </c>
      <c r="H1523" s="33">
        <f t="shared" si="244"/>
        <v>1.5097768977150441E-6</v>
      </c>
      <c r="K1523" t="str">
        <f xml:space="preserve"> B1522 &amp; B1523</f>
        <v>Z000157035Z020201001</v>
      </c>
    </row>
    <row r="1524" spans="1:11" outlineLevel="1" x14ac:dyDescent="0.2">
      <c r="A1524" s="29"/>
      <c r="B1524" s="30" t="s">
        <v>215</v>
      </c>
      <c r="C1524" s="30" t="s">
        <v>3493</v>
      </c>
      <c r="D1524" s="34" t="s">
        <v>1152</v>
      </c>
      <c r="E1524" s="31">
        <v>41.381999999999998</v>
      </c>
      <c r="F1524" s="31">
        <v>935</v>
      </c>
      <c r="G1524" s="32">
        <f t="shared" si="246"/>
        <v>38692.17</v>
      </c>
      <c r="H1524" s="33">
        <f t="shared" si="244"/>
        <v>2.0062087071058438E-4</v>
      </c>
      <c r="K1524" t="str">
        <f xml:space="preserve"> B1522 &amp; B1524</f>
        <v>Z000157035Z020412009</v>
      </c>
    </row>
    <row r="1525" spans="1:11" outlineLevel="1" x14ac:dyDescent="0.2">
      <c r="A1525" s="29"/>
      <c r="B1525" s="30" t="s">
        <v>1006</v>
      </c>
      <c r="C1525" s="30" t="s">
        <v>699</v>
      </c>
      <c r="D1525" s="34" t="s">
        <v>151</v>
      </c>
      <c r="E1525" s="31">
        <v>0</v>
      </c>
      <c r="F1525" s="31">
        <v>28.988</v>
      </c>
      <c r="G1525" s="32">
        <f t="shared" si="246"/>
        <v>0</v>
      </c>
      <c r="H1525" s="33">
        <f t="shared" si="244"/>
        <v>0</v>
      </c>
      <c r="K1525" t="str">
        <f xml:space="preserve"> B1522 &amp; B1525</f>
        <v>Z000157035Z040201011</v>
      </c>
    </row>
    <row r="1526" spans="1:11" outlineLevel="1" x14ac:dyDescent="0.2">
      <c r="A1526" s="29"/>
      <c r="B1526" s="30" t="s">
        <v>801</v>
      </c>
      <c r="C1526" s="30" t="s">
        <v>402</v>
      </c>
      <c r="D1526" s="34" t="s">
        <v>151</v>
      </c>
      <c r="E1526" s="31">
        <v>0</v>
      </c>
      <c r="F1526" s="31">
        <v>10.3</v>
      </c>
      <c r="G1526" s="32">
        <f t="shared" si="246"/>
        <v>0</v>
      </c>
      <c r="H1526" s="33">
        <f t="shared" si="244"/>
        <v>0</v>
      </c>
      <c r="K1526" t="str">
        <f xml:space="preserve"> B1522 &amp; B1526</f>
        <v>Z000157035Z040202006</v>
      </c>
    </row>
    <row r="1527" spans="1:11" outlineLevel="1" x14ac:dyDescent="0.2">
      <c r="A1527" s="29"/>
      <c r="B1527" s="30" t="s">
        <v>824</v>
      </c>
      <c r="C1527" s="30" t="s">
        <v>3418</v>
      </c>
      <c r="D1527" s="34" t="s">
        <v>1152</v>
      </c>
      <c r="E1527" s="31">
        <v>41.381999999999998</v>
      </c>
      <c r="F1527" s="31">
        <v>25</v>
      </c>
      <c r="G1527" s="32">
        <f t="shared" si="246"/>
        <v>1034.55</v>
      </c>
      <c r="H1527" s="33">
        <f t="shared" si="244"/>
        <v>5.3641944040263206E-6</v>
      </c>
      <c r="K1527" t="str">
        <f xml:space="preserve"> B1522 &amp; B1527</f>
        <v>Z000157035Z040308001</v>
      </c>
    </row>
    <row r="1528" spans="1:11" outlineLevel="1" x14ac:dyDescent="0.2">
      <c r="A1528" s="29"/>
      <c r="B1528" s="30" t="s">
        <v>884</v>
      </c>
      <c r="C1528" s="30" t="s">
        <v>3498</v>
      </c>
      <c r="D1528" s="34" t="s">
        <v>153</v>
      </c>
      <c r="E1528" s="31">
        <v>752.4</v>
      </c>
      <c r="F1528" s="31">
        <v>30</v>
      </c>
      <c r="G1528" s="32">
        <f t="shared" si="246"/>
        <v>22572</v>
      </c>
      <c r="H1528" s="33">
        <f t="shared" si="244"/>
        <v>1.1703696881511972E-4</v>
      </c>
      <c r="K1528" t="str">
        <f xml:space="preserve"> B1522 &amp; B1528</f>
        <v>Z000157035Z040308012</v>
      </c>
    </row>
    <row r="1529" spans="1:11" outlineLevel="1" x14ac:dyDescent="0.2">
      <c r="A1529" s="29"/>
      <c r="B1529" s="30" t="s">
        <v>498</v>
      </c>
      <c r="C1529" s="30" t="s">
        <v>773</v>
      </c>
      <c r="D1529" s="34" t="s">
        <v>84</v>
      </c>
      <c r="E1529" s="31">
        <v>902.88</v>
      </c>
      <c r="F1529" s="31">
        <v>0</v>
      </c>
      <c r="G1529" s="32">
        <f t="shared" si="246"/>
        <v>0</v>
      </c>
      <c r="H1529" s="33">
        <f t="shared" si="244"/>
        <v>0</v>
      </c>
      <c r="K1529" t="str">
        <f xml:space="preserve"> B1522 &amp; B1529</f>
        <v>Z000157035Z040401001</v>
      </c>
    </row>
    <row r="1530" spans="1:11" outlineLevel="1" x14ac:dyDescent="0.2">
      <c r="A1530" s="29"/>
      <c r="B1530" s="30" t="s">
        <v>946</v>
      </c>
      <c r="C1530" s="30" t="s">
        <v>1695</v>
      </c>
      <c r="D1530" s="34" t="s">
        <v>1819</v>
      </c>
      <c r="E1530" s="31">
        <v>41.381999999999998</v>
      </c>
      <c r="F1530" s="31">
        <v>40</v>
      </c>
      <c r="G1530" s="32">
        <f t="shared" si="246"/>
        <v>1655.28</v>
      </c>
      <c r="H1530" s="33">
        <f t="shared" si="244"/>
        <v>8.5827110464421119E-6</v>
      </c>
      <c r="K1530" t="str">
        <f xml:space="preserve"> B1522 &amp; B1530</f>
        <v>Z000157035Z060101023</v>
      </c>
    </row>
    <row r="1531" spans="1:11" outlineLevel="1" x14ac:dyDescent="0.2">
      <c r="A1531" s="11" t="s">
        <v>820</v>
      </c>
      <c r="B1531" s="11" t="s">
        <v>769</v>
      </c>
      <c r="C1531" s="11" t="s">
        <v>3467</v>
      </c>
      <c r="D1531" s="12" t="s">
        <v>1152</v>
      </c>
      <c r="E1531" s="13">
        <v>314.64960000000002</v>
      </c>
      <c r="F1531" s="14">
        <v>1581.8047879999999</v>
      </c>
      <c r="G1531" s="15">
        <f>SUM(G1532:G1542)</f>
        <v>497714.2438222848</v>
      </c>
      <c r="H1531" s="16">
        <f t="shared" si="244"/>
        <v>2.5806736856756E-3</v>
      </c>
    </row>
    <row r="1532" spans="1:11" outlineLevel="1" x14ac:dyDescent="0.2">
      <c r="A1532" s="29"/>
      <c r="B1532" s="30" t="s">
        <v>708</v>
      </c>
      <c r="C1532" s="30" t="s">
        <v>865</v>
      </c>
      <c r="D1532" s="34" t="s">
        <v>1052</v>
      </c>
      <c r="E1532" s="31">
        <v>7.3628006400000006</v>
      </c>
      <c r="F1532" s="31">
        <v>13.32</v>
      </c>
      <c r="G1532" s="32">
        <f t="shared" ref="G1532:G1542" si="247">F1532*E1532</f>
        <v>98.07250452480001</v>
      </c>
      <c r="H1532" s="33">
        <f t="shared" si="244"/>
        <v>5.0851092741847008E-7</v>
      </c>
      <c r="K1532" t="str">
        <f xml:space="preserve"> B1531 &amp; B1532</f>
        <v>Z000155017Z020202002</v>
      </c>
    </row>
    <row r="1533" spans="1:11" outlineLevel="1" x14ac:dyDescent="0.2">
      <c r="A1533" s="29"/>
      <c r="B1533" s="30" t="s">
        <v>569</v>
      </c>
      <c r="C1533" s="30" t="s">
        <v>3468</v>
      </c>
      <c r="D1533" s="34" t="s">
        <v>1152</v>
      </c>
      <c r="E1533" s="31">
        <v>330.38208000000003</v>
      </c>
      <c r="F1533" s="31">
        <v>957.99199999999996</v>
      </c>
      <c r="G1533" s="32">
        <f t="shared" si="247"/>
        <v>316503.38958336</v>
      </c>
      <c r="H1533" s="33">
        <f t="shared" si="244"/>
        <v>1.6410861836145397E-3</v>
      </c>
      <c r="K1533" t="str">
        <f xml:space="preserve"> B1531 &amp; B1533</f>
        <v>Z000155017Z020401029</v>
      </c>
    </row>
    <row r="1534" spans="1:11" outlineLevel="1" x14ac:dyDescent="0.2">
      <c r="A1534" s="29"/>
      <c r="B1534" s="30" t="s">
        <v>877</v>
      </c>
      <c r="C1534" s="30" t="s">
        <v>2332</v>
      </c>
      <c r="D1534" s="34" t="s">
        <v>1781</v>
      </c>
      <c r="E1534" s="31">
        <v>1887.8976000000002</v>
      </c>
      <c r="F1534" s="31">
        <v>0.55000000000000004</v>
      </c>
      <c r="G1534" s="32">
        <f t="shared" si="247"/>
        <v>1038.3436800000002</v>
      </c>
      <c r="H1534" s="33">
        <f t="shared" si="244"/>
        <v>5.3838648279078802E-6</v>
      </c>
      <c r="K1534" t="str">
        <f xml:space="preserve"> B1531 &amp; B1534</f>
        <v>Z000155017Z030201001</v>
      </c>
    </row>
    <row r="1535" spans="1:11" outlineLevel="1" x14ac:dyDescent="0.2">
      <c r="A1535" s="29"/>
      <c r="B1535" s="30" t="s">
        <v>637</v>
      </c>
      <c r="C1535" s="30" t="s">
        <v>1256</v>
      </c>
      <c r="D1535" s="34" t="s">
        <v>1052</v>
      </c>
      <c r="E1535" s="31">
        <v>182.77995264</v>
      </c>
      <c r="F1535" s="31">
        <v>35</v>
      </c>
      <c r="G1535" s="32">
        <f t="shared" si="247"/>
        <v>6397.2983424000004</v>
      </c>
      <c r="H1535" s="33">
        <f t="shared" si="244"/>
        <v>3.3170317499578497E-5</v>
      </c>
      <c r="K1535" t="str">
        <f xml:space="preserve"> B1531 &amp; B1535</f>
        <v>Z000155017Z030203008</v>
      </c>
    </row>
    <row r="1536" spans="1:11" outlineLevel="1" x14ac:dyDescent="0.2">
      <c r="A1536" s="29"/>
      <c r="B1536" s="30" t="s">
        <v>518</v>
      </c>
      <c r="C1536" s="30" t="s">
        <v>3457</v>
      </c>
      <c r="D1536" s="34" t="s">
        <v>1781</v>
      </c>
      <c r="E1536" s="31">
        <v>629.29920000000004</v>
      </c>
      <c r="F1536" s="31">
        <v>16.86</v>
      </c>
      <c r="G1536" s="32">
        <f t="shared" si="247"/>
        <v>10609.984512000001</v>
      </c>
      <c r="H1536" s="33">
        <f t="shared" si="244"/>
        <v>5.5013309696076879E-5</v>
      </c>
      <c r="K1536" t="str">
        <f xml:space="preserve"> B1531 &amp; B1536</f>
        <v>Z000155017Z030204001</v>
      </c>
    </row>
    <row r="1537" spans="1:11" outlineLevel="1" x14ac:dyDescent="0.2">
      <c r="A1537" s="29"/>
      <c r="B1537" s="30" t="s">
        <v>1006</v>
      </c>
      <c r="C1537" s="30" t="s">
        <v>699</v>
      </c>
      <c r="D1537" s="34" t="s">
        <v>151</v>
      </c>
      <c r="E1537" s="31">
        <v>0</v>
      </c>
      <c r="F1537" s="31">
        <v>28.988</v>
      </c>
      <c r="G1537" s="32">
        <f t="shared" si="247"/>
        <v>0</v>
      </c>
      <c r="H1537" s="33">
        <f t="shared" si="244"/>
        <v>0</v>
      </c>
      <c r="K1537" t="str">
        <f xml:space="preserve"> B1531 &amp; B1537</f>
        <v>Z000155017Z040201011</v>
      </c>
    </row>
    <row r="1538" spans="1:11" outlineLevel="1" x14ac:dyDescent="0.2">
      <c r="A1538" s="29"/>
      <c r="B1538" s="30" t="s">
        <v>801</v>
      </c>
      <c r="C1538" s="30" t="s">
        <v>402</v>
      </c>
      <c r="D1538" s="34" t="s">
        <v>151</v>
      </c>
      <c r="E1538" s="31">
        <v>0</v>
      </c>
      <c r="F1538" s="31">
        <v>10.3</v>
      </c>
      <c r="G1538" s="32">
        <f t="shared" si="247"/>
        <v>0</v>
      </c>
      <c r="H1538" s="33">
        <f t="shared" si="244"/>
        <v>0</v>
      </c>
      <c r="K1538" t="str">
        <f xml:space="preserve"> B1531 &amp; B1538</f>
        <v>Z000155017Z040202006</v>
      </c>
    </row>
    <row r="1539" spans="1:11" outlineLevel="1" x14ac:dyDescent="0.2">
      <c r="A1539" s="29"/>
      <c r="B1539" s="30" t="s">
        <v>824</v>
      </c>
      <c r="C1539" s="30" t="s">
        <v>3418</v>
      </c>
      <c r="D1539" s="34" t="s">
        <v>1152</v>
      </c>
      <c r="E1539" s="31">
        <v>330.38208000000003</v>
      </c>
      <c r="F1539" s="31">
        <v>25</v>
      </c>
      <c r="G1539" s="32">
        <f t="shared" si="247"/>
        <v>8259.5520000000015</v>
      </c>
      <c r="H1539" s="33">
        <f t="shared" si="244"/>
        <v>4.2826197494721775E-5</v>
      </c>
      <c r="K1539" t="str">
        <f xml:space="preserve"> B1531 &amp; B1539</f>
        <v>Z000155017Z040308001</v>
      </c>
    </row>
    <row r="1540" spans="1:11" outlineLevel="1" x14ac:dyDescent="0.2">
      <c r="A1540" s="29"/>
      <c r="B1540" s="30" t="s">
        <v>842</v>
      </c>
      <c r="C1540" s="30" t="s">
        <v>3477</v>
      </c>
      <c r="D1540" s="34" t="s">
        <v>1152</v>
      </c>
      <c r="E1540" s="31">
        <v>314.64960000000002</v>
      </c>
      <c r="F1540" s="31">
        <v>450</v>
      </c>
      <c r="G1540" s="32">
        <f t="shared" si="247"/>
        <v>141592.32000000001</v>
      </c>
      <c r="H1540" s="33">
        <f t="shared" si="244"/>
        <v>7.3416338562380169E-4</v>
      </c>
      <c r="K1540" t="str">
        <f xml:space="preserve"> B1531 &amp; B1540</f>
        <v>Z000155017Z040308007</v>
      </c>
    </row>
    <row r="1541" spans="1:11" outlineLevel="1" x14ac:dyDescent="0.2">
      <c r="A1541" s="29"/>
      <c r="B1541" s="30" t="s">
        <v>498</v>
      </c>
      <c r="C1541" s="30" t="s">
        <v>773</v>
      </c>
      <c r="D1541" s="34" t="s">
        <v>84</v>
      </c>
      <c r="E1541" s="31">
        <v>377.57952</v>
      </c>
      <c r="F1541" s="31">
        <v>0</v>
      </c>
      <c r="G1541" s="32">
        <f t="shared" si="247"/>
        <v>0</v>
      </c>
      <c r="H1541" s="33">
        <f t="shared" si="244"/>
        <v>0</v>
      </c>
      <c r="K1541" t="str">
        <f xml:space="preserve"> B1531 &amp; B1541</f>
        <v>Z000155017Z040401001</v>
      </c>
    </row>
    <row r="1542" spans="1:11" outlineLevel="1" x14ac:dyDescent="0.2">
      <c r="A1542" s="29"/>
      <c r="B1542" s="30" t="s">
        <v>946</v>
      </c>
      <c r="C1542" s="30" t="s">
        <v>1695</v>
      </c>
      <c r="D1542" s="34" t="s">
        <v>1819</v>
      </c>
      <c r="E1542" s="31">
        <v>330.38208000000003</v>
      </c>
      <c r="F1542" s="31">
        <v>40</v>
      </c>
      <c r="G1542" s="32">
        <f t="shared" si="247"/>
        <v>13215.283200000002</v>
      </c>
      <c r="H1542" s="33">
        <f t="shared" si="244"/>
        <v>6.852191599155484E-5</v>
      </c>
      <c r="K1542" t="str">
        <f xml:space="preserve"> B1531 &amp; B1542</f>
        <v>Z000155017Z060101023</v>
      </c>
    </row>
    <row r="1543" spans="1:11" outlineLevel="1" x14ac:dyDescent="0.2">
      <c r="A1543" s="11" t="s">
        <v>823</v>
      </c>
      <c r="B1543" s="11" t="s">
        <v>761</v>
      </c>
      <c r="C1543" s="11" t="s">
        <v>3452</v>
      </c>
      <c r="D1543" s="12" t="s">
        <v>1152</v>
      </c>
      <c r="E1543" s="13">
        <v>284.7552</v>
      </c>
      <c r="F1543" s="14">
        <v>2059.6664610000003</v>
      </c>
      <c r="G1543" s="15">
        <f>SUM(G1544:G1554)</f>
        <v>586500.73503534729</v>
      </c>
      <c r="H1543" s="16">
        <f t="shared" si="244"/>
        <v>3.0410361614556414E-3</v>
      </c>
    </row>
    <row r="1544" spans="1:11" outlineLevel="1" x14ac:dyDescent="0.2">
      <c r="A1544" s="29"/>
      <c r="B1544" s="30" t="s">
        <v>708</v>
      </c>
      <c r="C1544" s="30" t="s">
        <v>865</v>
      </c>
      <c r="D1544" s="34" t="s">
        <v>1052</v>
      </c>
      <c r="E1544" s="31">
        <v>14.607941759999999</v>
      </c>
      <c r="F1544" s="31">
        <v>13.32</v>
      </c>
      <c r="G1544" s="32">
        <f t="shared" ref="G1544:G1554" si="248">F1544*E1544</f>
        <v>194.5777842432</v>
      </c>
      <c r="H1544" s="33">
        <f t="shared" si="244"/>
        <v>1.0088957144509344E-6</v>
      </c>
      <c r="K1544" t="str">
        <f xml:space="preserve"> B1543 &amp; B1544</f>
        <v>Z000155015Z020202002</v>
      </c>
    </row>
    <row r="1545" spans="1:11" outlineLevel="1" x14ac:dyDescent="0.2">
      <c r="A1545" s="29"/>
      <c r="B1545" s="30" t="s">
        <v>565</v>
      </c>
      <c r="C1545" s="30" t="s">
        <v>3453</v>
      </c>
      <c r="D1545" s="34" t="s">
        <v>1152</v>
      </c>
      <c r="E1545" s="31">
        <v>298.99296000000004</v>
      </c>
      <c r="F1545" s="31">
        <v>1253.0549000000001</v>
      </c>
      <c r="G1545" s="32">
        <f t="shared" si="248"/>
        <v>374654.59359350405</v>
      </c>
      <c r="H1545" s="33">
        <f t="shared" si="244"/>
        <v>1.9426031360466191E-3</v>
      </c>
      <c r="K1545" t="str">
        <f xml:space="preserve"> B1543 &amp; B1545</f>
        <v>Z000155015Z020401028</v>
      </c>
    </row>
    <row r="1546" spans="1:11" outlineLevel="1" x14ac:dyDescent="0.2">
      <c r="A1546" s="29"/>
      <c r="B1546" s="30" t="s">
        <v>877</v>
      </c>
      <c r="C1546" s="30" t="s">
        <v>2332</v>
      </c>
      <c r="D1546" s="34" t="s">
        <v>1781</v>
      </c>
      <c r="E1546" s="31">
        <v>5695.1040000000003</v>
      </c>
      <c r="F1546" s="31">
        <v>0.55000000000000004</v>
      </c>
      <c r="G1546" s="32">
        <f t="shared" si="248"/>
        <v>3132.3072000000002</v>
      </c>
      <c r="H1546" s="33">
        <f t="shared" si="244"/>
        <v>1.624117225260389E-5</v>
      </c>
      <c r="K1546" t="str">
        <f xml:space="preserve"> B1543 &amp; B1546</f>
        <v>Z000155015Z030201001</v>
      </c>
    </row>
    <row r="1547" spans="1:11" outlineLevel="1" x14ac:dyDescent="0.2">
      <c r="A1547" s="29"/>
      <c r="B1547" s="30" t="s">
        <v>637</v>
      </c>
      <c r="C1547" s="30" t="s">
        <v>1256</v>
      </c>
      <c r="D1547" s="34" t="s">
        <v>1052</v>
      </c>
      <c r="E1547" s="31">
        <v>364.85683776000002</v>
      </c>
      <c r="F1547" s="31">
        <v>35</v>
      </c>
      <c r="G1547" s="32">
        <f t="shared" si="248"/>
        <v>12769.9893216</v>
      </c>
      <c r="H1547" s="33">
        <f t="shared" si="244"/>
        <v>6.6213044568558884E-5</v>
      </c>
      <c r="K1547" t="str">
        <f xml:space="preserve"> B1543 &amp; B1547</f>
        <v>Z000155015Z030203008</v>
      </c>
    </row>
    <row r="1548" spans="1:11" outlineLevel="1" x14ac:dyDescent="0.2">
      <c r="A1548" s="29"/>
      <c r="B1548" s="30" t="s">
        <v>518</v>
      </c>
      <c r="C1548" s="30" t="s">
        <v>3457</v>
      </c>
      <c r="D1548" s="34" t="s">
        <v>1781</v>
      </c>
      <c r="E1548" s="31">
        <v>3701.8175999999999</v>
      </c>
      <c r="F1548" s="31">
        <v>16.86</v>
      </c>
      <c r="G1548" s="32">
        <f t="shared" si="248"/>
        <v>62412.644735999995</v>
      </c>
      <c r="H1548" s="33">
        <f t="shared" si="244"/>
        <v>3.2361273948415634E-4</v>
      </c>
      <c r="K1548" t="str">
        <f xml:space="preserve"> B1543 &amp; B1548</f>
        <v>Z000155015Z030204001</v>
      </c>
    </row>
    <row r="1549" spans="1:11" outlineLevel="1" x14ac:dyDescent="0.2">
      <c r="A1549" s="29"/>
      <c r="B1549" s="30" t="s">
        <v>1006</v>
      </c>
      <c r="C1549" s="30" t="s">
        <v>699</v>
      </c>
      <c r="D1549" s="34" t="s">
        <v>151</v>
      </c>
      <c r="E1549" s="31">
        <v>0</v>
      </c>
      <c r="F1549" s="31">
        <v>28.988</v>
      </c>
      <c r="G1549" s="32">
        <f t="shared" si="248"/>
        <v>0</v>
      </c>
      <c r="H1549" s="33">
        <f t="shared" si="244"/>
        <v>0</v>
      </c>
      <c r="K1549" t="str">
        <f xml:space="preserve"> B1543 &amp; B1549</f>
        <v>Z000155015Z040201011</v>
      </c>
    </row>
    <row r="1550" spans="1:11" outlineLevel="1" x14ac:dyDescent="0.2">
      <c r="A1550" s="29"/>
      <c r="B1550" s="30" t="s">
        <v>801</v>
      </c>
      <c r="C1550" s="30" t="s">
        <v>402</v>
      </c>
      <c r="D1550" s="34" t="s">
        <v>151</v>
      </c>
      <c r="E1550" s="31">
        <v>0</v>
      </c>
      <c r="F1550" s="31">
        <v>10.3</v>
      </c>
      <c r="G1550" s="32">
        <f t="shared" si="248"/>
        <v>0</v>
      </c>
      <c r="H1550" s="33">
        <f t="shared" si="244"/>
        <v>0</v>
      </c>
      <c r="K1550" t="str">
        <f xml:space="preserve"> B1543 &amp; B1550</f>
        <v>Z000155015Z040202006</v>
      </c>
    </row>
    <row r="1551" spans="1:11" outlineLevel="1" x14ac:dyDescent="0.2">
      <c r="A1551" s="29"/>
      <c r="B1551" s="30" t="s">
        <v>824</v>
      </c>
      <c r="C1551" s="30" t="s">
        <v>3418</v>
      </c>
      <c r="D1551" s="34" t="s">
        <v>1152</v>
      </c>
      <c r="E1551" s="31">
        <v>298.99296000000004</v>
      </c>
      <c r="F1551" s="31">
        <v>25</v>
      </c>
      <c r="G1551" s="32">
        <f t="shared" si="248"/>
        <v>7474.8240000000005</v>
      </c>
      <c r="H1551" s="33">
        <f t="shared" si="244"/>
        <v>3.8757342875532012E-5</v>
      </c>
      <c r="K1551" t="str">
        <f xml:space="preserve"> B1543 &amp; B1551</f>
        <v>Z000155015Z040308001</v>
      </c>
    </row>
    <row r="1552" spans="1:11" outlineLevel="1" x14ac:dyDescent="0.2">
      <c r="A1552" s="29"/>
      <c r="B1552" s="30" t="s">
        <v>1039</v>
      </c>
      <c r="C1552" s="30" t="s">
        <v>3462</v>
      </c>
      <c r="D1552" s="34" t="s">
        <v>1152</v>
      </c>
      <c r="E1552" s="31">
        <v>284.7552</v>
      </c>
      <c r="F1552" s="31">
        <v>400</v>
      </c>
      <c r="G1552" s="32">
        <f t="shared" si="248"/>
        <v>113902.08</v>
      </c>
      <c r="H1552" s="33">
        <f t="shared" si="244"/>
        <v>5.905880819128687E-4</v>
      </c>
      <c r="K1552" t="str">
        <f xml:space="preserve"> B1543 &amp; B1552</f>
        <v>Z000155015Z040308032</v>
      </c>
    </row>
    <row r="1553" spans="1:11" outlineLevel="1" x14ac:dyDescent="0.2">
      <c r="A1553" s="29"/>
      <c r="B1553" s="30" t="s">
        <v>498</v>
      </c>
      <c r="C1553" s="30" t="s">
        <v>773</v>
      </c>
      <c r="D1553" s="34" t="s">
        <v>84</v>
      </c>
      <c r="E1553" s="31">
        <v>341.70623999999998</v>
      </c>
      <c r="F1553" s="31">
        <v>0</v>
      </c>
      <c r="G1553" s="32">
        <f t="shared" si="248"/>
        <v>0</v>
      </c>
      <c r="H1553" s="33">
        <f t="shared" si="244"/>
        <v>0</v>
      </c>
      <c r="K1553" t="str">
        <f xml:space="preserve"> B1543 &amp; B1553</f>
        <v>Z000155015Z040401001</v>
      </c>
    </row>
    <row r="1554" spans="1:11" outlineLevel="1" x14ac:dyDescent="0.2">
      <c r="A1554" s="29"/>
      <c r="B1554" s="30" t="s">
        <v>946</v>
      </c>
      <c r="C1554" s="30" t="s">
        <v>1695</v>
      </c>
      <c r="D1554" s="34" t="s">
        <v>1819</v>
      </c>
      <c r="E1554" s="31">
        <v>298.99296000000004</v>
      </c>
      <c r="F1554" s="31">
        <v>40</v>
      </c>
      <c r="G1554" s="32">
        <f t="shared" si="248"/>
        <v>11959.718400000002</v>
      </c>
      <c r="H1554" s="33">
        <f t="shared" si="244"/>
        <v>6.2011748600851216E-5</v>
      </c>
      <c r="K1554" t="str">
        <f xml:space="preserve"> B1543 &amp; B1554</f>
        <v>Z000155015Z060101023</v>
      </c>
    </row>
    <row r="1555" spans="1:11" ht="18.75" x14ac:dyDescent="0.2">
      <c r="A1555" s="5">
        <v>16</v>
      </c>
      <c r="B1555" s="5" t="s">
        <v>328</v>
      </c>
      <c r="C1555" s="5" t="s">
        <v>359</v>
      </c>
      <c r="D1555" s="6"/>
      <c r="E1555" s="7"/>
      <c r="F1555" s="8"/>
      <c r="G1555" s="9">
        <f>SUM(G1556,G1771,G1886,)</f>
        <v>19628318.648339361</v>
      </c>
      <c r="H1555" s="10">
        <f t="shared" si="244"/>
        <v>0.1017738311863781</v>
      </c>
    </row>
    <row r="1556" spans="1:11" ht="15" x14ac:dyDescent="0.2">
      <c r="A1556" s="17" t="s">
        <v>2044</v>
      </c>
      <c r="B1556" s="17" t="s">
        <v>328</v>
      </c>
      <c r="C1556" s="17" t="s">
        <v>224</v>
      </c>
      <c r="D1556" s="18"/>
      <c r="E1556" s="19"/>
      <c r="F1556" s="20"/>
      <c r="G1556" s="21">
        <f>SUM(G1557,G1616,G1725,G1743,G1765)</f>
        <v>6303665.1145227617</v>
      </c>
      <c r="H1556" s="22">
        <f t="shared" si="244"/>
        <v>3.2684824447517212E-2</v>
      </c>
    </row>
    <row r="1557" spans="1:11" x14ac:dyDescent="0.2">
      <c r="A1557" s="23" t="s">
        <v>1025</v>
      </c>
      <c r="B1557" s="23" t="s">
        <v>328</v>
      </c>
      <c r="C1557" s="23" t="s">
        <v>185</v>
      </c>
      <c r="D1557" s="24"/>
      <c r="E1557" s="25"/>
      <c r="F1557" s="26"/>
      <c r="G1557" s="27">
        <f>SUM(G1558,G1568,G1580,G1592,G1600,G1608)</f>
        <v>471794.02765907359</v>
      </c>
      <c r="H1557" s="28">
        <f t="shared" si="244"/>
        <v>2.4462760456448133E-3</v>
      </c>
    </row>
    <row r="1558" spans="1:11" outlineLevel="1" x14ac:dyDescent="0.2">
      <c r="A1558" s="11" t="s">
        <v>1309</v>
      </c>
      <c r="B1558" s="11" t="s">
        <v>666</v>
      </c>
      <c r="C1558" s="11" t="s">
        <v>3697</v>
      </c>
      <c r="D1558" s="12" t="s">
        <v>1152</v>
      </c>
      <c r="E1558" s="13">
        <v>442.6</v>
      </c>
      <c r="F1558" s="14">
        <v>336.33806999999996</v>
      </c>
      <c r="G1558" s="15">
        <f>SUM(G1559:G1567)</f>
        <v>148863.22978199998</v>
      </c>
      <c r="H1558" s="16">
        <f t="shared" si="244"/>
        <v>7.7186342290067045E-4</v>
      </c>
    </row>
    <row r="1559" spans="1:11" outlineLevel="1" x14ac:dyDescent="0.2">
      <c r="A1559" s="29"/>
      <c r="B1559" s="30" t="s">
        <v>853</v>
      </c>
      <c r="C1559" s="30" t="s">
        <v>980</v>
      </c>
      <c r="D1559" s="34" t="s">
        <v>1052</v>
      </c>
      <c r="E1559" s="31">
        <v>3031.81</v>
      </c>
      <c r="F1559" s="31">
        <v>0.9</v>
      </c>
      <c r="G1559" s="32">
        <f t="shared" ref="G1559:G1567" si="249">F1559*E1559</f>
        <v>2728.6289999999999</v>
      </c>
      <c r="H1559" s="33">
        <f t="shared" si="244"/>
        <v>1.4148080240166192E-5</v>
      </c>
      <c r="K1559" t="str">
        <f xml:space="preserve"> B1558 &amp; B1559</f>
        <v>Z000164002Z020201001</v>
      </c>
    </row>
    <row r="1560" spans="1:11" outlineLevel="1" x14ac:dyDescent="0.2">
      <c r="A1560" s="29"/>
      <c r="B1560" s="30" t="s">
        <v>706</v>
      </c>
      <c r="C1560" s="30" t="s">
        <v>130</v>
      </c>
      <c r="D1560" s="34" t="s">
        <v>1052</v>
      </c>
      <c r="E1560" s="31">
        <v>62.406599999999997</v>
      </c>
      <c r="F1560" s="31">
        <v>8</v>
      </c>
      <c r="G1560" s="32">
        <f t="shared" si="249"/>
        <v>499.25279999999998</v>
      </c>
      <c r="H1560" s="33">
        <f t="shared" si="244"/>
        <v>2.5886511777627681E-6</v>
      </c>
      <c r="K1560" t="str">
        <f xml:space="preserve"> B1558 &amp; B1560</f>
        <v>Z000164002Z020202001</v>
      </c>
    </row>
    <row r="1561" spans="1:11" outlineLevel="1" x14ac:dyDescent="0.2">
      <c r="A1561" s="29"/>
      <c r="B1561" s="30" t="s">
        <v>1702</v>
      </c>
      <c r="C1561" s="30" t="s">
        <v>1289</v>
      </c>
      <c r="D1561" s="34" t="s">
        <v>1152</v>
      </c>
      <c r="E1561" s="31">
        <v>508.99</v>
      </c>
      <c r="F1561" s="31">
        <v>196.42</v>
      </c>
      <c r="G1561" s="32">
        <f t="shared" si="249"/>
        <v>99975.815799999997</v>
      </c>
      <c r="H1561" s="33">
        <f t="shared" si="244"/>
        <v>5.183796932505207E-4</v>
      </c>
      <c r="K1561" t="str">
        <f xml:space="preserve"> B1558 &amp; B1561</f>
        <v>Z000164002Z020302021</v>
      </c>
    </row>
    <row r="1562" spans="1:11" outlineLevel="1" x14ac:dyDescent="0.2">
      <c r="A1562" s="29"/>
      <c r="B1562" s="30" t="s">
        <v>939</v>
      </c>
      <c r="C1562" s="30" t="s">
        <v>640</v>
      </c>
      <c r="D1562" s="34" t="s">
        <v>151</v>
      </c>
      <c r="E1562" s="31">
        <v>0</v>
      </c>
      <c r="F1562" s="31">
        <v>21.15</v>
      </c>
      <c r="G1562" s="32">
        <f t="shared" si="249"/>
        <v>0</v>
      </c>
      <c r="H1562" s="33">
        <f t="shared" si="244"/>
        <v>0</v>
      </c>
      <c r="K1562" t="str">
        <f xml:space="preserve"> B1558 &amp; B1562</f>
        <v>Z000164002Z040201003</v>
      </c>
    </row>
    <row r="1563" spans="1:11" outlineLevel="1" x14ac:dyDescent="0.2">
      <c r="A1563" s="29"/>
      <c r="B1563" s="30" t="s">
        <v>801</v>
      </c>
      <c r="C1563" s="30" t="s">
        <v>402</v>
      </c>
      <c r="D1563" s="34" t="s">
        <v>151</v>
      </c>
      <c r="E1563" s="31">
        <v>0</v>
      </c>
      <c r="F1563" s="31">
        <v>10.3</v>
      </c>
      <c r="G1563" s="32">
        <f t="shared" si="249"/>
        <v>0</v>
      </c>
      <c r="H1563" s="33">
        <f t="shared" si="244"/>
        <v>0</v>
      </c>
      <c r="K1563" t="str">
        <f xml:space="preserve"> B1558 &amp; B1563</f>
        <v>Z000164002Z040202006</v>
      </c>
    </row>
    <row r="1564" spans="1:11" outlineLevel="1" x14ac:dyDescent="0.2">
      <c r="A1564" s="29"/>
      <c r="B1564" s="30" t="s">
        <v>903</v>
      </c>
      <c r="C1564" s="30" t="s">
        <v>864</v>
      </c>
      <c r="D1564" s="34" t="s">
        <v>1152</v>
      </c>
      <c r="E1564" s="31">
        <v>442.6</v>
      </c>
      <c r="F1564" s="31">
        <v>3.5</v>
      </c>
      <c r="G1564" s="32">
        <f t="shared" si="249"/>
        <v>1549.1000000000001</v>
      </c>
      <c r="H1564" s="33">
        <f t="shared" si="244"/>
        <v>8.0321623423490148E-6</v>
      </c>
      <c r="K1564" t="str">
        <f xml:space="preserve"> B1558 &amp; B1564</f>
        <v>Z000164002Z040308018</v>
      </c>
    </row>
    <row r="1565" spans="1:11" outlineLevel="1" x14ac:dyDescent="0.2">
      <c r="A1565" s="29"/>
      <c r="B1565" s="30" t="s">
        <v>1064</v>
      </c>
      <c r="C1565" s="30" t="s">
        <v>3695</v>
      </c>
      <c r="D1565" s="34" t="s">
        <v>1152</v>
      </c>
      <c r="E1565" s="31">
        <v>442.6</v>
      </c>
      <c r="F1565" s="31">
        <v>90</v>
      </c>
      <c r="G1565" s="32">
        <f t="shared" si="249"/>
        <v>39834</v>
      </c>
      <c r="H1565" s="33">
        <f t="shared" si="244"/>
        <v>2.0654131737468895E-4</v>
      </c>
      <c r="K1565" t="str">
        <f xml:space="preserve"> B1558 &amp; B1565</f>
        <v>Z000164002Z040308039</v>
      </c>
    </row>
    <row r="1566" spans="1:11" outlineLevel="1" x14ac:dyDescent="0.2">
      <c r="A1566" s="29"/>
      <c r="B1566" s="30" t="s">
        <v>498</v>
      </c>
      <c r="C1566" s="30" t="s">
        <v>773</v>
      </c>
      <c r="D1566" s="34" t="s">
        <v>84</v>
      </c>
      <c r="E1566" s="31">
        <v>531.12</v>
      </c>
      <c r="F1566" s="31">
        <v>0</v>
      </c>
      <c r="G1566" s="32">
        <f t="shared" si="249"/>
        <v>0</v>
      </c>
      <c r="H1566" s="33">
        <f t="shared" si="244"/>
        <v>0</v>
      </c>
      <c r="K1566" t="str">
        <f xml:space="preserve"> B1558 &amp; B1566</f>
        <v>Z000164002Z040401001</v>
      </c>
    </row>
    <row r="1567" spans="1:11" outlineLevel="1" x14ac:dyDescent="0.2">
      <c r="A1567" s="29"/>
      <c r="B1567" s="30" t="s">
        <v>941</v>
      </c>
      <c r="C1567" s="30" t="s">
        <v>1485</v>
      </c>
      <c r="D1567" s="34" t="s">
        <v>1819</v>
      </c>
      <c r="E1567" s="31">
        <v>508.99</v>
      </c>
      <c r="F1567" s="31">
        <v>8.4017999999999997</v>
      </c>
      <c r="G1567" s="32">
        <f t="shared" si="249"/>
        <v>4276.4321819999996</v>
      </c>
      <c r="H1567" s="33">
        <f t="shared" si="244"/>
        <v>2.2173518515182897E-5</v>
      </c>
      <c r="K1567" t="str">
        <f xml:space="preserve"> B1558 &amp; B1567</f>
        <v>Z000164002Z060101021</v>
      </c>
    </row>
    <row r="1568" spans="1:11" outlineLevel="1" x14ac:dyDescent="0.2">
      <c r="A1568" s="11" t="s">
        <v>1310</v>
      </c>
      <c r="B1568" s="11" t="s">
        <v>1080</v>
      </c>
      <c r="C1568" s="11" t="s">
        <v>3513</v>
      </c>
      <c r="D1568" s="12" t="s">
        <v>1152</v>
      </c>
      <c r="E1568" s="13">
        <v>1204.18</v>
      </c>
      <c r="F1568" s="14">
        <v>172.51668800000002</v>
      </c>
      <c r="G1568" s="15">
        <f>SUM(G1569:G1579)</f>
        <v>207741.14535584004</v>
      </c>
      <c r="H1568" s="16">
        <f t="shared" si="244"/>
        <v>1.0771484117769229E-3</v>
      </c>
    </row>
    <row r="1569" spans="1:11" outlineLevel="1" x14ac:dyDescent="0.2">
      <c r="A1569" s="29"/>
      <c r="B1569" s="30" t="s">
        <v>853</v>
      </c>
      <c r="C1569" s="30" t="s">
        <v>980</v>
      </c>
      <c r="D1569" s="34" t="s">
        <v>1052</v>
      </c>
      <c r="E1569" s="31">
        <v>10994.163400000001</v>
      </c>
      <c r="F1569" s="31">
        <v>0.9</v>
      </c>
      <c r="G1569" s="32">
        <f t="shared" ref="G1569:G1579" si="250">F1569*E1569</f>
        <v>9894.7470600000015</v>
      </c>
      <c r="H1569" s="33">
        <f t="shared" si="244"/>
        <v>5.1304767105029138E-5</v>
      </c>
      <c r="K1569" t="str">
        <f xml:space="preserve"> B1568 &amp; B1569</f>
        <v>Z000161002Z020201001</v>
      </c>
    </row>
    <row r="1570" spans="1:11" outlineLevel="1" x14ac:dyDescent="0.2">
      <c r="A1570" s="29"/>
      <c r="B1570" s="30" t="s">
        <v>706</v>
      </c>
      <c r="C1570" s="30" t="s">
        <v>130</v>
      </c>
      <c r="D1570" s="34" t="s">
        <v>1052</v>
      </c>
      <c r="E1570" s="31">
        <v>127.64308</v>
      </c>
      <c r="F1570" s="31">
        <v>8</v>
      </c>
      <c r="G1570" s="32">
        <f t="shared" si="250"/>
        <v>1021.14464</v>
      </c>
      <c r="H1570" s="33">
        <f t="shared" si="244"/>
        <v>5.2946869301526956E-6</v>
      </c>
      <c r="K1570" t="str">
        <f xml:space="preserve"> B1568 &amp; B1570</f>
        <v>Z000161002Z020202001</v>
      </c>
    </row>
    <row r="1571" spans="1:11" outlineLevel="1" x14ac:dyDescent="0.2">
      <c r="A1571" s="29"/>
      <c r="B1571" s="30" t="s">
        <v>1549</v>
      </c>
      <c r="C1571" s="30" t="s">
        <v>486</v>
      </c>
      <c r="D1571" s="34" t="s">
        <v>1152</v>
      </c>
      <c r="E1571" s="31">
        <v>1396.8488</v>
      </c>
      <c r="F1571" s="31">
        <v>51.5</v>
      </c>
      <c r="G1571" s="32">
        <f t="shared" si="250"/>
        <v>71937.713199999998</v>
      </c>
      <c r="H1571" s="33">
        <f t="shared" si="244"/>
        <v>3.7300070425391751E-4</v>
      </c>
      <c r="K1571" t="str">
        <f xml:space="preserve"> B1568 &amp; B1571</f>
        <v>Z000161002Z020302005</v>
      </c>
    </row>
    <row r="1572" spans="1:11" outlineLevel="1" x14ac:dyDescent="0.2">
      <c r="A1572" s="29"/>
      <c r="B1572" s="30" t="s">
        <v>1503</v>
      </c>
      <c r="C1572" s="30" t="s">
        <v>464</v>
      </c>
      <c r="D1572" s="34" t="s">
        <v>1667</v>
      </c>
      <c r="E1572" s="31">
        <v>9633.44</v>
      </c>
      <c r="F1572" s="31">
        <v>0.05</v>
      </c>
      <c r="G1572" s="32">
        <f t="shared" si="250"/>
        <v>481.67200000000003</v>
      </c>
      <c r="H1572" s="33">
        <f t="shared" si="244"/>
        <v>2.497493834977687E-6</v>
      </c>
      <c r="K1572" t="str">
        <f xml:space="preserve"> B1568 &amp; B1572</f>
        <v>Z000161002Z030106001</v>
      </c>
    </row>
    <row r="1573" spans="1:11" outlineLevel="1" x14ac:dyDescent="0.2">
      <c r="A1573" s="29"/>
      <c r="B1573" s="30" t="s">
        <v>1507</v>
      </c>
      <c r="C1573" s="30" t="s">
        <v>1272</v>
      </c>
      <c r="D1573" s="34" t="s">
        <v>1667</v>
      </c>
      <c r="E1573" s="31">
        <v>4816.72</v>
      </c>
      <c r="F1573" s="31">
        <v>1.6400000000000001E-2</v>
      </c>
      <c r="G1573" s="32">
        <f t="shared" si="250"/>
        <v>78.994208000000015</v>
      </c>
      <c r="H1573" s="33">
        <f t="shared" si="244"/>
        <v>4.095889889363407E-7</v>
      </c>
      <c r="K1573" t="str">
        <f xml:space="preserve"> B1568 &amp; B1573</f>
        <v>Z000161002Z030106002</v>
      </c>
    </row>
    <row r="1574" spans="1:11" outlineLevel="1" x14ac:dyDescent="0.2">
      <c r="A1574" s="29"/>
      <c r="B1574" s="30" t="s">
        <v>939</v>
      </c>
      <c r="C1574" s="30" t="s">
        <v>640</v>
      </c>
      <c r="D1574" s="34" t="s">
        <v>151</v>
      </c>
      <c r="E1574" s="31">
        <v>0</v>
      </c>
      <c r="F1574" s="31">
        <v>21.15</v>
      </c>
      <c r="G1574" s="32">
        <f t="shared" si="250"/>
        <v>0</v>
      </c>
      <c r="H1574" s="33">
        <f t="shared" ref="H1574:H1629" si="251">G1574/$F$2</f>
        <v>0</v>
      </c>
      <c r="K1574" t="str">
        <f xml:space="preserve"> B1568 &amp; B1574</f>
        <v>Z000161002Z040201003</v>
      </c>
    </row>
    <row r="1575" spans="1:11" outlineLevel="1" x14ac:dyDescent="0.2">
      <c r="A1575" s="29"/>
      <c r="B1575" s="30" t="s">
        <v>801</v>
      </c>
      <c r="C1575" s="30" t="s">
        <v>402</v>
      </c>
      <c r="D1575" s="34" t="s">
        <v>151</v>
      </c>
      <c r="E1575" s="31">
        <v>0</v>
      </c>
      <c r="F1575" s="31">
        <v>10.3</v>
      </c>
      <c r="G1575" s="32">
        <f t="shared" si="250"/>
        <v>0</v>
      </c>
      <c r="H1575" s="33">
        <f t="shared" si="251"/>
        <v>0</v>
      </c>
      <c r="K1575" t="str">
        <f xml:space="preserve"> B1568 &amp; B1575</f>
        <v>Z000161002Z040202006</v>
      </c>
    </row>
    <row r="1576" spans="1:11" outlineLevel="1" x14ac:dyDescent="0.2">
      <c r="A1576" s="29"/>
      <c r="B1576" s="30" t="s">
        <v>833</v>
      </c>
      <c r="C1576" s="30" t="s">
        <v>3384</v>
      </c>
      <c r="D1576" s="34" t="s">
        <v>1152</v>
      </c>
      <c r="E1576" s="31">
        <v>1204.18</v>
      </c>
      <c r="F1576" s="31">
        <v>90</v>
      </c>
      <c r="G1576" s="32">
        <f t="shared" si="250"/>
        <v>108376.20000000001</v>
      </c>
      <c r="H1576" s="33">
        <f t="shared" si="251"/>
        <v>5.6193611286997961E-4</v>
      </c>
      <c r="K1576" t="str">
        <f xml:space="preserve"> B1568 &amp; B1576</f>
        <v>Z000161002Z040308004</v>
      </c>
    </row>
    <row r="1577" spans="1:11" outlineLevel="1" x14ac:dyDescent="0.2">
      <c r="A1577" s="29"/>
      <c r="B1577" s="30" t="s">
        <v>903</v>
      </c>
      <c r="C1577" s="30" t="s">
        <v>864</v>
      </c>
      <c r="D1577" s="34" t="s">
        <v>1152</v>
      </c>
      <c r="E1577" s="31">
        <v>1204.18</v>
      </c>
      <c r="F1577" s="31">
        <v>3.5</v>
      </c>
      <c r="G1577" s="32">
        <f t="shared" si="250"/>
        <v>4214.63</v>
      </c>
      <c r="H1577" s="33">
        <f t="shared" si="251"/>
        <v>2.185307105605476E-5</v>
      </c>
      <c r="K1577" t="str">
        <f xml:space="preserve"> B1568 &amp; B1577</f>
        <v>Z000161002Z040308018</v>
      </c>
    </row>
    <row r="1578" spans="1:11" outlineLevel="1" x14ac:dyDescent="0.2">
      <c r="A1578" s="29"/>
      <c r="B1578" s="30" t="s">
        <v>498</v>
      </c>
      <c r="C1578" s="30" t="s">
        <v>773</v>
      </c>
      <c r="D1578" s="34" t="s">
        <v>84</v>
      </c>
      <c r="E1578" s="31">
        <v>1445.0160000000001</v>
      </c>
      <c r="F1578" s="31">
        <v>0</v>
      </c>
      <c r="G1578" s="32">
        <f t="shared" si="250"/>
        <v>0</v>
      </c>
      <c r="H1578" s="33">
        <f t="shared" si="251"/>
        <v>0</v>
      </c>
      <c r="K1578" t="str">
        <f xml:space="preserve"> B1568 &amp; B1578</f>
        <v>Z000161002Z040401001</v>
      </c>
    </row>
    <row r="1579" spans="1:11" outlineLevel="1" x14ac:dyDescent="0.2">
      <c r="A1579" s="29"/>
      <c r="B1579" s="30" t="s">
        <v>941</v>
      </c>
      <c r="C1579" s="30" t="s">
        <v>1485</v>
      </c>
      <c r="D1579" s="34" t="s">
        <v>1819</v>
      </c>
      <c r="E1579" s="31">
        <v>1396.8488</v>
      </c>
      <c r="F1579" s="31">
        <v>8.4017999999999997</v>
      </c>
      <c r="G1579" s="32">
        <f t="shared" si="250"/>
        <v>11736.04424784</v>
      </c>
      <c r="H1579" s="33">
        <f t="shared" si="251"/>
        <v>6.0851986737875033E-5</v>
      </c>
      <c r="K1579" t="str">
        <f xml:space="preserve"> B1568 &amp; B1579</f>
        <v>Z000161002Z060101021</v>
      </c>
    </row>
    <row r="1580" spans="1:11" outlineLevel="1" x14ac:dyDescent="0.2">
      <c r="A1580" s="11" t="s">
        <v>1313</v>
      </c>
      <c r="B1580" s="11" t="s">
        <v>1082</v>
      </c>
      <c r="C1580" s="11" t="s">
        <v>3525</v>
      </c>
      <c r="D1580" s="12" t="s">
        <v>1152</v>
      </c>
      <c r="E1580" s="13">
        <v>391.38</v>
      </c>
      <c r="F1580" s="14">
        <v>192.893248</v>
      </c>
      <c r="G1580" s="15">
        <f>SUM(G1581:G1591)</f>
        <v>75494.559402240004</v>
      </c>
      <c r="H1580" s="16">
        <f t="shared" si="251"/>
        <v>3.9144313284029622E-4</v>
      </c>
    </row>
    <row r="1581" spans="1:11" outlineLevel="1" x14ac:dyDescent="0.2">
      <c r="A1581" s="29"/>
      <c r="B1581" s="30" t="s">
        <v>853</v>
      </c>
      <c r="C1581" s="30" t="s">
        <v>980</v>
      </c>
      <c r="D1581" s="34" t="s">
        <v>1052</v>
      </c>
      <c r="E1581" s="31">
        <v>3573.2994000000003</v>
      </c>
      <c r="F1581" s="31">
        <v>0.9</v>
      </c>
      <c r="G1581" s="32">
        <f t="shared" ref="G1581:G1591" si="252">F1581*E1581</f>
        <v>3215.9694600000003</v>
      </c>
      <c r="H1581" s="33">
        <f t="shared" si="251"/>
        <v>1.6674965328743461E-5</v>
      </c>
      <c r="K1581" t="str">
        <f xml:space="preserve"> B1580 &amp; B1581</f>
        <v>Z000161003Z020201001</v>
      </c>
    </row>
    <row r="1582" spans="1:11" outlineLevel="1" x14ac:dyDescent="0.2">
      <c r="A1582" s="29"/>
      <c r="B1582" s="30" t="s">
        <v>706</v>
      </c>
      <c r="C1582" s="30" t="s">
        <v>130</v>
      </c>
      <c r="D1582" s="34" t="s">
        <v>1052</v>
      </c>
      <c r="E1582" s="31">
        <v>41.486280000000001</v>
      </c>
      <c r="F1582" s="31">
        <v>8</v>
      </c>
      <c r="G1582" s="32">
        <f t="shared" si="252"/>
        <v>331.89024000000001</v>
      </c>
      <c r="H1582" s="33">
        <f t="shared" si="251"/>
        <v>1.7208677861475546E-6</v>
      </c>
      <c r="K1582" t="str">
        <f xml:space="preserve"> B1580 &amp; B1582</f>
        <v>Z000161003Z020202001</v>
      </c>
    </row>
    <row r="1583" spans="1:11" outlineLevel="1" x14ac:dyDescent="0.2">
      <c r="A1583" s="29"/>
      <c r="B1583" s="30" t="s">
        <v>1546</v>
      </c>
      <c r="C1583" s="30" t="s">
        <v>1096</v>
      </c>
      <c r="D1583" s="34" t="s">
        <v>1152</v>
      </c>
      <c r="E1583" s="31">
        <v>454.00079999999997</v>
      </c>
      <c r="F1583" s="31">
        <v>69.066000000000003</v>
      </c>
      <c r="G1583" s="32">
        <f t="shared" si="252"/>
        <v>31356.019252800001</v>
      </c>
      <c r="H1583" s="33">
        <f t="shared" si="251"/>
        <v>1.6258255570867654E-4</v>
      </c>
      <c r="K1583" t="str">
        <f xml:space="preserve"> B1580 &amp; B1583</f>
        <v>Z000161003Z020302004</v>
      </c>
    </row>
    <row r="1584" spans="1:11" outlineLevel="1" x14ac:dyDescent="0.2">
      <c r="A1584" s="29"/>
      <c r="B1584" s="30" t="s">
        <v>1503</v>
      </c>
      <c r="C1584" s="30" t="s">
        <v>464</v>
      </c>
      <c r="D1584" s="34" t="s">
        <v>1667</v>
      </c>
      <c r="E1584" s="31">
        <v>3131.04</v>
      </c>
      <c r="F1584" s="31">
        <v>0.05</v>
      </c>
      <c r="G1584" s="32">
        <f t="shared" si="252"/>
        <v>156.55200000000002</v>
      </c>
      <c r="H1584" s="33">
        <f t="shared" si="251"/>
        <v>8.1173008780545027E-7</v>
      </c>
      <c r="K1584" t="str">
        <f xml:space="preserve"> B1580 &amp; B1584</f>
        <v>Z000161003Z030106001</v>
      </c>
    </row>
    <row r="1585" spans="1:11" outlineLevel="1" x14ac:dyDescent="0.2">
      <c r="A1585" s="29"/>
      <c r="B1585" s="30" t="s">
        <v>1507</v>
      </c>
      <c r="C1585" s="30" t="s">
        <v>1272</v>
      </c>
      <c r="D1585" s="34" t="s">
        <v>1667</v>
      </c>
      <c r="E1585" s="31">
        <v>1565.52</v>
      </c>
      <c r="F1585" s="31">
        <v>1.6400000000000001E-2</v>
      </c>
      <c r="G1585" s="32">
        <f t="shared" si="252"/>
        <v>25.674528000000002</v>
      </c>
      <c r="H1585" s="33">
        <f t="shared" si="251"/>
        <v>1.3312373440009385E-7</v>
      </c>
      <c r="K1585" t="str">
        <f xml:space="preserve"> B1580 &amp; B1585</f>
        <v>Z000161003Z030106002</v>
      </c>
    </row>
    <row r="1586" spans="1:11" outlineLevel="1" x14ac:dyDescent="0.2">
      <c r="A1586" s="29"/>
      <c r="B1586" s="30" t="s">
        <v>939</v>
      </c>
      <c r="C1586" s="30" t="s">
        <v>640</v>
      </c>
      <c r="D1586" s="34" t="s">
        <v>151</v>
      </c>
      <c r="E1586" s="31">
        <v>0</v>
      </c>
      <c r="F1586" s="31">
        <v>21.15</v>
      </c>
      <c r="G1586" s="32">
        <f t="shared" si="252"/>
        <v>0</v>
      </c>
      <c r="H1586" s="33">
        <f t="shared" si="251"/>
        <v>0</v>
      </c>
      <c r="K1586" t="str">
        <f xml:space="preserve"> B1580 &amp; B1586</f>
        <v>Z000161003Z040201003</v>
      </c>
    </row>
    <row r="1587" spans="1:11" outlineLevel="1" x14ac:dyDescent="0.2">
      <c r="A1587" s="29"/>
      <c r="B1587" s="30" t="s">
        <v>801</v>
      </c>
      <c r="C1587" s="30" t="s">
        <v>402</v>
      </c>
      <c r="D1587" s="34" t="s">
        <v>151</v>
      </c>
      <c r="E1587" s="31">
        <v>0</v>
      </c>
      <c r="F1587" s="31">
        <v>10.3</v>
      </c>
      <c r="G1587" s="32">
        <f t="shared" si="252"/>
        <v>0</v>
      </c>
      <c r="H1587" s="33">
        <f t="shared" si="251"/>
        <v>0</v>
      </c>
      <c r="K1587" t="str">
        <f xml:space="preserve"> B1580 &amp; B1587</f>
        <v>Z000161003Z040202006</v>
      </c>
    </row>
    <row r="1588" spans="1:11" outlineLevel="1" x14ac:dyDescent="0.2">
      <c r="A1588" s="29"/>
      <c r="B1588" s="30" t="s">
        <v>833</v>
      </c>
      <c r="C1588" s="30" t="s">
        <v>3384</v>
      </c>
      <c r="D1588" s="34" t="s">
        <v>1152</v>
      </c>
      <c r="E1588" s="31">
        <v>391.38</v>
      </c>
      <c r="F1588" s="31">
        <v>90</v>
      </c>
      <c r="G1588" s="32">
        <f t="shared" si="252"/>
        <v>35224.199999999997</v>
      </c>
      <c r="H1588" s="33">
        <f t="shared" si="251"/>
        <v>1.8263926975622629E-4</v>
      </c>
      <c r="K1588" t="str">
        <f xml:space="preserve"> B1580 &amp; B1588</f>
        <v>Z000161003Z040308004</v>
      </c>
    </row>
    <row r="1589" spans="1:11" outlineLevel="1" x14ac:dyDescent="0.2">
      <c r="A1589" s="29"/>
      <c r="B1589" s="30" t="s">
        <v>903</v>
      </c>
      <c r="C1589" s="30" t="s">
        <v>864</v>
      </c>
      <c r="D1589" s="34" t="s">
        <v>1152</v>
      </c>
      <c r="E1589" s="31">
        <v>391.38</v>
      </c>
      <c r="F1589" s="31">
        <v>3.5</v>
      </c>
      <c r="G1589" s="32">
        <f t="shared" si="252"/>
        <v>1369.83</v>
      </c>
      <c r="H1589" s="33">
        <f t="shared" si="251"/>
        <v>7.1026382682976888E-6</v>
      </c>
      <c r="K1589" t="str">
        <f xml:space="preserve"> B1580 &amp; B1589</f>
        <v>Z000161003Z040308018</v>
      </c>
    </row>
    <row r="1590" spans="1:11" outlineLevel="1" x14ac:dyDescent="0.2">
      <c r="A1590" s="29"/>
      <c r="B1590" s="30" t="s">
        <v>498</v>
      </c>
      <c r="C1590" s="30" t="s">
        <v>773</v>
      </c>
      <c r="D1590" s="34" t="s">
        <v>84</v>
      </c>
      <c r="E1590" s="31">
        <v>469.65599999999995</v>
      </c>
      <c r="F1590" s="31">
        <v>0</v>
      </c>
      <c r="G1590" s="32">
        <f t="shared" si="252"/>
        <v>0</v>
      </c>
      <c r="H1590" s="33">
        <f t="shared" si="251"/>
        <v>0</v>
      </c>
      <c r="K1590" t="str">
        <f xml:space="preserve"> B1580 &amp; B1590</f>
        <v>Z000161003Z040401001</v>
      </c>
    </row>
    <row r="1591" spans="1:11" outlineLevel="1" x14ac:dyDescent="0.2">
      <c r="A1591" s="29"/>
      <c r="B1591" s="30" t="s">
        <v>941</v>
      </c>
      <c r="C1591" s="30" t="s">
        <v>1485</v>
      </c>
      <c r="D1591" s="34" t="s">
        <v>1819</v>
      </c>
      <c r="E1591" s="31">
        <v>454.00079999999997</v>
      </c>
      <c r="F1591" s="31">
        <v>8.4017999999999997</v>
      </c>
      <c r="G1591" s="32">
        <f t="shared" si="252"/>
        <v>3814.4239214399995</v>
      </c>
      <c r="H1591" s="33">
        <f t="shared" si="251"/>
        <v>1.9777982169999109E-5</v>
      </c>
      <c r="K1591" t="str">
        <f xml:space="preserve"> B1580 &amp; B1591</f>
        <v>Z000161003Z060101021</v>
      </c>
    </row>
    <row r="1592" spans="1:11" outlineLevel="1" x14ac:dyDescent="0.2">
      <c r="A1592" s="11" t="s">
        <v>1315</v>
      </c>
      <c r="B1592" s="11" t="s">
        <v>1231</v>
      </c>
      <c r="C1592" s="11" t="s">
        <v>3549</v>
      </c>
      <c r="D1592" s="12" t="s">
        <v>153</v>
      </c>
      <c r="E1592" s="13">
        <v>562.35</v>
      </c>
      <c r="F1592" s="14">
        <v>33.071801520000001</v>
      </c>
      <c r="G1592" s="15">
        <f>SUM(G1593:G1599)</f>
        <v>18597.927584772002</v>
      </c>
      <c r="H1592" s="16">
        <f t="shared" si="251"/>
        <v>9.6431201079426532E-5</v>
      </c>
    </row>
    <row r="1593" spans="1:11" outlineLevel="1" x14ac:dyDescent="0.2">
      <c r="A1593" s="29"/>
      <c r="B1593" s="30" t="s">
        <v>853</v>
      </c>
      <c r="C1593" s="30" t="s">
        <v>980</v>
      </c>
      <c r="D1593" s="34" t="s">
        <v>1052</v>
      </c>
      <c r="E1593" s="31">
        <v>770.25079500000004</v>
      </c>
      <c r="F1593" s="31">
        <v>0.9</v>
      </c>
      <c r="G1593" s="32">
        <f t="shared" ref="G1593:G1599" si="253">F1593*E1593</f>
        <v>693.22571550000009</v>
      </c>
      <c r="H1593" s="33">
        <f t="shared" si="251"/>
        <v>3.5944106169950632E-6</v>
      </c>
      <c r="K1593" t="str">
        <f xml:space="preserve"> B1592 &amp; B1593</f>
        <v>Z000161025Z020201001</v>
      </c>
    </row>
    <row r="1594" spans="1:11" outlineLevel="1" x14ac:dyDescent="0.2">
      <c r="A1594" s="29"/>
      <c r="B1594" s="30" t="s">
        <v>706</v>
      </c>
      <c r="C1594" s="30" t="s">
        <v>130</v>
      </c>
      <c r="D1594" s="34" t="s">
        <v>1052</v>
      </c>
      <c r="E1594" s="31">
        <v>105.778035</v>
      </c>
      <c r="F1594" s="31">
        <v>8</v>
      </c>
      <c r="G1594" s="32">
        <f t="shared" si="253"/>
        <v>846.22428000000002</v>
      </c>
      <c r="H1594" s="33">
        <f t="shared" si="251"/>
        <v>4.387715960878838E-6</v>
      </c>
      <c r="K1594" t="str">
        <f xml:space="preserve"> B1592 &amp; B1594</f>
        <v>Z000161025Z020202001</v>
      </c>
    </row>
    <row r="1595" spans="1:11" outlineLevel="1" x14ac:dyDescent="0.2">
      <c r="A1595" s="29"/>
      <c r="B1595" s="30" t="s">
        <v>1549</v>
      </c>
      <c r="C1595" s="30" t="s">
        <v>486</v>
      </c>
      <c r="D1595" s="34" t="s">
        <v>1152</v>
      </c>
      <c r="E1595" s="31">
        <v>284.77404000000001</v>
      </c>
      <c r="F1595" s="31">
        <v>51.5</v>
      </c>
      <c r="G1595" s="32">
        <f t="shared" si="253"/>
        <v>14665.863060000001</v>
      </c>
      <c r="H1595" s="33">
        <f t="shared" si="251"/>
        <v>7.6043246393763794E-5</v>
      </c>
      <c r="K1595" t="str">
        <f xml:space="preserve"> B1592 &amp; B1595</f>
        <v>Z000161025Z020302005</v>
      </c>
    </row>
    <row r="1596" spans="1:11" outlineLevel="1" x14ac:dyDescent="0.2">
      <c r="A1596" s="29"/>
      <c r="B1596" s="30" t="s">
        <v>939</v>
      </c>
      <c r="C1596" s="30" t="s">
        <v>640</v>
      </c>
      <c r="D1596" s="34" t="s">
        <v>151</v>
      </c>
      <c r="E1596" s="31">
        <v>0</v>
      </c>
      <c r="F1596" s="31">
        <v>21.15</v>
      </c>
      <c r="G1596" s="32">
        <f t="shared" si="253"/>
        <v>0</v>
      </c>
      <c r="H1596" s="33">
        <f t="shared" si="251"/>
        <v>0</v>
      </c>
      <c r="K1596" t="str">
        <f xml:space="preserve"> B1592 &amp; B1596</f>
        <v>Z000161025Z040201003</v>
      </c>
    </row>
    <row r="1597" spans="1:11" outlineLevel="1" x14ac:dyDescent="0.2">
      <c r="A1597" s="29"/>
      <c r="B1597" s="30" t="s">
        <v>801</v>
      </c>
      <c r="C1597" s="30" t="s">
        <v>402</v>
      </c>
      <c r="D1597" s="34" t="s">
        <v>151</v>
      </c>
      <c r="E1597" s="31">
        <v>0</v>
      </c>
      <c r="F1597" s="31">
        <v>10.3</v>
      </c>
      <c r="G1597" s="32">
        <f t="shared" si="253"/>
        <v>0</v>
      </c>
      <c r="H1597" s="33">
        <f t="shared" si="251"/>
        <v>0</v>
      </c>
      <c r="K1597" t="str">
        <f xml:space="preserve"> B1592 &amp; B1597</f>
        <v>Z000161025Z040202006</v>
      </c>
    </row>
    <row r="1598" spans="1:11" outlineLevel="1" x14ac:dyDescent="0.2">
      <c r="A1598" s="29"/>
      <c r="B1598" s="30" t="s">
        <v>498</v>
      </c>
      <c r="C1598" s="30" t="s">
        <v>773</v>
      </c>
      <c r="D1598" s="34" t="s">
        <v>84</v>
      </c>
      <c r="E1598" s="31">
        <v>674.82</v>
      </c>
      <c r="F1598" s="31">
        <v>0</v>
      </c>
      <c r="G1598" s="32">
        <f t="shared" si="253"/>
        <v>0</v>
      </c>
      <c r="H1598" s="33">
        <f t="shared" si="251"/>
        <v>0</v>
      </c>
      <c r="K1598" t="str">
        <f xml:space="preserve"> B1592 &amp; B1598</f>
        <v>Z000161025Z040401001</v>
      </c>
    </row>
    <row r="1599" spans="1:11" outlineLevel="1" x14ac:dyDescent="0.2">
      <c r="A1599" s="29"/>
      <c r="B1599" s="30" t="s">
        <v>941</v>
      </c>
      <c r="C1599" s="30" t="s">
        <v>1485</v>
      </c>
      <c r="D1599" s="34" t="s">
        <v>1819</v>
      </c>
      <c r="E1599" s="31">
        <v>284.77404000000001</v>
      </c>
      <c r="F1599" s="31">
        <v>8.4017999999999997</v>
      </c>
      <c r="G1599" s="32">
        <f t="shared" si="253"/>
        <v>2392.6145292720003</v>
      </c>
      <c r="H1599" s="33">
        <f t="shared" si="251"/>
        <v>1.2405828107788829E-5</v>
      </c>
      <c r="K1599" t="str">
        <f xml:space="preserve"> B1592 &amp; B1599</f>
        <v>Z000161025Z060101021</v>
      </c>
    </row>
    <row r="1600" spans="1:11" outlineLevel="1" x14ac:dyDescent="0.2">
      <c r="A1600" s="11" t="s">
        <v>1316</v>
      </c>
      <c r="B1600" s="11" t="s">
        <v>1234</v>
      </c>
      <c r="C1600" s="11" t="s">
        <v>3557</v>
      </c>
      <c r="D1600" s="12" t="s">
        <v>153</v>
      </c>
      <c r="E1600" s="13">
        <v>132.69</v>
      </c>
      <c r="F1600" s="14">
        <v>41.967223920000002</v>
      </c>
      <c r="G1600" s="15">
        <f>SUM(G1601:G1607)</f>
        <v>5568.6309419447998</v>
      </c>
      <c r="H1600" s="16">
        <f t="shared" si="251"/>
        <v>2.8873634852707083E-5</v>
      </c>
    </row>
    <row r="1601" spans="1:11" outlineLevel="1" x14ac:dyDescent="0.2">
      <c r="A1601" s="29"/>
      <c r="B1601" s="30" t="s">
        <v>853</v>
      </c>
      <c r="C1601" s="30" t="s">
        <v>980</v>
      </c>
      <c r="D1601" s="34" t="s">
        <v>1052</v>
      </c>
      <c r="E1601" s="31">
        <v>181.74549299999998</v>
      </c>
      <c r="F1601" s="31">
        <v>0.9</v>
      </c>
      <c r="G1601" s="32">
        <f t="shared" ref="G1601:G1607" si="254">F1601*E1601</f>
        <v>163.57094369999999</v>
      </c>
      <c r="H1601" s="33">
        <f t="shared" si="251"/>
        <v>8.481236681231881E-7</v>
      </c>
      <c r="K1601" t="str">
        <f xml:space="preserve"> B1600 &amp; B1601</f>
        <v>Z000161027Z020201001</v>
      </c>
    </row>
    <row r="1602" spans="1:11" outlineLevel="1" x14ac:dyDescent="0.2">
      <c r="A1602" s="29"/>
      <c r="B1602" s="30" t="s">
        <v>706</v>
      </c>
      <c r="C1602" s="30" t="s">
        <v>130</v>
      </c>
      <c r="D1602" s="34" t="s">
        <v>1052</v>
      </c>
      <c r="E1602" s="31">
        <v>24.958988999999999</v>
      </c>
      <c r="F1602" s="31">
        <v>8</v>
      </c>
      <c r="G1602" s="32">
        <f t="shared" si="254"/>
        <v>199.67191199999999</v>
      </c>
      <c r="H1602" s="33">
        <f t="shared" si="251"/>
        <v>1.035309026138549E-6</v>
      </c>
      <c r="K1602" t="str">
        <f xml:space="preserve"> B1600 &amp; B1602</f>
        <v>Z000161027Z020202001</v>
      </c>
    </row>
    <row r="1603" spans="1:11" outlineLevel="1" x14ac:dyDescent="0.2">
      <c r="A1603" s="29"/>
      <c r="B1603" s="30" t="s">
        <v>1546</v>
      </c>
      <c r="C1603" s="30" t="s">
        <v>1096</v>
      </c>
      <c r="D1603" s="34" t="s">
        <v>1152</v>
      </c>
      <c r="E1603" s="31">
        <v>67.194215999999997</v>
      </c>
      <c r="F1603" s="31">
        <v>69.066000000000003</v>
      </c>
      <c r="G1603" s="32">
        <f t="shared" si="254"/>
        <v>4640.8357222559998</v>
      </c>
      <c r="H1603" s="33">
        <f t="shared" si="251"/>
        <v>2.4062969417941213E-5</v>
      </c>
      <c r="K1603" t="str">
        <f xml:space="preserve"> B1600 &amp; B1603</f>
        <v>Z000161027Z020302004</v>
      </c>
    </row>
    <row r="1604" spans="1:11" outlineLevel="1" x14ac:dyDescent="0.2">
      <c r="A1604" s="29"/>
      <c r="B1604" s="30" t="s">
        <v>939</v>
      </c>
      <c r="C1604" s="30" t="s">
        <v>640</v>
      </c>
      <c r="D1604" s="34" t="s">
        <v>151</v>
      </c>
      <c r="E1604" s="31">
        <v>0</v>
      </c>
      <c r="F1604" s="31">
        <v>21.15</v>
      </c>
      <c r="G1604" s="32">
        <f t="shared" si="254"/>
        <v>0</v>
      </c>
      <c r="H1604" s="33">
        <f t="shared" si="251"/>
        <v>0</v>
      </c>
      <c r="K1604" t="str">
        <f xml:space="preserve"> B1600 &amp; B1604</f>
        <v>Z000161027Z040201003</v>
      </c>
    </row>
    <row r="1605" spans="1:11" outlineLevel="1" x14ac:dyDescent="0.2">
      <c r="A1605" s="29"/>
      <c r="B1605" s="30" t="s">
        <v>801</v>
      </c>
      <c r="C1605" s="30" t="s">
        <v>402</v>
      </c>
      <c r="D1605" s="34" t="s">
        <v>151</v>
      </c>
      <c r="E1605" s="31">
        <v>0</v>
      </c>
      <c r="F1605" s="31">
        <v>10.3</v>
      </c>
      <c r="G1605" s="32">
        <f t="shared" si="254"/>
        <v>0</v>
      </c>
      <c r="H1605" s="33">
        <f t="shared" si="251"/>
        <v>0</v>
      </c>
      <c r="K1605" t="str">
        <f xml:space="preserve"> B1600 &amp; B1605</f>
        <v>Z000161027Z040202006</v>
      </c>
    </row>
    <row r="1606" spans="1:11" outlineLevel="1" x14ac:dyDescent="0.2">
      <c r="A1606" s="29"/>
      <c r="B1606" s="30" t="s">
        <v>498</v>
      </c>
      <c r="C1606" s="30" t="s">
        <v>773</v>
      </c>
      <c r="D1606" s="34" t="s">
        <v>84</v>
      </c>
      <c r="E1606" s="31">
        <v>159.22799999999998</v>
      </c>
      <c r="F1606" s="31">
        <v>0</v>
      </c>
      <c r="G1606" s="32">
        <f t="shared" si="254"/>
        <v>0</v>
      </c>
      <c r="H1606" s="33">
        <f t="shared" si="251"/>
        <v>0</v>
      </c>
      <c r="K1606" t="str">
        <f xml:space="preserve"> B1600 &amp; B1606</f>
        <v>Z000161027Z040401001</v>
      </c>
    </row>
    <row r="1607" spans="1:11" outlineLevel="1" x14ac:dyDescent="0.2">
      <c r="A1607" s="29"/>
      <c r="B1607" s="30" t="s">
        <v>941</v>
      </c>
      <c r="C1607" s="30" t="s">
        <v>1485</v>
      </c>
      <c r="D1607" s="34" t="s">
        <v>1819</v>
      </c>
      <c r="E1607" s="31">
        <v>67.194215999999997</v>
      </c>
      <c r="F1607" s="31">
        <v>8.4017999999999997</v>
      </c>
      <c r="G1607" s="32">
        <f t="shared" si="254"/>
        <v>564.55236398879993</v>
      </c>
      <c r="H1607" s="33">
        <f t="shared" si="251"/>
        <v>2.9272327405041331E-6</v>
      </c>
      <c r="K1607" t="str">
        <f xml:space="preserve"> B1600 &amp; B1607</f>
        <v>Z000161027Z060101021</v>
      </c>
    </row>
    <row r="1608" spans="1:11" outlineLevel="1" x14ac:dyDescent="0.2">
      <c r="A1608" s="11" t="s">
        <v>1318</v>
      </c>
      <c r="B1608" s="11" t="s">
        <v>713</v>
      </c>
      <c r="C1608" s="11" t="s">
        <v>3725</v>
      </c>
      <c r="D1608" s="12" t="s">
        <v>153</v>
      </c>
      <c r="E1608" s="13">
        <v>217.26</v>
      </c>
      <c r="F1608" s="14">
        <v>71.47442968</v>
      </c>
      <c r="G1608" s="15">
        <f>SUM(G1609:G1615)</f>
        <v>15528.534592276799</v>
      </c>
      <c r="H1608" s="16">
        <f t="shared" si="251"/>
        <v>8.0516242194790346E-5</v>
      </c>
    </row>
    <row r="1609" spans="1:11" outlineLevel="1" x14ac:dyDescent="0.2">
      <c r="A1609" s="29"/>
      <c r="B1609" s="30" t="s">
        <v>853</v>
      </c>
      <c r="C1609" s="30" t="s">
        <v>980</v>
      </c>
      <c r="D1609" s="34" t="s">
        <v>1052</v>
      </c>
      <c r="E1609" s="31">
        <v>198.38010599999998</v>
      </c>
      <c r="F1609" s="31">
        <v>0.9</v>
      </c>
      <c r="G1609" s="32">
        <f t="shared" ref="G1609:G1615" si="255">F1609*E1609</f>
        <v>178.54209539999999</v>
      </c>
      <c r="H1609" s="33">
        <f t="shared" si="251"/>
        <v>9.2574985165319547E-7</v>
      </c>
      <c r="K1609" t="str">
        <f xml:space="preserve"> B1608 &amp; B1609</f>
        <v>Z000164013Z020201001</v>
      </c>
    </row>
    <row r="1610" spans="1:11" outlineLevel="1" x14ac:dyDescent="0.2">
      <c r="A1610" s="29"/>
      <c r="B1610" s="30" t="s">
        <v>706</v>
      </c>
      <c r="C1610" s="30" t="s">
        <v>130</v>
      </c>
      <c r="D1610" s="34" t="s">
        <v>1052</v>
      </c>
      <c r="E1610" s="31">
        <v>40.866605999999997</v>
      </c>
      <c r="F1610" s="31">
        <v>8</v>
      </c>
      <c r="G1610" s="32">
        <f t="shared" si="255"/>
        <v>326.93284799999998</v>
      </c>
      <c r="H1610" s="33">
        <f t="shared" si="251"/>
        <v>1.6951634563181939E-6</v>
      </c>
      <c r="K1610" t="str">
        <f xml:space="preserve"> B1608 &amp; B1610</f>
        <v>Z000164013Z020202001</v>
      </c>
    </row>
    <row r="1611" spans="1:11" outlineLevel="1" x14ac:dyDescent="0.2">
      <c r="A1611" s="29"/>
      <c r="B1611" s="30" t="s">
        <v>1702</v>
      </c>
      <c r="C1611" s="30" t="s">
        <v>1289</v>
      </c>
      <c r="D1611" s="34" t="s">
        <v>1152</v>
      </c>
      <c r="E1611" s="31">
        <v>73.346975999999998</v>
      </c>
      <c r="F1611" s="31">
        <v>196.42</v>
      </c>
      <c r="G1611" s="32">
        <f t="shared" si="255"/>
        <v>14406.813025919999</v>
      </c>
      <c r="H1611" s="33">
        <f t="shared" si="251"/>
        <v>7.4700058782556242E-5</v>
      </c>
      <c r="K1611" t="str">
        <f xml:space="preserve"> B1608 &amp; B1611</f>
        <v>Z000164013Z020302021</v>
      </c>
    </row>
    <row r="1612" spans="1:11" outlineLevel="1" x14ac:dyDescent="0.2">
      <c r="A1612" s="29"/>
      <c r="B1612" s="30" t="s">
        <v>939</v>
      </c>
      <c r="C1612" s="30" t="s">
        <v>640</v>
      </c>
      <c r="D1612" s="34" t="s">
        <v>151</v>
      </c>
      <c r="E1612" s="31">
        <v>0</v>
      </c>
      <c r="F1612" s="31">
        <v>21.15</v>
      </c>
      <c r="G1612" s="32">
        <f t="shared" si="255"/>
        <v>0</v>
      </c>
      <c r="H1612" s="33">
        <f t="shared" si="251"/>
        <v>0</v>
      </c>
      <c r="K1612" t="str">
        <f xml:space="preserve"> B1608 &amp; B1612</f>
        <v>Z000164013Z040201003</v>
      </c>
    </row>
    <row r="1613" spans="1:11" outlineLevel="1" x14ac:dyDescent="0.2">
      <c r="A1613" s="29"/>
      <c r="B1613" s="30" t="s">
        <v>801</v>
      </c>
      <c r="C1613" s="30" t="s">
        <v>402</v>
      </c>
      <c r="D1613" s="34" t="s">
        <v>151</v>
      </c>
      <c r="E1613" s="31">
        <v>0</v>
      </c>
      <c r="F1613" s="31">
        <v>10.3</v>
      </c>
      <c r="G1613" s="32">
        <f t="shared" si="255"/>
        <v>0</v>
      </c>
      <c r="H1613" s="33">
        <f t="shared" si="251"/>
        <v>0</v>
      </c>
      <c r="K1613" t="str">
        <f xml:space="preserve"> B1608 &amp; B1613</f>
        <v>Z000164013Z040202006</v>
      </c>
    </row>
    <row r="1614" spans="1:11" outlineLevel="1" x14ac:dyDescent="0.2">
      <c r="A1614" s="29"/>
      <c r="B1614" s="30" t="s">
        <v>498</v>
      </c>
      <c r="C1614" s="30" t="s">
        <v>773</v>
      </c>
      <c r="D1614" s="34" t="s">
        <v>84</v>
      </c>
      <c r="E1614" s="31">
        <v>260.71199999999999</v>
      </c>
      <c r="F1614" s="31">
        <v>0</v>
      </c>
      <c r="G1614" s="32">
        <f t="shared" si="255"/>
        <v>0</v>
      </c>
      <c r="H1614" s="33">
        <f t="shared" si="251"/>
        <v>0</v>
      </c>
      <c r="K1614" t="str">
        <f xml:space="preserve"> B1608 &amp; B1614</f>
        <v>Z000164013Z040401001</v>
      </c>
    </row>
    <row r="1615" spans="1:11" outlineLevel="1" x14ac:dyDescent="0.2">
      <c r="A1615" s="29"/>
      <c r="B1615" s="30" t="s">
        <v>941</v>
      </c>
      <c r="C1615" s="30" t="s">
        <v>1485</v>
      </c>
      <c r="D1615" s="34" t="s">
        <v>1819</v>
      </c>
      <c r="E1615" s="31">
        <v>73.346975999999998</v>
      </c>
      <c r="F1615" s="31">
        <v>8.4017999999999997</v>
      </c>
      <c r="G1615" s="32">
        <f t="shared" si="255"/>
        <v>616.24662295679991</v>
      </c>
      <c r="H1615" s="33">
        <f t="shared" si="251"/>
        <v>3.1952701042627074E-6</v>
      </c>
      <c r="K1615" t="str">
        <f xml:space="preserve"> B1608 &amp; B1615</f>
        <v>Z000164013Z060101021</v>
      </c>
    </row>
    <row r="1616" spans="1:11" x14ac:dyDescent="0.2">
      <c r="A1616" s="23" t="s">
        <v>1028</v>
      </c>
      <c r="B1616" s="23" t="s">
        <v>328</v>
      </c>
      <c r="C1616" s="23" t="s">
        <v>1794</v>
      </c>
      <c r="D1616" s="24"/>
      <c r="E1616" s="25"/>
      <c r="F1616" s="26"/>
      <c r="G1616" s="27">
        <f>SUM(G1617,G1631,G1642,G1653,G1664,G1673,G1682,G1693,G1704,G1714)</f>
        <v>5279699.3233994581</v>
      </c>
      <c r="H1616" s="28">
        <f t="shared" si="251"/>
        <v>2.7375509705206053E-2</v>
      </c>
    </row>
    <row r="1617" spans="1:11" outlineLevel="1" x14ac:dyDescent="0.2">
      <c r="A1617" s="11" t="s">
        <v>1189</v>
      </c>
      <c r="B1617" s="11" t="s">
        <v>725</v>
      </c>
      <c r="C1617" s="11" t="s">
        <v>3747</v>
      </c>
      <c r="D1617" s="12" t="s">
        <v>1152</v>
      </c>
      <c r="E1617" s="13">
        <v>45.38</v>
      </c>
      <c r="F1617" s="14">
        <v>146.18077499999998</v>
      </c>
      <c r="G1617" s="15">
        <f>SUM(G1618:G1630)</f>
        <v>6633.6835695</v>
      </c>
      <c r="H1617" s="16">
        <f t="shared" si="251"/>
        <v>3.4395986933056159E-5</v>
      </c>
    </row>
    <row r="1618" spans="1:11" outlineLevel="1" x14ac:dyDescent="0.2">
      <c r="A1618" s="29"/>
      <c r="B1618" s="30" t="s">
        <v>1655</v>
      </c>
      <c r="C1618" s="30" t="s">
        <v>1276</v>
      </c>
      <c r="D1618" s="34" t="s">
        <v>1052</v>
      </c>
      <c r="E1618" s="31">
        <v>453.8</v>
      </c>
      <c r="F1618" s="31">
        <v>3.88</v>
      </c>
      <c r="G1618" s="32">
        <f t="shared" ref="G1618:G1630" si="256">F1618*E1618</f>
        <v>1760.7439999999999</v>
      </c>
      <c r="H1618" s="33">
        <f t="shared" si="251"/>
        <v>9.1295472540939716E-6</v>
      </c>
      <c r="K1618" t="str">
        <f xml:space="preserve"> B1617 &amp; B1618</f>
        <v>Z000164018Z010301002</v>
      </c>
    </row>
    <row r="1619" spans="1:11" outlineLevel="1" x14ac:dyDescent="0.2">
      <c r="A1619" s="29"/>
      <c r="B1619" s="30" t="s">
        <v>1846</v>
      </c>
      <c r="C1619" s="30" t="s">
        <v>1802</v>
      </c>
      <c r="D1619" s="34" t="s">
        <v>1152</v>
      </c>
      <c r="E1619" s="31">
        <v>907.6</v>
      </c>
      <c r="F1619" s="31">
        <v>0.72</v>
      </c>
      <c r="G1619" s="32">
        <f t="shared" si="256"/>
        <v>653.47199999999998</v>
      </c>
      <c r="H1619" s="33">
        <f t="shared" si="251"/>
        <v>3.3882855788389999E-6</v>
      </c>
      <c r="K1619" t="str">
        <f xml:space="preserve"> B1617 &amp; B1619</f>
        <v>Z000164018Z020301028</v>
      </c>
    </row>
    <row r="1620" spans="1:11" outlineLevel="1" x14ac:dyDescent="0.2">
      <c r="A1620" s="29"/>
      <c r="B1620" s="30" t="s">
        <v>1244</v>
      </c>
      <c r="C1620" s="30" t="s">
        <v>3749</v>
      </c>
      <c r="D1620" s="34" t="s">
        <v>152</v>
      </c>
      <c r="E1620" s="31">
        <v>1.8152000000000001</v>
      </c>
      <c r="F1620" s="31">
        <v>11.62</v>
      </c>
      <c r="G1620" s="32">
        <f t="shared" si="256"/>
        <v>21.092624000000001</v>
      </c>
      <c r="H1620" s="33">
        <f t="shared" si="251"/>
        <v>1.093663289614144E-7</v>
      </c>
      <c r="K1620" t="str">
        <f xml:space="preserve"> B1617 &amp; B1620</f>
        <v>Z000164018Z020501001</v>
      </c>
    </row>
    <row r="1621" spans="1:11" outlineLevel="1" x14ac:dyDescent="0.2">
      <c r="A1621" s="29"/>
      <c r="B1621" s="30" t="s">
        <v>1911</v>
      </c>
      <c r="C1621" s="30" t="s">
        <v>1525</v>
      </c>
      <c r="D1621" s="34" t="s">
        <v>152</v>
      </c>
      <c r="E1621" s="31">
        <v>0.56725000000000003</v>
      </c>
      <c r="F1621" s="31">
        <v>23.59</v>
      </c>
      <c r="G1621" s="32">
        <f t="shared" si="256"/>
        <v>13.381427500000001</v>
      </c>
      <c r="H1621" s="33">
        <f t="shared" si="251"/>
        <v>6.9383382643065987E-8</v>
      </c>
      <c r="K1621" t="str">
        <f xml:space="preserve"> B1617 &amp; B1621</f>
        <v>Z000164018Z030103002</v>
      </c>
    </row>
    <row r="1622" spans="1:11" outlineLevel="1" x14ac:dyDescent="0.2">
      <c r="A1622" s="29"/>
      <c r="B1622" s="30" t="s">
        <v>684</v>
      </c>
      <c r="C1622" s="30" t="s">
        <v>3752</v>
      </c>
      <c r="D1622" s="34" t="s">
        <v>153</v>
      </c>
      <c r="E1622" s="31">
        <v>75.784599999999998</v>
      </c>
      <c r="F1622" s="31">
        <v>1.33</v>
      </c>
      <c r="G1622" s="32">
        <f t="shared" si="256"/>
        <v>100.79351800000001</v>
      </c>
      <c r="H1622" s="33">
        <f t="shared" si="251"/>
        <v>5.2261952077495167E-7</v>
      </c>
      <c r="K1622" t="str">
        <f xml:space="preserve"> B1617 &amp; B1622</f>
        <v>Z000164018Z030203010</v>
      </c>
    </row>
    <row r="1623" spans="1:11" outlineLevel="1" x14ac:dyDescent="0.2">
      <c r="A1623" s="29"/>
      <c r="B1623" s="30" t="s">
        <v>1006</v>
      </c>
      <c r="C1623" s="30" t="s">
        <v>699</v>
      </c>
      <c r="D1623" s="34" t="s">
        <v>151</v>
      </c>
      <c r="E1623" s="31">
        <v>0</v>
      </c>
      <c r="F1623" s="31">
        <v>28.988</v>
      </c>
      <c r="G1623" s="32">
        <f t="shared" si="256"/>
        <v>0</v>
      </c>
      <c r="H1623" s="33">
        <f t="shared" si="251"/>
        <v>0</v>
      </c>
      <c r="K1623" t="str">
        <f xml:space="preserve"> B1617 &amp; B1623</f>
        <v>Z000164018Z040201011</v>
      </c>
    </row>
    <row r="1624" spans="1:11" outlineLevel="1" x14ac:dyDescent="0.2">
      <c r="A1624" s="29"/>
      <c r="B1624" s="30" t="s">
        <v>801</v>
      </c>
      <c r="C1624" s="30" t="s">
        <v>402</v>
      </c>
      <c r="D1624" s="34" t="s">
        <v>151</v>
      </c>
      <c r="E1624" s="31">
        <v>0</v>
      </c>
      <c r="F1624" s="31">
        <v>10.3</v>
      </c>
      <c r="G1624" s="32">
        <f t="shared" si="256"/>
        <v>0</v>
      </c>
      <c r="H1624" s="33">
        <f t="shared" si="251"/>
        <v>0</v>
      </c>
      <c r="K1624" t="str">
        <f xml:space="preserve"> B1617 &amp; B1624</f>
        <v>Z000164018Z040202006</v>
      </c>
    </row>
    <row r="1625" spans="1:11" outlineLevel="1" x14ac:dyDescent="0.2">
      <c r="A1625" s="29"/>
      <c r="B1625" s="30" t="s">
        <v>1118</v>
      </c>
      <c r="C1625" s="30" t="s">
        <v>3757</v>
      </c>
      <c r="D1625" s="34" t="s">
        <v>1152</v>
      </c>
      <c r="E1625" s="31">
        <v>45.38</v>
      </c>
      <c r="F1625" s="31">
        <v>90</v>
      </c>
      <c r="G1625" s="32">
        <f t="shared" si="256"/>
        <v>4084.2000000000003</v>
      </c>
      <c r="H1625" s="33">
        <f t="shared" si="251"/>
        <v>2.1176784867743753E-5</v>
      </c>
      <c r="K1625" t="str">
        <f xml:space="preserve"> B1617 &amp; B1625</f>
        <v>Z000164018Z040308043</v>
      </c>
    </row>
    <row r="1626" spans="1:11" outlineLevel="1" x14ac:dyDescent="0.2">
      <c r="A1626" s="29"/>
      <c r="B1626" s="30" t="s">
        <v>498</v>
      </c>
      <c r="C1626" s="30" t="s">
        <v>773</v>
      </c>
      <c r="D1626" s="34" t="s">
        <v>84</v>
      </c>
      <c r="E1626" s="31">
        <v>54.456000000000003</v>
      </c>
      <c r="F1626" s="31">
        <v>0</v>
      </c>
      <c r="G1626" s="32">
        <f t="shared" si="256"/>
        <v>0</v>
      </c>
      <c r="H1626" s="33">
        <f t="shared" si="251"/>
        <v>0</v>
      </c>
      <c r="K1626" t="str">
        <f xml:space="preserve"> B1617 &amp; B1626</f>
        <v>Z000164018Z040401001</v>
      </c>
    </row>
    <row r="1627" spans="1:11" outlineLevel="1" x14ac:dyDescent="0.2">
      <c r="A1627" s="29"/>
      <c r="B1627" s="30" t="s">
        <v>1974</v>
      </c>
      <c r="C1627" s="30" t="s">
        <v>1647</v>
      </c>
      <c r="D1627" s="34" t="s">
        <v>764</v>
      </c>
      <c r="E1627" s="31">
        <v>0</v>
      </c>
      <c r="F1627" s="31">
        <v>3.1</v>
      </c>
      <c r="G1627" s="32">
        <f t="shared" si="256"/>
        <v>0</v>
      </c>
      <c r="H1627" s="33">
        <f t="shared" si="251"/>
        <v>0</v>
      </c>
      <c r="K1627" t="str">
        <f xml:space="preserve"> B1617 &amp; B1627</f>
        <v>Z000164018Z050103009</v>
      </c>
    </row>
    <row r="1628" spans="1:11" outlineLevel="1" x14ac:dyDescent="0.2">
      <c r="A1628" s="29"/>
      <c r="B1628" s="30" t="s">
        <v>44</v>
      </c>
      <c r="C1628" s="30" t="s">
        <v>1634</v>
      </c>
      <c r="D1628" s="34" t="s">
        <v>742</v>
      </c>
      <c r="E1628" s="31">
        <v>0</v>
      </c>
      <c r="F1628" s="31">
        <v>0.67</v>
      </c>
      <c r="G1628" s="32">
        <f t="shared" si="256"/>
        <v>0</v>
      </c>
      <c r="H1628" s="33">
        <f t="shared" si="251"/>
        <v>0</v>
      </c>
      <c r="K1628" t="str">
        <f xml:space="preserve"> B1617 &amp; B1628</f>
        <v>Z000164018Z050103010</v>
      </c>
    </row>
    <row r="1629" spans="1:11" outlineLevel="1" x14ac:dyDescent="0.2">
      <c r="A1629" s="29"/>
      <c r="B1629" s="30" t="s">
        <v>66</v>
      </c>
      <c r="C1629" s="30" t="s">
        <v>617</v>
      </c>
      <c r="D1629" s="34" t="s">
        <v>764</v>
      </c>
      <c r="E1629" s="31">
        <v>0</v>
      </c>
      <c r="F1629" s="31">
        <v>5.45</v>
      </c>
      <c r="G1629" s="32">
        <f t="shared" si="256"/>
        <v>0</v>
      </c>
      <c r="H1629" s="33">
        <f t="shared" si="251"/>
        <v>0</v>
      </c>
      <c r="K1629" t="str">
        <f xml:space="preserve"> B1617 &amp; B1629</f>
        <v>Z000164018Z050103019</v>
      </c>
    </row>
    <row r="1630" spans="1:11" outlineLevel="1" x14ac:dyDescent="0.2">
      <c r="A1630" s="29"/>
      <c r="B1630" s="30" t="s">
        <v>120</v>
      </c>
      <c r="C1630" s="30" t="s">
        <v>597</v>
      </c>
      <c r="D1630" s="34" t="s">
        <v>742</v>
      </c>
      <c r="E1630" s="31">
        <v>0</v>
      </c>
      <c r="F1630" s="31">
        <v>1.52</v>
      </c>
      <c r="G1630" s="32">
        <f t="shared" si="256"/>
        <v>0</v>
      </c>
      <c r="H1630" s="33">
        <f t="shared" ref="H1630:H1681" si="257">G1630/$F$2</f>
        <v>0</v>
      </c>
      <c r="K1630" t="str">
        <f xml:space="preserve"> B1617 &amp; B1630</f>
        <v>Z000164018Z050103020</v>
      </c>
    </row>
    <row r="1631" spans="1:11" outlineLevel="1" x14ac:dyDescent="0.2">
      <c r="A1631" s="11" t="s">
        <v>1192</v>
      </c>
      <c r="B1631" s="11" t="s">
        <v>5032</v>
      </c>
      <c r="C1631" s="11" t="s">
        <v>5034</v>
      </c>
      <c r="D1631" s="12" t="s">
        <v>1152</v>
      </c>
      <c r="E1631" s="13">
        <v>2745.76</v>
      </c>
      <c r="F1631" s="14">
        <v>922.33700000000022</v>
      </c>
      <c r="G1631" s="15">
        <f>SUM(G1632:G1641)</f>
        <v>2532516.0411200006</v>
      </c>
      <c r="H1631" s="16">
        <f t="shared" si="257"/>
        <v>1.3131224567089844E-2</v>
      </c>
    </row>
    <row r="1632" spans="1:11" outlineLevel="1" x14ac:dyDescent="0.2">
      <c r="A1632" s="29"/>
      <c r="B1632" s="30" t="s">
        <v>853</v>
      </c>
      <c r="C1632" s="30" t="s">
        <v>980</v>
      </c>
      <c r="D1632" s="34" t="s">
        <v>1052</v>
      </c>
      <c r="E1632" s="31">
        <v>25068.788800000006</v>
      </c>
      <c r="F1632" s="31">
        <v>0.9</v>
      </c>
      <c r="G1632" s="32">
        <f t="shared" ref="G1632:G1641" si="258">F1632*E1632</f>
        <v>22561.909920000006</v>
      </c>
      <c r="H1632" s="33">
        <f t="shared" si="257"/>
        <v>1.1698465123677923E-4</v>
      </c>
      <c r="K1632" t="str">
        <f xml:space="preserve"> B1631 &amp; B1632</f>
        <v>Z000163068Z020201001</v>
      </c>
    </row>
    <row r="1633" spans="1:11" outlineLevel="1" x14ac:dyDescent="0.2">
      <c r="A1633" s="29"/>
      <c r="B1633" s="30" t="s">
        <v>706</v>
      </c>
      <c r="C1633" s="30" t="s">
        <v>130</v>
      </c>
      <c r="D1633" s="34" t="s">
        <v>1052</v>
      </c>
      <c r="E1633" s="31">
        <v>384.40640000000008</v>
      </c>
      <c r="F1633" s="31">
        <v>8</v>
      </c>
      <c r="G1633" s="32">
        <f t="shared" si="258"/>
        <v>3075.2512000000006</v>
      </c>
      <c r="H1633" s="33">
        <f t="shared" si="257"/>
        <v>1.5945333988705457E-5</v>
      </c>
      <c r="K1633" t="str">
        <f xml:space="preserve"> B1631 &amp; B1633</f>
        <v>Z000163068Z020202001</v>
      </c>
    </row>
    <row r="1634" spans="1:11" outlineLevel="1" x14ac:dyDescent="0.2">
      <c r="A1634" s="29"/>
      <c r="B1634" s="30" t="s">
        <v>1837</v>
      </c>
      <c r="C1634" s="30" t="s">
        <v>3631</v>
      </c>
      <c r="D1634" s="34" t="s">
        <v>1152</v>
      </c>
      <c r="E1634" s="31">
        <v>3020.3360000000007</v>
      </c>
      <c r="F1634" s="31">
        <v>680</v>
      </c>
      <c r="G1634" s="32">
        <f t="shared" si="258"/>
        <v>2053828.4800000004</v>
      </c>
      <c r="H1634" s="33">
        <f t="shared" si="257"/>
        <v>1.0649205199599715E-2</v>
      </c>
      <c r="K1634" t="str">
        <f xml:space="preserve"> B1631 &amp; B1634</f>
        <v>Z000163068Z020301025</v>
      </c>
    </row>
    <row r="1635" spans="1:11" outlineLevel="1" x14ac:dyDescent="0.2">
      <c r="A1635" s="29"/>
      <c r="B1635" s="30" t="s">
        <v>1006</v>
      </c>
      <c r="C1635" s="30" t="s">
        <v>699</v>
      </c>
      <c r="D1635" s="34" t="s">
        <v>151</v>
      </c>
      <c r="E1635" s="31">
        <v>0</v>
      </c>
      <c r="F1635" s="31">
        <v>28.988</v>
      </c>
      <c r="G1635" s="32">
        <f t="shared" si="258"/>
        <v>0</v>
      </c>
      <c r="H1635" s="33">
        <f t="shared" si="257"/>
        <v>0</v>
      </c>
      <c r="K1635" t="str">
        <f xml:space="preserve"> B1631 &amp; B1635</f>
        <v>Z000163068Z040201011</v>
      </c>
    </row>
    <row r="1636" spans="1:11" outlineLevel="1" x14ac:dyDescent="0.2">
      <c r="A1636" s="29"/>
      <c r="B1636" s="30" t="s">
        <v>801</v>
      </c>
      <c r="C1636" s="30" t="s">
        <v>402</v>
      </c>
      <c r="D1636" s="34" t="s">
        <v>151</v>
      </c>
      <c r="E1636" s="31">
        <v>0</v>
      </c>
      <c r="F1636" s="31">
        <v>10.3</v>
      </c>
      <c r="G1636" s="32">
        <f t="shared" si="258"/>
        <v>0</v>
      </c>
      <c r="H1636" s="33">
        <f t="shared" si="257"/>
        <v>0</v>
      </c>
      <c r="K1636" t="str">
        <f xml:space="preserve"> B1631 &amp; B1636</f>
        <v>Z000163068Z040202006</v>
      </c>
    </row>
    <row r="1637" spans="1:11" outlineLevel="1" x14ac:dyDescent="0.2">
      <c r="A1637" s="29"/>
      <c r="B1637" s="30" t="s">
        <v>824</v>
      </c>
      <c r="C1637" s="30" t="s">
        <v>3418</v>
      </c>
      <c r="D1637" s="34" t="s">
        <v>1152</v>
      </c>
      <c r="E1637" s="31">
        <v>3020.3360000000007</v>
      </c>
      <c r="F1637" s="31">
        <v>25</v>
      </c>
      <c r="G1637" s="32">
        <f t="shared" si="258"/>
        <v>75508.400000000023</v>
      </c>
      <c r="H1637" s="33">
        <f t="shared" si="257"/>
        <v>3.9151489704410721E-4</v>
      </c>
      <c r="K1637" t="str">
        <f xml:space="preserve"> B1631 &amp; B1637</f>
        <v>Z000163068Z040308001</v>
      </c>
    </row>
    <row r="1638" spans="1:11" outlineLevel="1" x14ac:dyDescent="0.2">
      <c r="A1638" s="29"/>
      <c r="B1638" s="30" t="s">
        <v>838</v>
      </c>
      <c r="C1638" s="30" t="s">
        <v>3419</v>
      </c>
      <c r="D1638" s="34" t="s">
        <v>1152</v>
      </c>
      <c r="E1638" s="31">
        <v>2745.76</v>
      </c>
      <c r="F1638" s="31">
        <v>90</v>
      </c>
      <c r="G1638" s="32">
        <f t="shared" si="258"/>
        <v>247118.40000000002</v>
      </c>
      <c r="H1638" s="33">
        <f t="shared" si="257"/>
        <v>1.2813214812352597E-3</v>
      </c>
      <c r="K1638" t="str">
        <f xml:space="preserve"> B1631 &amp; B1638</f>
        <v>Z000163068Z040308006</v>
      </c>
    </row>
    <row r="1639" spans="1:11" outlineLevel="1" x14ac:dyDescent="0.2">
      <c r="A1639" s="29"/>
      <c r="B1639" s="30" t="s">
        <v>903</v>
      </c>
      <c r="C1639" s="30" t="s">
        <v>864</v>
      </c>
      <c r="D1639" s="34" t="s">
        <v>1152</v>
      </c>
      <c r="E1639" s="31">
        <v>2745.76</v>
      </c>
      <c r="F1639" s="31">
        <v>3.5</v>
      </c>
      <c r="G1639" s="32">
        <f t="shared" si="258"/>
        <v>9610.16</v>
      </c>
      <c r="H1639" s="33">
        <f t="shared" si="257"/>
        <v>4.982916871470454E-5</v>
      </c>
      <c r="K1639" t="str">
        <f xml:space="preserve"> B1631 &amp; B1639</f>
        <v>Z000163068Z040308018</v>
      </c>
    </row>
    <row r="1640" spans="1:11" outlineLevel="1" x14ac:dyDescent="0.2">
      <c r="A1640" s="29"/>
      <c r="B1640" s="30" t="s">
        <v>498</v>
      </c>
      <c r="C1640" s="30" t="s">
        <v>773</v>
      </c>
      <c r="D1640" s="34" t="s">
        <v>84</v>
      </c>
      <c r="E1640" s="31">
        <v>3294.9120000000003</v>
      </c>
      <c r="F1640" s="31">
        <v>0</v>
      </c>
      <c r="G1640" s="32">
        <f t="shared" si="258"/>
        <v>0</v>
      </c>
      <c r="H1640" s="33">
        <f t="shared" si="257"/>
        <v>0</v>
      </c>
      <c r="K1640" t="str">
        <f xml:space="preserve"> B1631 &amp; B1640</f>
        <v>Z000163068Z040401001</v>
      </c>
    </row>
    <row r="1641" spans="1:11" outlineLevel="1" x14ac:dyDescent="0.2">
      <c r="A1641" s="29"/>
      <c r="B1641" s="30" t="s">
        <v>946</v>
      </c>
      <c r="C1641" s="30" t="s">
        <v>1695</v>
      </c>
      <c r="D1641" s="34" t="s">
        <v>1819</v>
      </c>
      <c r="E1641" s="31">
        <v>3020.3360000000007</v>
      </c>
      <c r="F1641" s="31">
        <v>40</v>
      </c>
      <c r="G1641" s="32">
        <f t="shared" si="258"/>
        <v>120813.44000000003</v>
      </c>
      <c r="H1641" s="33">
        <f t="shared" si="257"/>
        <v>6.2642383527057154E-4</v>
      </c>
      <c r="K1641" t="str">
        <f xml:space="preserve"> B1631 &amp; B1641</f>
        <v>Z000163068Z060101023</v>
      </c>
    </row>
    <row r="1642" spans="1:11" outlineLevel="1" x14ac:dyDescent="0.2">
      <c r="A1642" s="11" t="s">
        <v>1199</v>
      </c>
      <c r="B1642" s="11" t="s">
        <v>1155</v>
      </c>
      <c r="C1642" s="11" t="s">
        <v>3644</v>
      </c>
      <c r="D1642" s="12" t="s">
        <v>1152</v>
      </c>
      <c r="E1642" s="13">
        <v>2086.92</v>
      </c>
      <c r="F1642" s="14">
        <v>1054.3370000000002</v>
      </c>
      <c r="G1642" s="15">
        <f>SUM(G1643:G1652)</f>
        <v>2200316.9720400004</v>
      </c>
      <c r="H1642" s="16">
        <f t="shared" si="257"/>
        <v>1.1408755486444452E-2</v>
      </c>
    </row>
    <row r="1643" spans="1:11" outlineLevel="1" x14ac:dyDescent="0.2">
      <c r="A1643" s="29"/>
      <c r="B1643" s="30" t="s">
        <v>853</v>
      </c>
      <c r="C1643" s="30" t="s">
        <v>980</v>
      </c>
      <c r="D1643" s="34" t="s">
        <v>1052</v>
      </c>
      <c r="E1643" s="31">
        <v>19053.579600000001</v>
      </c>
      <c r="F1643" s="31">
        <v>0.9</v>
      </c>
      <c r="G1643" s="32">
        <f t="shared" ref="G1643:G1652" si="259">F1643*E1643</f>
        <v>17148.22164</v>
      </c>
      <c r="H1643" s="33">
        <f t="shared" si="257"/>
        <v>8.8914401972153164E-5</v>
      </c>
      <c r="K1643" t="str">
        <f xml:space="preserve"> B1642 &amp; B1643</f>
        <v>Z000163050Z020201001</v>
      </c>
    </row>
    <row r="1644" spans="1:11" outlineLevel="1" x14ac:dyDescent="0.2">
      <c r="A1644" s="29"/>
      <c r="B1644" s="30" t="s">
        <v>706</v>
      </c>
      <c r="C1644" s="30" t="s">
        <v>130</v>
      </c>
      <c r="D1644" s="34" t="s">
        <v>1052</v>
      </c>
      <c r="E1644" s="31">
        <v>292.16880000000003</v>
      </c>
      <c r="F1644" s="31">
        <v>8</v>
      </c>
      <c r="G1644" s="32">
        <f t="shared" si="259"/>
        <v>2337.3504000000003</v>
      </c>
      <c r="H1644" s="33">
        <f t="shared" si="257"/>
        <v>1.2119280784813381E-5</v>
      </c>
      <c r="K1644" t="str">
        <f xml:space="preserve"> B1642 &amp; B1644</f>
        <v>Z000163050Z020202001</v>
      </c>
    </row>
    <row r="1645" spans="1:11" outlineLevel="1" x14ac:dyDescent="0.2">
      <c r="A1645" s="29"/>
      <c r="B1645" s="30" t="s">
        <v>1843</v>
      </c>
      <c r="C1645" s="30" t="s">
        <v>389</v>
      </c>
      <c r="D1645" s="34" t="s">
        <v>1152</v>
      </c>
      <c r="E1645" s="31">
        <v>2295.6120000000001</v>
      </c>
      <c r="F1645" s="31">
        <v>800</v>
      </c>
      <c r="G1645" s="32">
        <f t="shared" si="259"/>
        <v>1836489.6</v>
      </c>
      <c r="H1645" s="33">
        <f t="shared" si="257"/>
        <v>9.5222920452105123E-3</v>
      </c>
      <c r="K1645" t="str">
        <f xml:space="preserve"> B1642 &amp; B1645</f>
        <v>Z000163050Z020301027</v>
      </c>
    </row>
    <row r="1646" spans="1:11" outlineLevel="1" x14ac:dyDescent="0.2">
      <c r="A1646" s="29"/>
      <c r="B1646" s="30" t="s">
        <v>1006</v>
      </c>
      <c r="C1646" s="30" t="s">
        <v>699</v>
      </c>
      <c r="D1646" s="34" t="s">
        <v>151</v>
      </c>
      <c r="E1646" s="31">
        <v>0</v>
      </c>
      <c r="F1646" s="31">
        <v>28.988</v>
      </c>
      <c r="G1646" s="32">
        <f t="shared" si="259"/>
        <v>0</v>
      </c>
      <c r="H1646" s="33">
        <f t="shared" si="257"/>
        <v>0</v>
      </c>
      <c r="K1646" t="str">
        <f xml:space="preserve"> B1642 &amp; B1646</f>
        <v>Z000163050Z040201011</v>
      </c>
    </row>
    <row r="1647" spans="1:11" outlineLevel="1" x14ac:dyDescent="0.2">
      <c r="A1647" s="29"/>
      <c r="B1647" s="30" t="s">
        <v>801</v>
      </c>
      <c r="C1647" s="30" t="s">
        <v>402</v>
      </c>
      <c r="D1647" s="34" t="s">
        <v>151</v>
      </c>
      <c r="E1647" s="31">
        <v>0</v>
      </c>
      <c r="F1647" s="31">
        <v>10.3</v>
      </c>
      <c r="G1647" s="32">
        <f t="shared" si="259"/>
        <v>0</v>
      </c>
      <c r="H1647" s="33">
        <f t="shared" si="257"/>
        <v>0</v>
      </c>
      <c r="K1647" t="str">
        <f xml:space="preserve"> B1642 &amp; B1647</f>
        <v>Z000163050Z040202006</v>
      </c>
    </row>
    <row r="1648" spans="1:11" outlineLevel="1" x14ac:dyDescent="0.2">
      <c r="A1648" s="29"/>
      <c r="B1648" s="30" t="s">
        <v>824</v>
      </c>
      <c r="C1648" s="30" t="s">
        <v>3418</v>
      </c>
      <c r="D1648" s="34" t="s">
        <v>1152</v>
      </c>
      <c r="E1648" s="31">
        <v>2295.6120000000001</v>
      </c>
      <c r="F1648" s="31">
        <v>25</v>
      </c>
      <c r="G1648" s="32">
        <f t="shared" si="259"/>
        <v>57390.3</v>
      </c>
      <c r="H1648" s="33">
        <f t="shared" si="257"/>
        <v>2.9757162641282851E-4</v>
      </c>
      <c r="K1648" t="str">
        <f xml:space="preserve"> B1642 &amp; B1648</f>
        <v>Z000163050Z040308001</v>
      </c>
    </row>
    <row r="1649" spans="1:11" outlineLevel="1" x14ac:dyDescent="0.2">
      <c r="A1649" s="29"/>
      <c r="B1649" s="30" t="s">
        <v>838</v>
      </c>
      <c r="C1649" s="30" t="s">
        <v>3419</v>
      </c>
      <c r="D1649" s="34" t="s">
        <v>1152</v>
      </c>
      <c r="E1649" s="31">
        <v>2086.92</v>
      </c>
      <c r="F1649" s="31">
        <v>90</v>
      </c>
      <c r="G1649" s="32">
        <f t="shared" si="259"/>
        <v>187822.80000000002</v>
      </c>
      <c r="H1649" s="33">
        <f t="shared" si="257"/>
        <v>9.7387077735107527E-4</v>
      </c>
      <c r="K1649" t="str">
        <f xml:space="preserve"> B1642 &amp; B1649</f>
        <v>Z000163050Z040308006</v>
      </c>
    </row>
    <row r="1650" spans="1:11" outlineLevel="1" x14ac:dyDescent="0.2">
      <c r="A1650" s="29"/>
      <c r="B1650" s="30" t="s">
        <v>903</v>
      </c>
      <c r="C1650" s="30" t="s">
        <v>864</v>
      </c>
      <c r="D1650" s="34" t="s">
        <v>1152</v>
      </c>
      <c r="E1650" s="31">
        <v>2086.92</v>
      </c>
      <c r="F1650" s="31">
        <v>3.5</v>
      </c>
      <c r="G1650" s="32">
        <f t="shared" si="259"/>
        <v>7304.22</v>
      </c>
      <c r="H1650" s="33">
        <f t="shared" si="257"/>
        <v>3.7872752452541809E-5</v>
      </c>
      <c r="K1650" t="str">
        <f xml:space="preserve"> B1642 &amp; B1650</f>
        <v>Z000163050Z040308018</v>
      </c>
    </row>
    <row r="1651" spans="1:11" outlineLevel="1" x14ac:dyDescent="0.2">
      <c r="A1651" s="29"/>
      <c r="B1651" s="30" t="s">
        <v>498</v>
      </c>
      <c r="C1651" s="30" t="s">
        <v>773</v>
      </c>
      <c r="D1651" s="34" t="s">
        <v>84</v>
      </c>
      <c r="E1651" s="31">
        <v>2504.3040000000001</v>
      </c>
      <c r="F1651" s="31">
        <v>0</v>
      </c>
      <c r="G1651" s="32">
        <f t="shared" si="259"/>
        <v>0</v>
      </c>
      <c r="H1651" s="33">
        <f t="shared" si="257"/>
        <v>0</v>
      </c>
      <c r="K1651" t="str">
        <f xml:space="preserve"> B1642 &amp; B1651</f>
        <v>Z000163050Z040401001</v>
      </c>
    </row>
    <row r="1652" spans="1:11" outlineLevel="1" x14ac:dyDescent="0.2">
      <c r="A1652" s="29"/>
      <c r="B1652" s="30" t="s">
        <v>946</v>
      </c>
      <c r="C1652" s="30" t="s">
        <v>1695</v>
      </c>
      <c r="D1652" s="34" t="s">
        <v>1819</v>
      </c>
      <c r="E1652" s="31">
        <v>2295.6120000000001</v>
      </c>
      <c r="F1652" s="31">
        <v>40</v>
      </c>
      <c r="G1652" s="32">
        <f t="shared" si="259"/>
        <v>91824.48000000001</v>
      </c>
      <c r="H1652" s="33">
        <f t="shared" si="257"/>
        <v>4.7611460226052566E-4</v>
      </c>
      <c r="K1652" t="str">
        <f xml:space="preserve"> B1642 &amp; B1652</f>
        <v>Z000163050Z060101023</v>
      </c>
    </row>
    <row r="1653" spans="1:11" outlineLevel="1" x14ac:dyDescent="0.2">
      <c r="A1653" s="11" t="s">
        <v>1205</v>
      </c>
      <c r="B1653" s="11" t="s">
        <v>5058</v>
      </c>
      <c r="C1653" s="11" t="s">
        <v>5060</v>
      </c>
      <c r="D1653" s="12" t="s">
        <v>1152</v>
      </c>
      <c r="E1653" s="13">
        <v>28.22</v>
      </c>
      <c r="F1653" s="14">
        <v>1317.8780000000002</v>
      </c>
      <c r="G1653" s="15">
        <f>SUM(G1654:G1663)</f>
        <v>37190.517160000003</v>
      </c>
      <c r="H1653" s="16">
        <f t="shared" si="257"/>
        <v>1.928347243076863E-4</v>
      </c>
    </row>
    <row r="1654" spans="1:11" outlineLevel="1" x14ac:dyDescent="0.2">
      <c r="A1654" s="29"/>
      <c r="B1654" s="30" t="s">
        <v>838</v>
      </c>
      <c r="C1654" s="30" t="s">
        <v>3419</v>
      </c>
      <c r="D1654" s="34" t="s">
        <v>1052</v>
      </c>
      <c r="E1654" s="31">
        <v>28.22</v>
      </c>
      <c r="F1654" s="31">
        <v>90</v>
      </c>
      <c r="G1654" s="32">
        <f t="shared" ref="G1654:G1663" si="260">F1654*E1654</f>
        <v>2539.7999999999997</v>
      </c>
      <c r="H1654" s="33">
        <f t="shared" si="257"/>
        <v>1.3168992264603979E-5</v>
      </c>
      <c r="K1654" t="str">
        <f xml:space="preserve"> B1653 &amp; B1654</f>
        <v>Z000163071Z040308006</v>
      </c>
    </row>
    <row r="1655" spans="1:11" outlineLevel="1" x14ac:dyDescent="0.2">
      <c r="A1655" s="29"/>
      <c r="B1655" s="30" t="s">
        <v>853</v>
      </c>
      <c r="C1655" s="30" t="s">
        <v>980</v>
      </c>
      <c r="D1655" s="34" t="s">
        <v>1052</v>
      </c>
      <c r="E1655" s="31">
        <v>243.25639999999996</v>
      </c>
      <c r="F1655" s="31">
        <v>0.9</v>
      </c>
      <c r="G1655" s="32">
        <f t="shared" si="260"/>
        <v>218.93075999999996</v>
      </c>
      <c r="H1655" s="33">
        <f t="shared" si="257"/>
        <v>1.1351671332088629E-6</v>
      </c>
      <c r="K1655" t="str">
        <f xml:space="preserve"> B1653 &amp; B1655</f>
        <v>Z000163071Z020201001</v>
      </c>
    </row>
    <row r="1656" spans="1:11" outlineLevel="1" x14ac:dyDescent="0.2">
      <c r="A1656" s="29"/>
      <c r="B1656" s="30" t="s">
        <v>801</v>
      </c>
      <c r="C1656" s="30" t="s">
        <v>402</v>
      </c>
      <c r="D1656" s="34" t="s">
        <v>1152</v>
      </c>
      <c r="E1656" s="31">
        <v>0</v>
      </c>
      <c r="F1656" s="31">
        <v>10.3</v>
      </c>
      <c r="G1656" s="32">
        <f t="shared" si="260"/>
        <v>0</v>
      </c>
      <c r="H1656" s="33">
        <f t="shared" si="257"/>
        <v>0</v>
      </c>
      <c r="K1656" t="str">
        <f xml:space="preserve"> B1653 &amp; B1656</f>
        <v>Z000163071Z040202006</v>
      </c>
    </row>
    <row r="1657" spans="1:11" outlineLevel="1" x14ac:dyDescent="0.2">
      <c r="A1657" s="29"/>
      <c r="B1657" s="30" t="s">
        <v>706</v>
      </c>
      <c r="C1657" s="30" t="s">
        <v>130</v>
      </c>
      <c r="D1657" s="34" t="s">
        <v>151</v>
      </c>
      <c r="E1657" s="31">
        <v>3.9508000000000001</v>
      </c>
      <c r="F1657" s="31">
        <v>8</v>
      </c>
      <c r="G1657" s="32">
        <f t="shared" si="260"/>
        <v>31.606400000000001</v>
      </c>
      <c r="H1657" s="33">
        <f t="shared" si="257"/>
        <v>1.6388079262618287E-7</v>
      </c>
      <c r="K1657" t="str">
        <f xml:space="preserve"> B1653 &amp; B1657</f>
        <v>Z000163071Z020202001</v>
      </c>
    </row>
    <row r="1658" spans="1:11" outlineLevel="1" x14ac:dyDescent="0.2">
      <c r="A1658" s="29"/>
      <c r="B1658" s="30" t="s">
        <v>824</v>
      </c>
      <c r="C1658" s="30" t="s">
        <v>3418</v>
      </c>
      <c r="D1658" s="34" t="s">
        <v>151</v>
      </c>
      <c r="E1658" s="31">
        <v>31.042000000000002</v>
      </c>
      <c r="F1658" s="31">
        <v>25</v>
      </c>
      <c r="G1658" s="32">
        <f t="shared" si="260"/>
        <v>776.05000000000007</v>
      </c>
      <c r="H1658" s="33">
        <f t="shared" si="257"/>
        <v>4.0238587475178837E-6</v>
      </c>
      <c r="K1658" t="str">
        <f xml:space="preserve"> B1653 &amp; B1658</f>
        <v>Z000163071Z040308001</v>
      </c>
    </row>
    <row r="1659" spans="1:11" outlineLevel="1" x14ac:dyDescent="0.2">
      <c r="A1659" s="29"/>
      <c r="B1659" s="30" t="s">
        <v>498</v>
      </c>
      <c r="C1659" s="30" t="s">
        <v>773</v>
      </c>
      <c r="D1659" s="34" t="s">
        <v>1152</v>
      </c>
      <c r="E1659" s="31">
        <v>33.863999999999997</v>
      </c>
      <c r="F1659" s="31">
        <v>0</v>
      </c>
      <c r="G1659" s="32">
        <f t="shared" si="260"/>
        <v>0</v>
      </c>
      <c r="H1659" s="33">
        <f t="shared" si="257"/>
        <v>0</v>
      </c>
      <c r="K1659" t="str">
        <f xml:space="preserve"> B1653 &amp; B1659</f>
        <v>Z000163071Z040401001</v>
      </c>
    </row>
    <row r="1660" spans="1:11" outlineLevel="1" x14ac:dyDescent="0.2">
      <c r="A1660" s="29"/>
      <c r="B1660" s="30" t="s">
        <v>1006</v>
      </c>
      <c r="C1660" s="30" t="s">
        <v>699</v>
      </c>
      <c r="D1660" s="34" t="s">
        <v>1152</v>
      </c>
      <c r="E1660" s="31">
        <v>0</v>
      </c>
      <c r="F1660" s="31">
        <v>28.988</v>
      </c>
      <c r="G1660" s="32">
        <f t="shared" si="260"/>
        <v>0</v>
      </c>
      <c r="H1660" s="33">
        <f t="shared" si="257"/>
        <v>0</v>
      </c>
      <c r="K1660" t="str">
        <f xml:space="preserve"> B1653 &amp; B1660</f>
        <v>Z000163071Z040201011</v>
      </c>
    </row>
    <row r="1661" spans="1:11" outlineLevel="1" x14ac:dyDescent="0.2">
      <c r="A1661" s="29"/>
      <c r="B1661" s="30" t="s">
        <v>903</v>
      </c>
      <c r="C1661" s="30" t="s">
        <v>864</v>
      </c>
      <c r="D1661" s="34" t="s">
        <v>1152</v>
      </c>
      <c r="E1661" s="31">
        <v>28.22</v>
      </c>
      <c r="F1661" s="31">
        <v>3.5</v>
      </c>
      <c r="G1661" s="32">
        <f t="shared" si="260"/>
        <v>98.77</v>
      </c>
      <c r="H1661" s="33">
        <f t="shared" si="257"/>
        <v>5.1212747695682152E-7</v>
      </c>
      <c r="K1661" t="str">
        <f xml:space="preserve"> B1653 &amp; B1661</f>
        <v>Z000163071Z040308018</v>
      </c>
    </row>
    <row r="1662" spans="1:11" outlineLevel="1" x14ac:dyDescent="0.2">
      <c r="A1662" s="29"/>
      <c r="B1662" s="30" t="s">
        <v>946</v>
      </c>
      <c r="C1662" s="30" t="s">
        <v>1695</v>
      </c>
      <c r="D1662" s="34" t="s">
        <v>84</v>
      </c>
      <c r="E1662" s="31">
        <v>31.042000000000002</v>
      </c>
      <c r="F1662" s="31">
        <v>40</v>
      </c>
      <c r="G1662" s="32">
        <f t="shared" si="260"/>
        <v>1241.68</v>
      </c>
      <c r="H1662" s="33">
        <f t="shared" si="257"/>
        <v>6.4381739960286134E-6</v>
      </c>
      <c r="K1662" t="str">
        <f xml:space="preserve"> B1653 &amp; B1662</f>
        <v>Z000163071Z060101023</v>
      </c>
    </row>
    <row r="1663" spans="1:11" outlineLevel="1" x14ac:dyDescent="0.2">
      <c r="A1663" s="29"/>
      <c r="B1663" s="30" t="s">
        <v>5069</v>
      </c>
      <c r="C1663" s="30" t="s">
        <v>5070</v>
      </c>
      <c r="D1663" s="34" t="s">
        <v>1819</v>
      </c>
      <c r="E1663" s="31">
        <v>31.042000000000002</v>
      </c>
      <c r="F1663" s="31">
        <v>1040</v>
      </c>
      <c r="G1663" s="32">
        <f t="shared" si="260"/>
        <v>32283.68</v>
      </c>
      <c r="H1663" s="33">
        <f t="shared" si="257"/>
        <v>1.6739252389674393E-4</v>
      </c>
      <c r="K1663" t="str">
        <f xml:space="preserve"> B1653 &amp; B1663</f>
        <v>Z000163071Z020301039</v>
      </c>
    </row>
    <row r="1664" spans="1:11" outlineLevel="1" x14ac:dyDescent="0.2">
      <c r="A1664" s="11" t="s">
        <v>1210</v>
      </c>
      <c r="B1664" s="11" t="s">
        <v>5020</v>
      </c>
      <c r="C1664" s="11" t="s">
        <v>5022</v>
      </c>
      <c r="D1664" s="12" t="s">
        <v>1152</v>
      </c>
      <c r="E1664" s="13">
        <v>527.07000000000005</v>
      </c>
      <c r="F1664" s="14">
        <v>153.57789</v>
      </c>
      <c r="G1664" s="15">
        <f>SUM(G1665:G1672)</f>
        <v>80946.298482300001</v>
      </c>
      <c r="H1664" s="16">
        <f t="shared" si="257"/>
        <v>4.1971067743985102E-4</v>
      </c>
    </row>
    <row r="1665" spans="1:11" outlineLevel="1" x14ac:dyDescent="0.2">
      <c r="A1665" s="29"/>
      <c r="B1665" s="30" t="s">
        <v>853</v>
      </c>
      <c r="C1665" s="30" t="s">
        <v>980</v>
      </c>
      <c r="D1665" s="34" t="s">
        <v>1052</v>
      </c>
      <c r="E1665" s="31">
        <v>681.02714700000013</v>
      </c>
      <c r="F1665" s="31">
        <v>0.9</v>
      </c>
      <c r="G1665" s="32">
        <f t="shared" ref="G1665:G1672" si="261">F1665*E1665</f>
        <v>612.92443230000015</v>
      </c>
      <c r="H1665" s="33">
        <f t="shared" si="257"/>
        <v>3.1780443766223671E-6</v>
      </c>
      <c r="K1665" t="str">
        <f xml:space="preserve"> B1664 &amp; B1665</f>
        <v>Z000163067Z020201001</v>
      </c>
    </row>
    <row r="1666" spans="1:11" outlineLevel="1" x14ac:dyDescent="0.2">
      <c r="A1666" s="29"/>
      <c r="B1666" s="30" t="s">
        <v>801</v>
      </c>
      <c r="C1666" s="30" t="s">
        <v>402</v>
      </c>
      <c r="D1666" s="34" t="s">
        <v>1052</v>
      </c>
      <c r="E1666" s="31">
        <v>0</v>
      </c>
      <c r="F1666" s="31">
        <v>10.3</v>
      </c>
      <c r="G1666" s="32">
        <f t="shared" si="261"/>
        <v>0</v>
      </c>
      <c r="H1666" s="33">
        <f t="shared" si="257"/>
        <v>0</v>
      </c>
      <c r="K1666" t="str">
        <f xml:space="preserve"> B1664 &amp; B1666</f>
        <v>Z000163067Z040202006</v>
      </c>
    </row>
    <row r="1667" spans="1:11" outlineLevel="1" x14ac:dyDescent="0.2">
      <c r="A1667" s="29"/>
      <c r="B1667" s="30" t="s">
        <v>706</v>
      </c>
      <c r="C1667" s="30" t="s">
        <v>130</v>
      </c>
      <c r="D1667" s="34" t="s">
        <v>1152</v>
      </c>
      <c r="E1667" s="31">
        <v>94.872600000000006</v>
      </c>
      <c r="F1667" s="31">
        <v>8</v>
      </c>
      <c r="G1667" s="32">
        <f t="shared" si="261"/>
        <v>758.98080000000004</v>
      </c>
      <c r="H1667" s="33">
        <f t="shared" si="257"/>
        <v>3.9353540767709824E-6</v>
      </c>
      <c r="K1667" t="str">
        <f xml:space="preserve"> B1664 &amp; B1667</f>
        <v>Z000163067Z020202001</v>
      </c>
    </row>
    <row r="1668" spans="1:11" outlineLevel="1" x14ac:dyDescent="0.2">
      <c r="A1668" s="29"/>
      <c r="B1668" s="30" t="s">
        <v>824</v>
      </c>
      <c r="C1668" s="30" t="s">
        <v>3418</v>
      </c>
      <c r="D1668" s="34" t="s">
        <v>151</v>
      </c>
      <c r="E1668" s="31">
        <v>86.966550000000012</v>
      </c>
      <c r="F1668" s="31">
        <v>25</v>
      </c>
      <c r="G1668" s="32">
        <f t="shared" si="261"/>
        <v>2174.1637500000002</v>
      </c>
      <c r="H1668" s="33">
        <f t="shared" si="257"/>
        <v>1.1273149699083545E-5</v>
      </c>
      <c r="K1668" t="str">
        <f xml:space="preserve"> B1664 &amp; B1668</f>
        <v>Z000163067Z040308001</v>
      </c>
    </row>
    <row r="1669" spans="1:11" outlineLevel="1" x14ac:dyDescent="0.2">
      <c r="A1669" s="29"/>
      <c r="B1669" s="30" t="s">
        <v>498</v>
      </c>
      <c r="C1669" s="30" t="s">
        <v>773</v>
      </c>
      <c r="D1669" s="34" t="s">
        <v>151</v>
      </c>
      <c r="E1669" s="31">
        <v>632.48400000000004</v>
      </c>
      <c r="F1669" s="31">
        <v>0</v>
      </c>
      <c r="G1669" s="32">
        <f t="shared" si="261"/>
        <v>0</v>
      </c>
      <c r="H1669" s="33">
        <f t="shared" si="257"/>
        <v>0</v>
      </c>
      <c r="K1669" t="str">
        <f xml:space="preserve"> B1664 &amp; B1669</f>
        <v>Z000163067Z040401001</v>
      </c>
    </row>
    <row r="1670" spans="1:11" outlineLevel="1" x14ac:dyDescent="0.2">
      <c r="A1670" s="29"/>
      <c r="B1670" s="30" t="s">
        <v>1006</v>
      </c>
      <c r="C1670" s="30" t="s">
        <v>699</v>
      </c>
      <c r="D1670" s="34" t="s">
        <v>1152</v>
      </c>
      <c r="E1670" s="31">
        <v>0</v>
      </c>
      <c r="F1670" s="31">
        <v>28.988</v>
      </c>
      <c r="G1670" s="32">
        <f t="shared" si="261"/>
        <v>0</v>
      </c>
      <c r="H1670" s="33">
        <f t="shared" si="257"/>
        <v>0</v>
      </c>
      <c r="K1670" t="str">
        <f xml:space="preserve"> B1664 &amp; B1670</f>
        <v>Z000163067Z040201011</v>
      </c>
    </row>
    <row r="1671" spans="1:11" outlineLevel="1" x14ac:dyDescent="0.2">
      <c r="A1671" s="29"/>
      <c r="B1671" s="30" t="s">
        <v>5028</v>
      </c>
      <c r="C1671" s="30" t="s">
        <v>5029</v>
      </c>
      <c r="D1671" s="34" t="s">
        <v>1152</v>
      </c>
      <c r="E1671" s="31">
        <v>86.966550000000012</v>
      </c>
      <c r="F1671" s="31">
        <v>850</v>
      </c>
      <c r="G1671" s="32">
        <f t="shared" si="261"/>
        <v>73921.567500000005</v>
      </c>
      <c r="H1671" s="33">
        <f t="shared" si="257"/>
        <v>3.8328708976884048E-4</v>
      </c>
      <c r="K1671" t="str">
        <f xml:space="preserve"> B1664 &amp; B1671</f>
        <v>Z000163067Z020309023</v>
      </c>
    </row>
    <row r="1672" spans="1:11" outlineLevel="1" x14ac:dyDescent="0.2">
      <c r="A1672" s="29"/>
      <c r="B1672" s="30" t="s">
        <v>946</v>
      </c>
      <c r="C1672" s="30" t="s">
        <v>1695</v>
      </c>
      <c r="D1672" s="34" t="s">
        <v>1152</v>
      </c>
      <c r="E1672" s="31">
        <v>86.966550000000012</v>
      </c>
      <c r="F1672" s="31">
        <v>40</v>
      </c>
      <c r="G1672" s="32">
        <f t="shared" si="261"/>
        <v>3478.6620000000003</v>
      </c>
      <c r="H1672" s="33">
        <f t="shared" si="257"/>
        <v>1.8037039518533672E-5</v>
      </c>
      <c r="K1672" t="str">
        <f xml:space="preserve"> B1664 &amp; B1672</f>
        <v>Z000163067Z060101023</v>
      </c>
    </row>
    <row r="1673" spans="1:11" outlineLevel="1" x14ac:dyDescent="0.2">
      <c r="A1673" s="11" t="s">
        <v>1221</v>
      </c>
      <c r="B1673" s="11" t="s">
        <v>1164</v>
      </c>
      <c r="C1673" s="11" t="s">
        <v>3666</v>
      </c>
      <c r="D1673" s="12" t="s">
        <v>153</v>
      </c>
      <c r="E1673" s="13">
        <v>273.26</v>
      </c>
      <c r="F1673" s="14">
        <v>178.32789</v>
      </c>
      <c r="G1673" s="15">
        <f>SUM(G1674:G1681)</f>
        <v>48729.879221399999</v>
      </c>
      <c r="H1673" s="16">
        <f t="shared" si="257"/>
        <v>2.5266690389861516E-4</v>
      </c>
    </row>
    <row r="1674" spans="1:11" outlineLevel="1" x14ac:dyDescent="0.2">
      <c r="A1674" s="29"/>
      <c r="B1674" s="30" t="s">
        <v>853</v>
      </c>
      <c r="C1674" s="30" t="s">
        <v>980</v>
      </c>
      <c r="D1674" s="34" t="s">
        <v>1052</v>
      </c>
      <c r="E1674" s="31">
        <v>353.07924600000001</v>
      </c>
      <c r="F1674" s="31">
        <v>0.9</v>
      </c>
      <c r="G1674" s="32">
        <f t="shared" ref="G1674:G1681" si="262">F1674*E1674</f>
        <v>317.77132140000003</v>
      </c>
      <c r="H1674" s="33">
        <f t="shared" si="257"/>
        <v>1.6476604746159485E-6</v>
      </c>
      <c r="K1674" t="str">
        <f xml:space="preserve"> B1673 &amp; B1674</f>
        <v>Z000163054Z020201001</v>
      </c>
    </row>
    <row r="1675" spans="1:11" outlineLevel="1" x14ac:dyDescent="0.2">
      <c r="A1675" s="29"/>
      <c r="B1675" s="30" t="s">
        <v>706</v>
      </c>
      <c r="C1675" s="30" t="s">
        <v>130</v>
      </c>
      <c r="D1675" s="34" t="s">
        <v>1052</v>
      </c>
      <c r="E1675" s="31">
        <v>49.186799999999998</v>
      </c>
      <c r="F1675" s="31">
        <v>8</v>
      </c>
      <c r="G1675" s="32">
        <f t="shared" si="262"/>
        <v>393.49439999999998</v>
      </c>
      <c r="H1675" s="33">
        <f t="shared" si="257"/>
        <v>2.0402884911272481E-6</v>
      </c>
      <c r="K1675" t="str">
        <f xml:space="preserve"> B1673 &amp; B1675</f>
        <v>Z000163054Z020202001</v>
      </c>
    </row>
    <row r="1676" spans="1:11" outlineLevel="1" x14ac:dyDescent="0.2">
      <c r="A1676" s="29"/>
      <c r="B1676" s="30" t="s">
        <v>735</v>
      </c>
      <c r="C1676" s="30" t="s">
        <v>150</v>
      </c>
      <c r="D1676" s="34" t="s">
        <v>1152</v>
      </c>
      <c r="E1676" s="31">
        <v>45.087899999999998</v>
      </c>
      <c r="F1676" s="31">
        <v>1000</v>
      </c>
      <c r="G1676" s="32">
        <f t="shared" si="262"/>
        <v>45087.899999999994</v>
      </c>
      <c r="H1676" s="33">
        <f t="shared" si="257"/>
        <v>2.3378305627499716E-4</v>
      </c>
      <c r="K1676" t="str">
        <f xml:space="preserve"> B1673 &amp; B1676</f>
        <v>Z000163054Z020309020</v>
      </c>
    </row>
    <row r="1677" spans="1:11" outlineLevel="1" x14ac:dyDescent="0.2">
      <c r="A1677" s="29"/>
      <c r="B1677" s="30" t="s">
        <v>1006</v>
      </c>
      <c r="C1677" s="30" t="s">
        <v>699</v>
      </c>
      <c r="D1677" s="34" t="s">
        <v>151</v>
      </c>
      <c r="E1677" s="31">
        <v>0</v>
      </c>
      <c r="F1677" s="31">
        <v>28.988</v>
      </c>
      <c r="G1677" s="32">
        <f t="shared" si="262"/>
        <v>0</v>
      </c>
      <c r="H1677" s="33">
        <f t="shared" si="257"/>
        <v>0</v>
      </c>
      <c r="K1677" t="str">
        <f xml:space="preserve"> B1673 &amp; B1677</f>
        <v>Z000163054Z040201011</v>
      </c>
    </row>
    <row r="1678" spans="1:11" outlineLevel="1" x14ac:dyDescent="0.2">
      <c r="A1678" s="29"/>
      <c r="B1678" s="30" t="s">
        <v>801</v>
      </c>
      <c r="C1678" s="30" t="s">
        <v>402</v>
      </c>
      <c r="D1678" s="34" t="s">
        <v>151</v>
      </c>
      <c r="E1678" s="31">
        <v>0</v>
      </c>
      <c r="F1678" s="31">
        <v>10.3</v>
      </c>
      <c r="G1678" s="32">
        <f t="shared" si="262"/>
        <v>0</v>
      </c>
      <c r="H1678" s="33">
        <f t="shared" si="257"/>
        <v>0</v>
      </c>
      <c r="K1678" t="str">
        <f xml:space="preserve"> B1673 &amp; B1678</f>
        <v>Z000163054Z040202006</v>
      </c>
    </row>
    <row r="1679" spans="1:11" outlineLevel="1" x14ac:dyDescent="0.2">
      <c r="A1679" s="29"/>
      <c r="B1679" s="30" t="s">
        <v>824</v>
      </c>
      <c r="C1679" s="30" t="s">
        <v>3418</v>
      </c>
      <c r="D1679" s="34" t="s">
        <v>1152</v>
      </c>
      <c r="E1679" s="31">
        <v>45.087899999999998</v>
      </c>
      <c r="F1679" s="31">
        <v>25</v>
      </c>
      <c r="G1679" s="32">
        <f t="shared" si="262"/>
        <v>1127.1975</v>
      </c>
      <c r="H1679" s="33">
        <f t="shared" si="257"/>
        <v>5.8445764068749292E-6</v>
      </c>
      <c r="K1679" t="str">
        <f xml:space="preserve"> B1673 &amp; B1679</f>
        <v>Z000163054Z040308001</v>
      </c>
    </row>
    <row r="1680" spans="1:11" outlineLevel="1" x14ac:dyDescent="0.2">
      <c r="A1680" s="29"/>
      <c r="B1680" s="30" t="s">
        <v>498</v>
      </c>
      <c r="C1680" s="30" t="s">
        <v>773</v>
      </c>
      <c r="D1680" s="34" t="s">
        <v>84</v>
      </c>
      <c r="E1680" s="31">
        <v>327.91199999999998</v>
      </c>
      <c r="F1680" s="31">
        <v>0</v>
      </c>
      <c r="G1680" s="32">
        <f t="shared" si="262"/>
        <v>0</v>
      </c>
      <c r="H1680" s="33">
        <f t="shared" si="257"/>
        <v>0</v>
      </c>
      <c r="K1680" t="str">
        <f xml:space="preserve"> B1673 &amp; B1680</f>
        <v>Z000163054Z040401001</v>
      </c>
    </row>
    <row r="1681" spans="1:11" outlineLevel="1" x14ac:dyDescent="0.2">
      <c r="A1681" s="29"/>
      <c r="B1681" s="30" t="s">
        <v>946</v>
      </c>
      <c r="C1681" s="30" t="s">
        <v>1695</v>
      </c>
      <c r="D1681" s="34" t="s">
        <v>1819</v>
      </c>
      <c r="E1681" s="31">
        <v>45.087899999999998</v>
      </c>
      <c r="F1681" s="31">
        <v>40</v>
      </c>
      <c r="G1681" s="32">
        <f t="shared" si="262"/>
        <v>1803.5159999999998</v>
      </c>
      <c r="H1681" s="33">
        <f t="shared" si="257"/>
        <v>9.3513222509998857E-6</v>
      </c>
      <c r="K1681" t="str">
        <f xml:space="preserve"> B1673 &amp; B1681</f>
        <v>Z000163054Z060101023</v>
      </c>
    </row>
    <row r="1682" spans="1:11" outlineLevel="1" x14ac:dyDescent="0.2">
      <c r="A1682" s="11" t="s">
        <v>1263</v>
      </c>
      <c r="B1682" s="11" t="s">
        <v>1243</v>
      </c>
      <c r="C1682" s="11" t="s">
        <v>3675</v>
      </c>
      <c r="D1682" s="12" t="s">
        <v>1152</v>
      </c>
      <c r="E1682" s="13">
        <v>122.99</v>
      </c>
      <c r="F1682" s="14">
        <v>1368.3170000000002</v>
      </c>
      <c r="G1682" s="15">
        <f>SUM(G1683:G1692)</f>
        <v>168289.30783000003</v>
      </c>
      <c r="H1682" s="16">
        <f t="shared" ref="H1682:H1728" si="263">G1682/$F$2</f>
        <v>8.7258862628113577E-4</v>
      </c>
    </row>
    <row r="1683" spans="1:11" outlineLevel="1" x14ac:dyDescent="0.2">
      <c r="A1683" s="29"/>
      <c r="B1683" s="30" t="s">
        <v>853</v>
      </c>
      <c r="C1683" s="30" t="s">
        <v>980</v>
      </c>
      <c r="D1683" s="34" t="s">
        <v>1052</v>
      </c>
      <c r="E1683" s="31">
        <v>1590.2606999999998</v>
      </c>
      <c r="F1683" s="31">
        <v>0.9</v>
      </c>
      <c r="G1683" s="32">
        <f t="shared" ref="G1683:G1692" si="264">F1683*E1683</f>
        <v>1431.2346299999999</v>
      </c>
      <c r="H1683" s="33">
        <f t="shared" si="263"/>
        <v>7.4210244000721869E-6</v>
      </c>
      <c r="K1683" t="str">
        <f xml:space="preserve"> B1682 &amp; B1683</f>
        <v>Z000163069Z020201001</v>
      </c>
    </row>
    <row r="1684" spans="1:11" outlineLevel="1" x14ac:dyDescent="0.2">
      <c r="A1684" s="29"/>
      <c r="B1684" s="30" t="s">
        <v>706</v>
      </c>
      <c r="C1684" s="30" t="s">
        <v>130</v>
      </c>
      <c r="D1684" s="34" t="s">
        <v>1052</v>
      </c>
      <c r="E1684" s="31">
        <v>25.8279</v>
      </c>
      <c r="F1684" s="31">
        <v>8</v>
      </c>
      <c r="G1684" s="32">
        <f t="shared" si="264"/>
        <v>206.6232</v>
      </c>
      <c r="H1684" s="33">
        <f t="shared" si="263"/>
        <v>1.0713518082084107E-6</v>
      </c>
      <c r="K1684" t="str">
        <f xml:space="preserve"> B1682 &amp; B1684</f>
        <v>Z000163069Z020202001</v>
      </c>
    </row>
    <row r="1685" spans="1:11" outlineLevel="1" x14ac:dyDescent="0.2">
      <c r="A1685" s="29"/>
      <c r="B1685" s="30" t="s">
        <v>128</v>
      </c>
      <c r="C1685" s="30" t="s">
        <v>3677</v>
      </c>
      <c r="D1685" s="34" t="s">
        <v>1152</v>
      </c>
      <c r="E1685" s="31">
        <v>135.28900000000002</v>
      </c>
      <c r="F1685" s="31">
        <v>1000</v>
      </c>
      <c r="G1685" s="32">
        <f t="shared" si="264"/>
        <v>135289.00000000003</v>
      </c>
      <c r="H1685" s="33">
        <f t="shared" si="263"/>
        <v>7.0148035061265001E-4</v>
      </c>
      <c r="K1685" t="str">
        <f xml:space="preserve"> B1682 &amp; B1685</f>
        <v>Z000163069Z020404004</v>
      </c>
    </row>
    <row r="1686" spans="1:11" outlineLevel="1" x14ac:dyDescent="0.2">
      <c r="A1686" s="29"/>
      <c r="B1686" s="30" t="s">
        <v>1006</v>
      </c>
      <c r="C1686" s="30" t="s">
        <v>699</v>
      </c>
      <c r="D1686" s="34" t="s">
        <v>151</v>
      </c>
      <c r="E1686" s="31">
        <v>0</v>
      </c>
      <c r="F1686" s="31">
        <v>28.988</v>
      </c>
      <c r="G1686" s="32">
        <f t="shared" si="264"/>
        <v>0</v>
      </c>
      <c r="H1686" s="33">
        <f t="shared" si="263"/>
        <v>0</v>
      </c>
      <c r="K1686" t="str">
        <f xml:space="preserve"> B1682 &amp; B1686</f>
        <v>Z000163069Z040201011</v>
      </c>
    </row>
    <row r="1687" spans="1:11" outlineLevel="1" x14ac:dyDescent="0.2">
      <c r="A1687" s="29"/>
      <c r="B1687" s="30" t="s">
        <v>801</v>
      </c>
      <c r="C1687" s="30" t="s">
        <v>402</v>
      </c>
      <c r="D1687" s="34" t="s">
        <v>151</v>
      </c>
      <c r="E1687" s="31">
        <v>0</v>
      </c>
      <c r="F1687" s="31">
        <v>10.3</v>
      </c>
      <c r="G1687" s="32">
        <f t="shared" si="264"/>
        <v>0</v>
      </c>
      <c r="H1687" s="33">
        <f t="shared" si="263"/>
        <v>0</v>
      </c>
      <c r="K1687" t="str">
        <f xml:space="preserve"> B1682 &amp; B1687</f>
        <v>Z000163069Z040202006</v>
      </c>
    </row>
    <row r="1688" spans="1:11" outlineLevel="1" x14ac:dyDescent="0.2">
      <c r="A1688" s="29"/>
      <c r="B1688" s="30" t="s">
        <v>824</v>
      </c>
      <c r="C1688" s="30" t="s">
        <v>3418</v>
      </c>
      <c r="D1688" s="34" t="s">
        <v>1152</v>
      </c>
      <c r="E1688" s="31">
        <v>135.28900000000002</v>
      </c>
      <c r="F1688" s="31">
        <v>25</v>
      </c>
      <c r="G1688" s="32">
        <f t="shared" si="264"/>
        <v>3382.2250000000004</v>
      </c>
      <c r="H1688" s="33">
        <f t="shared" si="263"/>
        <v>1.7537008765316247E-5</v>
      </c>
      <c r="K1688" t="str">
        <f xml:space="preserve"> B1682 &amp; B1688</f>
        <v>Z000163069Z040308001</v>
      </c>
    </row>
    <row r="1689" spans="1:11" outlineLevel="1" x14ac:dyDescent="0.2">
      <c r="A1689" s="29"/>
      <c r="B1689" s="30" t="s">
        <v>903</v>
      </c>
      <c r="C1689" s="30" t="s">
        <v>864</v>
      </c>
      <c r="D1689" s="34" t="s">
        <v>1152</v>
      </c>
      <c r="E1689" s="31">
        <v>122.99</v>
      </c>
      <c r="F1689" s="31">
        <v>3.5</v>
      </c>
      <c r="G1689" s="32">
        <f t="shared" si="264"/>
        <v>430.46499999999997</v>
      </c>
      <c r="H1689" s="33">
        <f t="shared" si="263"/>
        <v>2.2319829337675222E-6</v>
      </c>
      <c r="K1689" t="str">
        <f xml:space="preserve"> B1682 &amp; B1689</f>
        <v>Z000163069Z040308018</v>
      </c>
    </row>
    <row r="1690" spans="1:11" outlineLevel="1" x14ac:dyDescent="0.2">
      <c r="A1690" s="29"/>
      <c r="B1690" s="30" t="s">
        <v>1042</v>
      </c>
      <c r="C1690" s="30" t="s">
        <v>3683</v>
      </c>
      <c r="D1690" s="34" t="s">
        <v>1152</v>
      </c>
      <c r="E1690" s="31">
        <v>122.99</v>
      </c>
      <c r="F1690" s="31">
        <v>180</v>
      </c>
      <c r="G1690" s="32">
        <f t="shared" si="264"/>
        <v>22138.2</v>
      </c>
      <c r="H1690" s="33">
        <f t="shared" si="263"/>
        <v>1.1478769373661543E-4</v>
      </c>
      <c r="K1690" t="str">
        <f xml:space="preserve"> B1682 &amp; B1690</f>
        <v>Z000163069Z040308034</v>
      </c>
    </row>
    <row r="1691" spans="1:11" outlineLevel="1" x14ac:dyDescent="0.2">
      <c r="A1691" s="29"/>
      <c r="B1691" s="30" t="s">
        <v>498</v>
      </c>
      <c r="C1691" s="30" t="s">
        <v>773</v>
      </c>
      <c r="D1691" s="34" t="s">
        <v>84</v>
      </c>
      <c r="E1691" s="31">
        <v>147.58799999999999</v>
      </c>
      <c r="F1691" s="31">
        <v>0</v>
      </c>
      <c r="G1691" s="32">
        <f t="shared" si="264"/>
        <v>0</v>
      </c>
      <c r="H1691" s="33">
        <f t="shared" si="263"/>
        <v>0</v>
      </c>
      <c r="K1691" t="str">
        <f xml:space="preserve"> B1682 &amp; B1691</f>
        <v>Z000163069Z040401001</v>
      </c>
    </row>
    <row r="1692" spans="1:11" outlineLevel="1" x14ac:dyDescent="0.2">
      <c r="A1692" s="29"/>
      <c r="B1692" s="30" t="s">
        <v>946</v>
      </c>
      <c r="C1692" s="30" t="s">
        <v>1695</v>
      </c>
      <c r="D1692" s="34" t="s">
        <v>1819</v>
      </c>
      <c r="E1692" s="31">
        <v>135.28900000000002</v>
      </c>
      <c r="F1692" s="31">
        <v>40</v>
      </c>
      <c r="G1692" s="32">
        <f t="shared" si="264"/>
        <v>5411.56</v>
      </c>
      <c r="H1692" s="33">
        <f t="shared" si="263"/>
        <v>2.8059214024505994E-5</v>
      </c>
      <c r="K1692" t="str">
        <f xml:space="preserve"> B1682 &amp; B1692</f>
        <v>Z000163069Z060101023</v>
      </c>
    </row>
    <row r="1693" spans="1:11" outlineLevel="1" x14ac:dyDescent="0.2">
      <c r="A1693" s="11" t="s">
        <v>1264</v>
      </c>
      <c r="B1693" s="11" t="s">
        <v>1109</v>
      </c>
      <c r="C1693" s="11" t="s">
        <v>3633</v>
      </c>
      <c r="D1693" s="12" t="s">
        <v>1152</v>
      </c>
      <c r="E1693" s="13">
        <v>223.15</v>
      </c>
      <c r="F1693" s="14">
        <v>581.3370000000001</v>
      </c>
      <c r="G1693" s="15">
        <f>SUM(G1694:G1703)</f>
        <v>129725.35155000002</v>
      </c>
      <c r="H1693" s="16">
        <f t="shared" si="263"/>
        <v>6.7263255023426347E-4</v>
      </c>
    </row>
    <row r="1694" spans="1:11" outlineLevel="1" x14ac:dyDescent="0.2">
      <c r="A1694" s="29"/>
      <c r="B1694" s="30" t="s">
        <v>853</v>
      </c>
      <c r="C1694" s="30" t="s">
        <v>980</v>
      </c>
      <c r="D1694" s="34" t="s">
        <v>1052</v>
      </c>
      <c r="E1694" s="31">
        <v>2037.3595000000003</v>
      </c>
      <c r="F1694" s="31">
        <v>0.9</v>
      </c>
      <c r="G1694" s="32">
        <f t="shared" ref="G1694:G1703" si="265">F1694*E1694</f>
        <v>1833.6235500000003</v>
      </c>
      <c r="H1694" s="33">
        <f t="shared" si="263"/>
        <v>9.507431430091226E-6</v>
      </c>
      <c r="K1694" t="str">
        <f xml:space="preserve"> B1693 &amp; B1694</f>
        <v>Z000163048Z020201001</v>
      </c>
    </row>
    <row r="1695" spans="1:11" outlineLevel="1" x14ac:dyDescent="0.2">
      <c r="A1695" s="29"/>
      <c r="B1695" s="30" t="s">
        <v>801</v>
      </c>
      <c r="C1695" s="30" t="s">
        <v>402</v>
      </c>
      <c r="D1695" s="34" t="s">
        <v>1052</v>
      </c>
      <c r="E1695" s="31">
        <v>0</v>
      </c>
      <c r="F1695" s="31">
        <v>10.3</v>
      </c>
      <c r="G1695" s="32">
        <f t="shared" si="265"/>
        <v>0</v>
      </c>
      <c r="H1695" s="33">
        <f t="shared" si="263"/>
        <v>0</v>
      </c>
      <c r="K1695" t="str">
        <f xml:space="preserve"> B1693 &amp; B1695</f>
        <v>Z000163048Z040202006</v>
      </c>
    </row>
    <row r="1696" spans="1:11" outlineLevel="1" x14ac:dyDescent="0.2">
      <c r="A1696" s="29"/>
      <c r="B1696" s="30" t="s">
        <v>706</v>
      </c>
      <c r="C1696" s="30" t="s">
        <v>130</v>
      </c>
      <c r="D1696" s="34" t="s">
        <v>1152</v>
      </c>
      <c r="E1696" s="31">
        <v>31.241000000000003</v>
      </c>
      <c r="F1696" s="31">
        <v>8</v>
      </c>
      <c r="G1696" s="32">
        <f t="shared" si="265"/>
        <v>249.92800000000003</v>
      </c>
      <c r="H1696" s="33">
        <f t="shared" si="263"/>
        <v>1.2958894002314922E-6</v>
      </c>
      <c r="K1696" t="str">
        <f xml:space="preserve"> B1693 &amp; B1696</f>
        <v>Z000163048Z020202001</v>
      </c>
    </row>
    <row r="1697" spans="1:11" outlineLevel="1" x14ac:dyDescent="0.2">
      <c r="A1697" s="29"/>
      <c r="B1697" s="30" t="s">
        <v>5017</v>
      </c>
      <c r="C1697" s="30" t="s">
        <v>5018</v>
      </c>
      <c r="D1697" s="34" t="s">
        <v>151</v>
      </c>
      <c r="E1697" s="31">
        <v>223.15</v>
      </c>
      <c r="F1697" s="31">
        <v>90</v>
      </c>
      <c r="G1697" s="32">
        <f t="shared" si="265"/>
        <v>20083.5</v>
      </c>
      <c r="H1697" s="33">
        <f t="shared" si="263"/>
        <v>1.0413396966145919E-4</v>
      </c>
      <c r="K1697" t="str">
        <f xml:space="preserve"> B1693 &amp; B1697</f>
        <v>Z000163048Z040308038</v>
      </c>
    </row>
    <row r="1698" spans="1:11" outlineLevel="1" x14ac:dyDescent="0.2">
      <c r="A1698" s="29"/>
      <c r="B1698" s="30" t="s">
        <v>824</v>
      </c>
      <c r="C1698" s="30" t="s">
        <v>3418</v>
      </c>
      <c r="D1698" s="34" t="s">
        <v>151</v>
      </c>
      <c r="E1698" s="31">
        <v>245.46500000000003</v>
      </c>
      <c r="F1698" s="31">
        <v>25</v>
      </c>
      <c r="G1698" s="32">
        <f t="shared" si="265"/>
        <v>6136.6250000000009</v>
      </c>
      <c r="H1698" s="33">
        <f t="shared" si="263"/>
        <v>3.1818712952112535E-5</v>
      </c>
      <c r="K1698" t="str">
        <f xml:space="preserve"> B1693 &amp; B1698</f>
        <v>Z000163048Z040308001</v>
      </c>
    </row>
    <row r="1699" spans="1:11" outlineLevel="1" x14ac:dyDescent="0.2">
      <c r="A1699" s="29"/>
      <c r="B1699" s="30" t="s">
        <v>1694</v>
      </c>
      <c r="C1699" s="30" t="s">
        <v>1216</v>
      </c>
      <c r="D1699" s="34" t="s">
        <v>1152</v>
      </c>
      <c r="E1699" s="31">
        <v>245.46500000000003</v>
      </c>
      <c r="F1699" s="31">
        <v>370</v>
      </c>
      <c r="G1699" s="32">
        <f t="shared" si="265"/>
        <v>90822.050000000017</v>
      </c>
      <c r="H1699" s="33">
        <f t="shared" si="263"/>
        <v>4.7091695169126555E-4</v>
      </c>
      <c r="K1699" t="str">
        <f xml:space="preserve"> B1693 &amp; B1699</f>
        <v>Z000163048Z020301001</v>
      </c>
    </row>
    <row r="1700" spans="1:11" outlineLevel="1" x14ac:dyDescent="0.2">
      <c r="A1700" s="29"/>
      <c r="B1700" s="30" t="s">
        <v>498</v>
      </c>
      <c r="C1700" s="30" t="s">
        <v>773</v>
      </c>
      <c r="D1700" s="34" t="s">
        <v>1152</v>
      </c>
      <c r="E1700" s="31">
        <v>267.77999999999997</v>
      </c>
      <c r="F1700" s="31">
        <v>0</v>
      </c>
      <c r="G1700" s="32">
        <f t="shared" si="265"/>
        <v>0</v>
      </c>
      <c r="H1700" s="33">
        <f t="shared" si="263"/>
        <v>0</v>
      </c>
      <c r="K1700" t="str">
        <f xml:space="preserve"> B1693 &amp; B1700</f>
        <v>Z000163048Z040401001</v>
      </c>
    </row>
    <row r="1701" spans="1:11" outlineLevel="1" x14ac:dyDescent="0.2">
      <c r="A1701" s="29"/>
      <c r="B1701" s="30" t="s">
        <v>1006</v>
      </c>
      <c r="C1701" s="30" t="s">
        <v>699</v>
      </c>
      <c r="D1701" s="34" t="s">
        <v>1152</v>
      </c>
      <c r="E1701" s="31">
        <v>0</v>
      </c>
      <c r="F1701" s="31">
        <v>28.988</v>
      </c>
      <c r="G1701" s="32">
        <f t="shared" si="265"/>
        <v>0</v>
      </c>
      <c r="H1701" s="33">
        <f t="shared" si="263"/>
        <v>0</v>
      </c>
      <c r="K1701" t="str">
        <f xml:space="preserve"> B1693 &amp; B1701</f>
        <v>Z000163048Z040201011</v>
      </c>
    </row>
    <row r="1702" spans="1:11" outlineLevel="1" x14ac:dyDescent="0.2">
      <c r="A1702" s="29"/>
      <c r="B1702" s="30" t="s">
        <v>1049</v>
      </c>
      <c r="C1702" s="30" t="s">
        <v>3635</v>
      </c>
      <c r="D1702" s="34" t="s">
        <v>84</v>
      </c>
      <c r="E1702" s="31">
        <v>223.15</v>
      </c>
      <c r="F1702" s="31">
        <v>3.5</v>
      </c>
      <c r="G1702" s="32">
        <f t="shared" si="265"/>
        <v>781.02499999999998</v>
      </c>
      <c r="H1702" s="33">
        <f t="shared" si="263"/>
        <v>4.0496543757234124E-6</v>
      </c>
      <c r="K1702" t="str">
        <f xml:space="preserve"> B1693 &amp; B1702</f>
        <v>Z000163048Z040308036</v>
      </c>
    </row>
    <row r="1703" spans="1:11" outlineLevel="1" x14ac:dyDescent="0.2">
      <c r="A1703" s="29"/>
      <c r="B1703" s="30" t="s">
        <v>946</v>
      </c>
      <c r="C1703" s="30" t="s">
        <v>1695</v>
      </c>
      <c r="D1703" s="34" t="s">
        <v>1819</v>
      </c>
      <c r="E1703" s="31">
        <v>245.46500000000003</v>
      </c>
      <c r="F1703" s="31">
        <v>40</v>
      </c>
      <c r="G1703" s="32">
        <f t="shared" si="265"/>
        <v>9818.6000000000022</v>
      </c>
      <c r="H1703" s="33">
        <f t="shared" si="263"/>
        <v>5.0909940723380064E-5</v>
      </c>
      <c r="K1703" t="str">
        <f xml:space="preserve"> B1693 &amp; B1703</f>
        <v>Z000163048Z060101023</v>
      </c>
    </row>
    <row r="1704" spans="1:11" outlineLevel="1" x14ac:dyDescent="0.2">
      <c r="A1704" s="11" t="s">
        <v>1265</v>
      </c>
      <c r="B1704" s="11" t="s">
        <v>862</v>
      </c>
      <c r="C1704" s="11" t="s">
        <v>3764</v>
      </c>
      <c r="D1704" s="12" t="s">
        <v>153</v>
      </c>
      <c r="E1704" s="13">
        <v>14.4</v>
      </c>
      <c r="F1704" s="14">
        <v>2.7764247399999999</v>
      </c>
      <c r="G1704" s="15">
        <f>SUM(G1705:G1713)</f>
        <v>39.980516256000001</v>
      </c>
      <c r="H1704" s="16">
        <f t="shared" si="263"/>
        <v>2.0730101161907936E-7</v>
      </c>
    </row>
    <row r="1705" spans="1:11" outlineLevel="1" x14ac:dyDescent="0.2">
      <c r="A1705" s="29"/>
      <c r="B1705" s="30" t="s">
        <v>1654</v>
      </c>
      <c r="C1705" s="30" t="s">
        <v>1551</v>
      </c>
      <c r="D1705" s="34" t="s">
        <v>1052</v>
      </c>
      <c r="E1705" s="31">
        <v>14.04144</v>
      </c>
      <c r="F1705" s="31">
        <v>0.7974</v>
      </c>
      <c r="G1705" s="32">
        <f t="shared" ref="G1705:G1713" si="266">F1705*E1705</f>
        <v>11.196644255999999</v>
      </c>
      <c r="H1705" s="33">
        <f t="shared" si="263"/>
        <v>5.8055170327107092E-8</v>
      </c>
      <c r="K1705" t="str">
        <f xml:space="preserve"> B1704 &amp; B1705</f>
        <v>Z000164030Z010301001</v>
      </c>
    </row>
    <row r="1706" spans="1:11" outlineLevel="1" x14ac:dyDescent="0.2">
      <c r="A1706" s="29"/>
      <c r="B1706" s="30" t="s">
        <v>1258</v>
      </c>
      <c r="C1706" s="30" t="s">
        <v>1526</v>
      </c>
      <c r="D1706" s="34" t="s">
        <v>1153</v>
      </c>
      <c r="E1706" s="31">
        <v>3.168E-2</v>
      </c>
      <c r="F1706" s="31">
        <v>148</v>
      </c>
      <c r="G1706" s="32">
        <f t="shared" si="266"/>
        <v>4.6886400000000004</v>
      </c>
      <c r="H1706" s="33">
        <f t="shared" si="263"/>
        <v>2.4310837031070485E-8</v>
      </c>
      <c r="K1706" t="str">
        <f xml:space="preserve"> B1704 &amp; B1706</f>
        <v>Z000164030Z010304001</v>
      </c>
    </row>
    <row r="1707" spans="1:11" outlineLevel="1" x14ac:dyDescent="0.2">
      <c r="A1707" s="29"/>
      <c r="B1707" s="30" t="s">
        <v>1846</v>
      </c>
      <c r="C1707" s="30" t="s">
        <v>1802</v>
      </c>
      <c r="D1707" s="34" t="s">
        <v>1152</v>
      </c>
      <c r="E1707" s="31">
        <v>33.465600000000002</v>
      </c>
      <c r="F1707" s="31">
        <v>0.72</v>
      </c>
      <c r="G1707" s="32">
        <f t="shared" si="266"/>
        <v>24.095231999999999</v>
      </c>
      <c r="H1707" s="33">
        <f t="shared" si="263"/>
        <v>1.2493500426090175E-7</v>
      </c>
      <c r="K1707" t="str">
        <f xml:space="preserve"> B1704 &amp; B1707</f>
        <v>Z000164030Z020301028</v>
      </c>
    </row>
    <row r="1708" spans="1:11" outlineLevel="1" x14ac:dyDescent="0.2">
      <c r="A1708" s="29"/>
      <c r="B1708" s="30" t="s">
        <v>1006</v>
      </c>
      <c r="C1708" s="30" t="s">
        <v>699</v>
      </c>
      <c r="D1708" s="34" t="s">
        <v>151</v>
      </c>
      <c r="E1708" s="31">
        <v>0</v>
      </c>
      <c r="F1708" s="31">
        <v>28.988</v>
      </c>
      <c r="G1708" s="32">
        <f t="shared" si="266"/>
        <v>0</v>
      </c>
      <c r="H1708" s="33">
        <f t="shared" si="263"/>
        <v>0</v>
      </c>
      <c r="K1708" t="str">
        <f xml:space="preserve"> B1704 &amp; B1708</f>
        <v>Z000164030Z040201011</v>
      </c>
    </row>
    <row r="1709" spans="1:11" outlineLevel="1" x14ac:dyDescent="0.2">
      <c r="A1709" s="29"/>
      <c r="B1709" s="30" t="s">
        <v>801</v>
      </c>
      <c r="C1709" s="30" t="s">
        <v>402</v>
      </c>
      <c r="D1709" s="34" t="s">
        <v>151</v>
      </c>
      <c r="E1709" s="31">
        <v>0</v>
      </c>
      <c r="F1709" s="31">
        <v>10.3</v>
      </c>
      <c r="G1709" s="32">
        <f t="shared" si="266"/>
        <v>0</v>
      </c>
      <c r="H1709" s="33">
        <f t="shared" si="263"/>
        <v>0</v>
      </c>
      <c r="K1709" t="str">
        <f xml:space="preserve"> B1704 &amp; B1709</f>
        <v>Z000164030Z040202006</v>
      </c>
    </row>
    <row r="1710" spans="1:11" outlineLevel="1" x14ac:dyDescent="0.2">
      <c r="A1710" s="29"/>
      <c r="B1710" s="30" t="s">
        <v>547</v>
      </c>
      <c r="C1710" s="30" t="s">
        <v>2320</v>
      </c>
      <c r="D1710" s="34" t="s">
        <v>151</v>
      </c>
      <c r="E1710" s="31">
        <v>0</v>
      </c>
      <c r="F1710" s="31">
        <v>13.51</v>
      </c>
      <c r="G1710" s="32">
        <f t="shared" si="266"/>
        <v>0</v>
      </c>
      <c r="H1710" s="33">
        <f t="shared" si="263"/>
        <v>0</v>
      </c>
      <c r="K1710" t="str">
        <f xml:space="preserve"> B1704 &amp; B1710</f>
        <v>Z000164030Z040204001</v>
      </c>
    </row>
    <row r="1711" spans="1:11" outlineLevel="1" x14ac:dyDescent="0.2">
      <c r="A1711" s="29"/>
      <c r="B1711" s="30" t="s">
        <v>498</v>
      </c>
      <c r="C1711" s="30" t="s">
        <v>773</v>
      </c>
      <c r="D1711" s="34" t="s">
        <v>84</v>
      </c>
      <c r="E1711" s="31">
        <v>17.28</v>
      </c>
      <c r="F1711" s="31">
        <v>0</v>
      </c>
      <c r="G1711" s="32">
        <f t="shared" si="266"/>
        <v>0</v>
      </c>
      <c r="H1711" s="33">
        <f t="shared" si="263"/>
        <v>0</v>
      </c>
      <c r="K1711" t="str">
        <f xml:space="preserve"> B1704 &amp; B1711</f>
        <v>Z000164030Z040401001</v>
      </c>
    </row>
    <row r="1712" spans="1:11" outlineLevel="1" x14ac:dyDescent="0.2">
      <c r="A1712" s="29"/>
      <c r="B1712" s="30" t="s">
        <v>66</v>
      </c>
      <c r="C1712" s="30" t="s">
        <v>617</v>
      </c>
      <c r="D1712" s="34" t="s">
        <v>764</v>
      </c>
      <c r="E1712" s="31">
        <v>0</v>
      </c>
      <c r="F1712" s="31">
        <v>5.45</v>
      </c>
      <c r="G1712" s="32">
        <f t="shared" si="266"/>
        <v>0</v>
      </c>
      <c r="H1712" s="33">
        <f t="shared" si="263"/>
        <v>0</v>
      </c>
      <c r="K1712" t="str">
        <f xml:space="preserve"> B1704 &amp; B1712</f>
        <v>Z000164030Z050103019</v>
      </c>
    </row>
    <row r="1713" spans="1:11" outlineLevel="1" x14ac:dyDescent="0.2">
      <c r="A1713" s="29"/>
      <c r="B1713" s="30" t="s">
        <v>120</v>
      </c>
      <c r="C1713" s="30" t="s">
        <v>597</v>
      </c>
      <c r="D1713" s="34" t="s">
        <v>742</v>
      </c>
      <c r="E1713" s="31">
        <v>0</v>
      </c>
      <c r="F1713" s="31">
        <v>1.52</v>
      </c>
      <c r="G1713" s="32">
        <f t="shared" si="266"/>
        <v>0</v>
      </c>
      <c r="H1713" s="33">
        <f t="shared" si="263"/>
        <v>0</v>
      </c>
      <c r="K1713" t="str">
        <f xml:space="preserve"> B1704 &amp; B1713</f>
        <v>Z000164030Z050103020</v>
      </c>
    </row>
    <row r="1714" spans="1:11" outlineLevel="1" x14ac:dyDescent="0.2">
      <c r="A1714" s="11" t="s">
        <v>1267</v>
      </c>
      <c r="B1714" s="11" t="s">
        <v>1158</v>
      </c>
      <c r="C1714" s="11" t="s">
        <v>3655</v>
      </c>
      <c r="D1714" s="12" t="s">
        <v>1152</v>
      </c>
      <c r="E1714" s="13">
        <v>71.430000000000007</v>
      </c>
      <c r="F1714" s="14">
        <v>1054.337</v>
      </c>
      <c r="G1714" s="15">
        <f>SUM(G1715:G1724)</f>
        <v>75311.291910000014</v>
      </c>
      <c r="H1714" s="16">
        <f t="shared" si="263"/>
        <v>3.9049288156552586E-4</v>
      </c>
    </row>
    <row r="1715" spans="1:11" outlineLevel="1" x14ac:dyDescent="0.2">
      <c r="A1715" s="29"/>
      <c r="B1715" s="30" t="s">
        <v>853</v>
      </c>
      <c r="C1715" s="30" t="s">
        <v>980</v>
      </c>
      <c r="D1715" s="34" t="s">
        <v>1052</v>
      </c>
      <c r="E1715" s="31">
        <v>652.15590000000009</v>
      </c>
      <c r="F1715" s="31">
        <v>0.9</v>
      </c>
      <c r="G1715" s="32">
        <f t="shared" ref="G1715:G1724" si="267">F1715*E1715</f>
        <v>586.94031000000007</v>
      </c>
      <c r="H1715" s="33">
        <f t="shared" si="263"/>
        <v>3.0433153800197905E-6</v>
      </c>
      <c r="K1715" t="str">
        <f xml:space="preserve"> B1714 &amp; B1715</f>
        <v>Z000163052Z020201001</v>
      </c>
    </row>
    <row r="1716" spans="1:11" outlineLevel="1" x14ac:dyDescent="0.2">
      <c r="A1716" s="29"/>
      <c r="B1716" s="30" t="s">
        <v>706</v>
      </c>
      <c r="C1716" s="30" t="s">
        <v>130</v>
      </c>
      <c r="D1716" s="34" t="s">
        <v>1052</v>
      </c>
      <c r="E1716" s="31">
        <v>10.000200000000001</v>
      </c>
      <c r="F1716" s="31">
        <v>8</v>
      </c>
      <c r="G1716" s="32">
        <f t="shared" si="267"/>
        <v>80.00160000000001</v>
      </c>
      <c r="H1716" s="33">
        <f t="shared" si="263"/>
        <v>4.1481236772814473E-7</v>
      </c>
      <c r="K1716" t="str">
        <f xml:space="preserve"> B1714 &amp; B1716</f>
        <v>Z000163052Z020202001</v>
      </c>
    </row>
    <row r="1717" spans="1:11" outlineLevel="1" x14ac:dyDescent="0.2">
      <c r="A1717" s="29"/>
      <c r="B1717" s="30" t="s">
        <v>1840</v>
      </c>
      <c r="C1717" s="30" t="s">
        <v>1973</v>
      </c>
      <c r="D1717" s="34" t="s">
        <v>1152</v>
      </c>
      <c r="E1717" s="31">
        <v>78.573000000000008</v>
      </c>
      <c r="F1717" s="31">
        <v>800</v>
      </c>
      <c r="G1717" s="32">
        <f t="shared" si="267"/>
        <v>62858.400000000009</v>
      </c>
      <c r="H1717" s="33">
        <f t="shared" si="263"/>
        <v>3.2592400321497088E-4</v>
      </c>
      <c r="K1717" t="str">
        <f xml:space="preserve"> B1714 &amp; B1717</f>
        <v>Z000163052Z020301026</v>
      </c>
    </row>
    <row r="1718" spans="1:11" outlineLevel="1" x14ac:dyDescent="0.2">
      <c r="A1718" s="29"/>
      <c r="B1718" s="30" t="s">
        <v>1006</v>
      </c>
      <c r="C1718" s="30" t="s">
        <v>699</v>
      </c>
      <c r="D1718" s="34" t="s">
        <v>151</v>
      </c>
      <c r="E1718" s="31">
        <v>0</v>
      </c>
      <c r="F1718" s="31">
        <v>28.988</v>
      </c>
      <c r="G1718" s="32">
        <f t="shared" si="267"/>
        <v>0</v>
      </c>
      <c r="H1718" s="33">
        <f t="shared" si="263"/>
        <v>0</v>
      </c>
      <c r="K1718" t="str">
        <f xml:space="preserve"> B1714 &amp; B1718</f>
        <v>Z000163052Z040201011</v>
      </c>
    </row>
    <row r="1719" spans="1:11" outlineLevel="1" x14ac:dyDescent="0.2">
      <c r="A1719" s="29"/>
      <c r="B1719" s="30" t="s">
        <v>801</v>
      </c>
      <c r="C1719" s="30" t="s">
        <v>402</v>
      </c>
      <c r="D1719" s="34" t="s">
        <v>151</v>
      </c>
      <c r="E1719" s="31">
        <v>0</v>
      </c>
      <c r="F1719" s="31">
        <v>10.3</v>
      </c>
      <c r="G1719" s="32">
        <f t="shared" si="267"/>
        <v>0</v>
      </c>
      <c r="H1719" s="33">
        <f t="shared" si="263"/>
        <v>0</v>
      </c>
      <c r="K1719" t="str">
        <f xml:space="preserve"> B1714 &amp; B1719</f>
        <v>Z000163052Z040202006</v>
      </c>
    </row>
    <row r="1720" spans="1:11" outlineLevel="1" x14ac:dyDescent="0.2">
      <c r="A1720" s="29"/>
      <c r="B1720" s="30" t="s">
        <v>824</v>
      </c>
      <c r="C1720" s="30" t="s">
        <v>3418</v>
      </c>
      <c r="D1720" s="34" t="s">
        <v>1152</v>
      </c>
      <c r="E1720" s="31">
        <v>78.573000000000008</v>
      </c>
      <c r="F1720" s="31">
        <v>25</v>
      </c>
      <c r="G1720" s="32">
        <f t="shared" si="267"/>
        <v>1964.3250000000003</v>
      </c>
      <c r="H1720" s="33">
        <f t="shared" si="263"/>
        <v>1.018512510046784E-5</v>
      </c>
      <c r="K1720" t="str">
        <f xml:space="preserve"> B1714 &amp; B1720</f>
        <v>Z000163052Z040308001</v>
      </c>
    </row>
    <row r="1721" spans="1:11" outlineLevel="1" x14ac:dyDescent="0.2">
      <c r="A1721" s="29"/>
      <c r="B1721" s="30" t="s">
        <v>838</v>
      </c>
      <c r="C1721" s="30" t="s">
        <v>3419</v>
      </c>
      <c r="D1721" s="34" t="s">
        <v>1152</v>
      </c>
      <c r="E1721" s="31">
        <v>71.430000000000007</v>
      </c>
      <c r="F1721" s="31">
        <v>90</v>
      </c>
      <c r="G1721" s="32">
        <f t="shared" si="267"/>
        <v>6428.7000000000007</v>
      </c>
      <c r="H1721" s="33">
        <f t="shared" si="263"/>
        <v>3.3333136692440198E-5</v>
      </c>
      <c r="K1721" t="str">
        <f xml:space="preserve"> B1714 &amp; B1721</f>
        <v>Z000163052Z040308006</v>
      </c>
    </row>
    <row r="1722" spans="1:11" outlineLevel="1" x14ac:dyDescent="0.2">
      <c r="A1722" s="29"/>
      <c r="B1722" s="30" t="s">
        <v>903</v>
      </c>
      <c r="C1722" s="30" t="s">
        <v>864</v>
      </c>
      <c r="D1722" s="34" t="s">
        <v>1152</v>
      </c>
      <c r="E1722" s="31">
        <v>71.430000000000007</v>
      </c>
      <c r="F1722" s="31">
        <v>3.5</v>
      </c>
      <c r="G1722" s="32">
        <f t="shared" si="267"/>
        <v>250.00500000000002</v>
      </c>
      <c r="H1722" s="33">
        <f t="shared" si="263"/>
        <v>1.2962886491504523E-6</v>
      </c>
      <c r="K1722" t="str">
        <f xml:space="preserve"> B1714 &amp; B1722</f>
        <v>Z000163052Z040308018</v>
      </c>
    </row>
    <row r="1723" spans="1:11" outlineLevel="1" x14ac:dyDescent="0.2">
      <c r="A1723" s="29"/>
      <c r="B1723" s="30" t="s">
        <v>498</v>
      </c>
      <c r="C1723" s="30" t="s">
        <v>773</v>
      </c>
      <c r="D1723" s="34" t="s">
        <v>84</v>
      </c>
      <c r="E1723" s="31">
        <v>85.716000000000008</v>
      </c>
      <c r="F1723" s="31">
        <v>0</v>
      </c>
      <c r="G1723" s="32">
        <f t="shared" si="267"/>
        <v>0</v>
      </c>
      <c r="H1723" s="33">
        <f t="shared" si="263"/>
        <v>0</v>
      </c>
      <c r="K1723" t="str">
        <f xml:space="preserve"> B1714 &amp; B1723</f>
        <v>Z000163052Z040401001</v>
      </c>
    </row>
    <row r="1724" spans="1:11" outlineLevel="1" x14ac:dyDescent="0.2">
      <c r="A1724" s="29"/>
      <c r="B1724" s="30" t="s">
        <v>946</v>
      </c>
      <c r="C1724" s="30" t="s">
        <v>1695</v>
      </c>
      <c r="D1724" s="34" t="s">
        <v>1819</v>
      </c>
      <c r="E1724" s="31">
        <v>78.573000000000008</v>
      </c>
      <c r="F1724" s="31">
        <v>40</v>
      </c>
      <c r="G1724" s="32">
        <f t="shared" si="267"/>
        <v>3142.92</v>
      </c>
      <c r="H1724" s="33">
        <f t="shared" si="263"/>
        <v>1.6296200160748542E-5</v>
      </c>
      <c r="K1724" t="str">
        <f xml:space="preserve"> B1714 &amp; B1724</f>
        <v>Z000163052Z060101023</v>
      </c>
    </row>
    <row r="1725" spans="1:11" x14ac:dyDescent="0.2">
      <c r="A1725" s="23" t="s">
        <v>1029</v>
      </c>
      <c r="B1725" s="23" t="s">
        <v>328</v>
      </c>
      <c r="C1725" s="23" t="s">
        <v>1356</v>
      </c>
      <c r="D1725" s="24"/>
      <c r="E1725" s="25"/>
      <c r="F1725" s="26"/>
      <c r="G1725" s="27">
        <f>SUM(G1726,G1733,G1740)</f>
        <v>453728.14020000002</v>
      </c>
      <c r="H1725" s="28">
        <f t="shared" si="263"/>
        <v>2.352603499695626E-3</v>
      </c>
    </row>
    <row r="1726" spans="1:11" outlineLevel="1" x14ac:dyDescent="0.2">
      <c r="A1726" s="11" t="s">
        <v>1068</v>
      </c>
      <c r="B1726" s="11" t="s">
        <v>949</v>
      </c>
      <c r="C1726" s="11" t="s">
        <v>3593</v>
      </c>
      <c r="D1726" s="12" t="s">
        <v>1152</v>
      </c>
      <c r="E1726" s="13">
        <v>98.73</v>
      </c>
      <c r="F1726" s="14">
        <v>393.38</v>
      </c>
      <c r="G1726" s="15">
        <f>SUM(G1727:G1732)</f>
        <v>38838.407400000004</v>
      </c>
      <c r="H1726" s="16">
        <f t="shared" si="263"/>
        <v>2.0137911907242226E-4</v>
      </c>
    </row>
    <row r="1727" spans="1:11" outlineLevel="1" x14ac:dyDescent="0.2">
      <c r="A1727" s="29"/>
      <c r="B1727" s="30" t="s">
        <v>1426</v>
      </c>
      <c r="C1727" s="30" t="s">
        <v>109</v>
      </c>
      <c r="D1727" s="34" t="s">
        <v>1152</v>
      </c>
      <c r="E1727" s="31">
        <v>103.66650000000001</v>
      </c>
      <c r="F1727" s="31">
        <v>284</v>
      </c>
      <c r="G1727" s="32">
        <f t="shared" ref="G1727:G1732" si="268">F1727*E1727</f>
        <v>29441.286000000004</v>
      </c>
      <c r="H1727" s="33">
        <f t="shared" si="263"/>
        <v>1.5265456634144166E-4</v>
      </c>
      <c r="K1727" t="str">
        <f xml:space="preserve"> B1726 &amp; B1727</f>
        <v>Z000162006Z020303008</v>
      </c>
    </row>
    <row r="1728" spans="1:11" outlineLevel="1" x14ac:dyDescent="0.2">
      <c r="A1728" s="29"/>
      <c r="B1728" s="30" t="s">
        <v>639</v>
      </c>
      <c r="C1728" s="30" t="s">
        <v>1300</v>
      </c>
      <c r="D1728" s="34" t="s">
        <v>1052</v>
      </c>
      <c r="E1728" s="31">
        <v>56.769749999999995</v>
      </c>
      <c r="F1728" s="31">
        <v>26.4</v>
      </c>
      <c r="G1728" s="32">
        <f t="shared" si="268"/>
        <v>1498.7213999999997</v>
      </c>
      <c r="H1728" s="33">
        <f t="shared" si="263"/>
        <v>7.7709467373007501E-6</v>
      </c>
      <c r="K1728" t="str">
        <f xml:space="preserve"> B1726 &amp; B1728</f>
        <v>Z000162006Z030203009</v>
      </c>
    </row>
    <row r="1729" spans="1:11" outlineLevel="1" x14ac:dyDescent="0.2">
      <c r="A1729" s="29"/>
      <c r="B1729" s="30" t="s">
        <v>1016</v>
      </c>
      <c r="C1729" s="30" t="s">
        <v>746</v>
      </c>
      <c r="D1729" s="34" t="s">
        <v>151</v>
      </c>
      <c r="E1729" s="31">
        <v>0</v>
      </c>
      <c r="F1729" s="31">
        <v>18</v>
      </c>
      <c r="G1729" s="32">
        <f t="shared" si="268"/>
        <v>0</v>
      </c>
      <c r="H1729" s="33">
        <f t="shared" ref="H1729:H1792" si="269">G1729/$F$2</f>
        <v>0</v>
      </c>
      <c r="K1729" t="str">
        <f xml:space="preserve"> B1726 &amp; B1729</f>
        <v>Z000162006Z040201015</v>
      </c>
    </row>
    <row r="1730" spans="1:11" outlineLevel="1" x14ac:dyDescent="0.2">
      <c r="A1730" s="29"/>
      <c r="B1730" s="30" t="s">
        <v>801</v>
      </c>
      <c r="C1730" s="30" t="s">
        <v>402</v>
      </c>
      <c r="D1730" s="34" t="s">
        <v>151</v>
      </c>
      <c r="E1730" s="31">
        <v>0</v>
      </c>
      <c r="F1730" s="31">
        <v>10.3</v>
      </c>
      <c r="G1730" s="32">
        <f t="shared" si="268"/>
        <v>0</v>
      </c>
      <c r="H1730" s="33">
        <f t="shared" si="269"/>
        <v>0</v>
      </c>
      <c r="K1730" t="str">
        <f xml:space="preserve"> B1726 &amp; B1730</f>
        <v>Z000162006Z040202006</v>
      </c>
    </row>
    <row r="1731" spans="1:11" outlineLevel="1" x14ac:dyDescent="0.2">
      <c r="A1731" s="29"/>
      <c r="B1731" s="30" t="s">
        <v>966</v>
      </c>
      <c r="C1731" s="30" t="s">
        <v>3415</v>
      </c>
      <c r="D1731" s="34" t="s">
        <v>1152</v>
      </c>
      <c r="E1731" s="31">
        <v>98.73</v>
      </c>
      <c r="F1731" s="31">
        <v>80</v>
      </c>
      <c r="G1731" s="32">
        <f t="shared" si="268"/>
        <v>7898.4000000000005</v>
      </c>
      <c r="H1731" s="33">
        <f t="shared" si="269"/>
        <v>4.095360599367985E-5</v>
      </c>
      <c r="K1731" t="str">
        <f xml:space="preserve"> B1726 &amp; B1731</f>
        <v>Z000162006Z040308020</v>
      </c>
    </row>
    <row r="1732" spans="1:11" outlineLevel="1" x14ac:dyDescent="0.2">
      <c r="A1732" s="29"/>
      <c r="B1732" s="30" t="s">
        <v>498</v>
      </c>
      <c r="C1732" s="30" t="s">
        <v>773</v>
      </c>
      <c r="D1732" s="34" t="s">
        <v>84</v>
      </c>
      <c r="E1732" s="31">
        <v>118.476</v>
      </c>
      <c r="F1732" s="31">
        <v>0</v>
      </c>
      <c r="G1732" s="32">
        <f t="shared" si="268"/>
        <v>0</v>
      </c>
      <c r="H1732" s="33">
        <f t="shared" si="269"/>
        <v>0</v>
      </c>
      <c r="K1732" t="str">
        <f xml:space="preserve"> B1726 &amp; B1732</f>
        <v>Z000162006Z040401001</v>
      </c>
    </row>
    <row r="1733" spans="1:11" outlineLevel="1" x14ac:dyDescent="0.2">
      <c r="A1733" s="11" t="s">
        <v>1070</v>
      </c>
      <c r="B1733" s="11" t="s">
        <v>947</v>
      </c>
      <c r="C1733" s="11" t="s">
        <v>3586</v>
      </c>
      <c r="D1733" s="12" t="s">
        <v>1152</v>
      </c>
      <c r="E1733" s="13">
        <v>738.56</v>
      </c>
      <c r="F1733" s="14">
        <v>393.38000000000005</v>
      </c>
      <c r="G1733" s="15">
        <f>SUM(G1734:G1739)</f>
        <v>290534.7328</v>
      </c>
      <c r="H1733" s="16">
        <f t="shared" si="269"/>
        <v>1.5064373765028682E-3</v>
      </c>
    </row>
    <row r="1734" spans="1:11" outlineLevel="1" x14ac:dyDescent="0.2">
      <c r="A1734" s="29"/>
      <c r="B1734" s="30" t="s">
        <v>1426</v>
      </c>
      <c r="C1734" s="30" t="s">
        <v>109</v>
      </c>
      <c r="D1734" s="34" t="s">
        <v>1152</v>
      </c>
      <c r="E1734" s="31">
        <v>775.48799999999994</v>
      </c>
      <c r="F1734" s="31">
        <v>284</v>
      </c>
      <c r="G1734" s="32">
        <f t="shared" ref="G1734:G1739" si="270">F1734*E1734</f>
        <v>220238.59199999998</v>
      </c>
      <c r="H1734" s="33">
        <f t="shared" si="269"/>
        <v>1.1419483086917363E-3</v>
      </c>
      <c r="K1734" t="str">
        <f xml:space="preserve"> B1733 &amp; B1734</f>
        <v>Z000162005Z020303008</v>
      </c>
    </row>
    <row r="1735" spans="1:11" outlineLevel="1" x14ac:dyDescent="0.2">
      <c r="A1735" s="29"/>
      <c r="B1735" s="30" t="s">
        <v>639</v>
      </c>
      <c r="C1735" s="30" t="s">
        <v>1300</v>
      </c>
      <c r="D1735" s="34" t="s">
        <v>1052</v>
      </c>
      <c r="E1735" s="31">
        <v>424.67199999999991</v>
      </c>
      <c r="F1735" s="31">
        <v>26.4</v>
      </c>
      <c r="G1735" s="32">
        <f t="shared" si="270"/>
        <v>11211.340799999996</v>
      </c>
      <c r="H1735" s="33">
        <f t="shared" si="269"/>
        <v>5.8131372655736262E-5</v>
      </c>
      <c r="K1735" t="str">
        <f xml:space="preserve"> B1733 &amp; B1735</f>
        <v>Z000162005Z030203009</v>
      </c>
    </row>
    <row r="1736" spans="1:11" outlineLevel="1" x14ac:dyDescent="0.2">
      <c r="A1736" s="29"/>
      <c r="B1736" s="30" t="s">
        <v>1016</v>
      </c>
      <c r="C1736" s="30" t="s">
        <v>746</v>
      </c>
      <c r="D1736" s="34" t="s">
        <v>151</v>
      </c>
      <c r="E1736" s="31">
        <v>0</v>
      </c>
      <c r="F1736" s="31">
        <v>18</v>
      </c>
      <c r="G1736" s="32">
        <f t="shared" si="270"/>
        <v>0</v>
      </c>
      <c r="H1736" s="33">
        <f t="shared" si="269"/>
        <v>0</v>
      </c>
      <c r="K1736" t="str">
        <f xml:space="preserve"> B1733 &amp; B1736</f>
        <v>Z000162005Z040201015</v>
      </c>
    </row>
    <row r="1737" spans="1:11" outlineLevel="1" x14ac:dyDescent="0.2">
      <c r="A1737" s="29"/>
      <c r="B1737" s="30" t="s">
        <v>801</v>
      </c>
      <c r="C1737" s="30" t="s">
        <v>402</v>
      </c>
      <c r="D1737" s="34" t="s">
        <v>151</v>
      </c>
      <c r="E1737" s="31">
        <v>0</v>
      </c>
      <c r="F1737" s="31">
        <v>10.3</v>
      </c>
      <c r="G1737" s="32">
        <f t="shared" si="270"/>
        <v>0</v>
      </c>
      <c r="H1737" s="33">
        <f t="shared" si="269"/>
        <v>0</v>
      </c>
      <c r="K1737" t="str">
        <f xml:space="preserve"> B1733 &amp; B1737</f>
        <v>Z000162005Z040202006</v>
      </c>
    </row>
    <row r="1738" spans="1:11" outlineLevel="1" x14ac:dyDescent="0.2">
      <c r="A1738" s="29"/>
      <c r="B1738" s="30" t="s">
        <v>966</v>
      </c>
      <c r="C1738" s="30" t="s">
        <v>3415</v>
      </c>
      <c r="D1738" s="34" t="s">
        <v>1152</v>
      </c>
      <c r="E1738" s="31">
        <v>738.56</v>
      </c>
      <c r="F1738" s="31">
        <v>80</v>
      </c>
      <c r="G1738" s="32">
        <f t="shared" si="270"/>
        <v>59084.799999999996</v>
      </c>
      <c r="H1738" s="33">
        <f t="shared" si="269"/>
        <v>3.0635769515539543E-4</v>
      </c>
      <c r="K1738" t="str">
        <f xml:space="preserve"> B1733 &amp; B1738</f>
        <v>Z000162005Z040308020</v>
      </c>
    </row>
    <row r="1739" spans="1:11" outlineLevel="1" x14ac:dyDescent="0.2">
      <c r="A1739" s="29"/>
      <c r="B1739" s="30" t="s">
        <v>498</v>
      </c>
      <c r="C1739" s="30" t="s">
        <v>773</v>
      </c>
      <c r="D1739" s="34" t="s">
        <v>84</v>
      </c>
      <c r="E1739" s="31">
        <v>886.27199999999993</v>
      </c>
      <c r="F1739" s="31">
        <v>0</v>
      </c>
      <c r="G1739" s="32">
        <f t="shared" si="270"/>
        <v>0</v>
      </c>
      <c r="H1739" s="33">
        <f t="shared" si="269"/>
        <v>0</v>
      </c>
      <c r="K1739" t="str">
        <f xml:space="preserve"> B1733 &amp; B1739</f>
        <v>Z000162005Z040401001</v>
      </c>
    </row>
    <row r="1740" spans="1:11" outlineLevel="1" x14ac:dyDescent="0.2">
      <c r="A1740" s="11" t="s">
        <v>1072</v>
      </c>
      <c r="B1740" s="11" t="s">
        <v>943</v>
      </c>
      <c r="C1740" s="11" t="s">
        <v>3582</v>
      </c>
      <c r="D1740" s="12" t="s">
        <v>1152</v>
      </c>
      <c r="E1740" s="13">
        <v>133</v>
      </c>
      <c r="F1740" s="14">
        <v>935</v>
      </c>
      <c r="G1740" s="15">
        <f>SUM(G1741:G1742)</f>
        <v>124355</v>
      </c>
      <c r="H1740" s="16">
        <f t="shared" si="269"/>
        <v>6.4478700412033544E-4</v>
      </c>
    </row>
    <row r="1741" spans="1:11" outlineLevel="1" x14ac:dyDescent="0.2">
      <c r="A1741" s="29"/>
      <c r="B1741" s="30" t="s">
        <v>1420</v>
      </c>
      <c r="C1741" s="30" t="s">
        <v>3580</v>
      </c>
      <c r="D1741" s="34" t="s">
        <v>1152</v>
      </c>
      <c r="E1741" s="31">
        <v>133</v>
      </c>
      <c r="F1741" s="31">
        <v>673.2</v>
      </c>
      <c r="G1741" s="32">
        <f t="shared" ref="G1741:G1742" si="271">F1741*E1741</f>
        <v>89535.6</v>
      </c>
      <c r="H1741" s="33">
        <f t="shared" si="269"/>
        <v>4.642466429666416E-4</v>
      </c>
      <c r="K1741" t="str">
        <f xml:space="preserve"> B1740 &amp; B1741</f>
        <v>Z000162003Z020303001</v>
      </c>
    </row>
    <row r="1742" spans="1:11" outlineLevel="1" x14ac:dyDescent="0.2">
      <c r="A1742" s="29"/>
      <c r="B1742" s="30" t="s">
        <v>1383</v>
      </c>
      <c r="C1742" s="30" t="s">
        <v>3583</v>
      </c>
      <c r="D1742" s="34" t="s">
        <v>1819</v>
      </c>
      <c r="E1742" s="31">
        <v>133</v>
      </c>
      <c r="F1742" s="31">
        <v>261.8</v>
      </c>
      <c r="G1742" s="32">
        <f t="shared" si="271"/>
        <v>34819.4</v>
      </c>
      <c r="H1742" s="33">
        <f t="shared" si="269"/>
        <v>1.8054036115369395E-4</v>
      </c>
      <c r="K1742" t="str">
        <f xml:space="preserve"> B1740 &amp; B1742</f>
        <v>Z000162003Z040313011</v>
      </c>
    </row>
    <row r="1743" spans="1:11" x14ac:dyDescent="0.2">
      <c r="A1743" s="23" t="s">
        <v>1031</v>
      </c>
      <c r="B1743" s="23" t="s">
        <v>328</v>
      </c>
      <c r="C1743" s="23" t="s">
        <v>1628</v>
      </c>
      <c r="D1743" s="24"/>
      <c r="E1743" s="25"/>
      <c r="F1743" s="26"/>
      <c r="G1743" s="27">
        <f>SUM(G1744,G1751,G1758)</f>
        <v>43825.841149879998</v>
      </c>
      <c r="H1743" s="28">
        <f t="shared" si="269"/>
        <v>2.2723921690390289E-4</v>
      </c>
    </row>
    <row r="1744" spans="1:11" outlineLevel="1" x14ac:dyDescent="0.2">
      <c r="A1744" s="11" t="s">
        <v>926</v>
      </c>
      <c r="B1744" s="11" t="s">
        <v>671</v>
      </c>
      <c r="C1744" s="11" t="s">
        <v>3707</v>
      </c>
      <c r="D1744" s="12" t="s">
        <v>1152</v>
      </c>
      <c r="E1744" s="13">
        <v>32.159999999999997</v>
      </c>
      <c r="F1744" s="14">
        <v>198.78439299999999</v>
      </c>
      <c r="G1744" s="15">
        <f>SUM(G1745:G1750)</f>
        <v>6392.9060788799989</v>
      </c>
      <c r="H1744" s="16">
        <f t="shared" si="269"/>
        <v>3.3147543389680474E-5</v>
      </c>
    </row>
    <row r="1745" spans="1:11" outlineLevel="1" x14ac:dyDescent="0.2">
      <c r="A1745" s="29"/>
      <c r="B1745" s="30" t="s">
        <v>871</v>
      </c>
      <c r="C1745" s="30" t="s">
        <v>704</v>
      </c>
      <c r="D1745" s="34" t="s">
        <v>1152</v>
      </c>
      <c r="E1745" s="31">
        <v>35.375999999999998</v>
      </c>
      <c r="F1745" s="31">
        <v>141.66409999999999</v>
      </c>
      <c r="G1745" s="32">
        <f t="shared" ref="G1745:G1750" si="272">F1745*E1745</f>
        <v>5011.509201599999</v>
      </c>
      <c r="H1745" s="33">
        <f t="shared" si="269"/>
        <v>2.5984930273983013E-5</v>
      </c>
      <c r="K1745" t="str">
        <f xml:space="preserve"> B1744 &amp; B1745</f>
        <v>Z000164004Z020307001</v>
      </c>
    </row>
    <row r="1746" spans="1:11" outlineLevel="1" x14ac:dyDescent="0.2">
      <c r="A1746" s="29"/>
      <c r="B1746" s="30" t="s">
        <v>621</v>
      </c>
      <c r="C1746" s="30" t="s">
        <v>3444</v>
      </c>
      <c r="D1746" s="34" t="s">
        <v>1052</v>
      </c>
      <c r="E1746" s="31">
        <v>18.128591999999998</v>
      </c>
      <c r="F1746" s="31">
        <v>49.59</v>
      </c>
      <c r="G1746" s="32">
        <f t="shared" si="272"/>
        <v>898.99687727999992</v>
      </c>
      <c r="H1746" s="33">
        <f t="shared" si="269"/>
        <v>4.6613445636677903E-6</v>
      </c>
      <c r="K1746" t="str">
        <f xml:space="preserve"> B1744 &amp; B1746</f>
        <v>Z000164004Z030203002</v>
      </c>
    </row>
    <row r="1747" spans="1:11" outlineLevel="1" x14ac:dyDescent="0.2">
      <c r="A1747" s="29"/>
      <c r="B1747" s="30" t="s">
        <v>1009</v>
      </c>
      <c r="C1747" s="30" t="s">
        <v>672</v>
      </c>
      <c r="D1747" s="34" t="s">
        <v>151</v>
      </c>
      <c r="E1747" s="31">
        <v>0</v>
      </c>
      <c r="F1747" s="31">
        <v>16.489999999999998</v>
      </c>
      <c r="G1747" s="32">
        <f t="shared" si="272"/>
        <v>0</v>
      </c>
      <c r="H1747" s="33">
        <f t="shared" si="269"/>
        <v>0</v>
      </c>
      <c r="K1747" t="str">
        <f xml:space="preserve"> B1744 &amp; B1747</f>
        <v>Z000164004Z040201013</v>
      </c>
    </row>
    <row r="1748" spans="1:11" outlineLevel="1" x14ac:dyDescent="0.2">
      <c r="A1748" s="29"/>
      <c r="B1748" s="30" t="s">
        <v>801</v>
      </c>
      <c r="C1748" s="30" t="s">
        <v>402</v>
      </c>
      <c r="D1748" s="34" t="s">
        <v>151</v>
      </c>
      <c r="E1748" s="31">
        <v>0</v>
      </c>
      <c r="F1748" s="31">
        <v>10.3</v>
      </c>
      <c r="G1748" s="32">
        <f t="shared" si="272"/>
        <v>0</v>
      </c>
      <c r="H1748" s="33">
        <f t="shared" si="269"/>
        <v>0</v>
      </c>
      <c r="K1748" t="str">
        <f xml:space="preserve"> B1744 &amp; B1748</f>
        <v>Z000164004Z040202006</v>
      </c>
    </row>
    <row r="1749" spans="1:11" outlineLevel="1" x14ac:dyDescent="0.2">
      <c r="A1749" s="29"/>
      <c r="B1749" s="30" t="s">
        <v>887</v>
      </c>
      <c r="C1749" s="30" t="s">
        <v>3711</v>
      </c>
      <c r="D1749" s="34" t="s">
        <v>1152</v>
      </c>
      <c r="E1749" s="31">
        <v>32.159999999999997</v>
      </c>
      <c r="F1749" s="31">
        <v>15</v>
      </c>
      <c r="G1749" s="32">
        <f t="shared" si="272"/>
        <v>482.4</v>
      </c>
      <c r="H1749" s="33">
        <f t="shared" si="269"/>
        <v>2.5012685520296715E-6</v>
      </c>
      <c r="K1749" t="str">
        <f xml:space="preserve"> B1744 &amp; B1749</f>
        <v>Z000164004Z040308013</v>
      </c>
    </row>
    <row r="1750" spans="1:11" outlineLevel="1" x14ac:dyDescent="0.2">
      <c r="A1750" s="29"/>
      <c r="B1750" s="30" t="s">
        <v>498</v>
      </c>
      <c r="C1750" s="30" t="s">
        <v>773</v>
      </c>
      <c r="D1750" s="34" t="s">
        <v>84</v>
      </c>
      <c r="E1750" s="31">
        <v>38.591999999999992</v>
      </c>
      <c r="F1750" s="31">
        <v>0</v>
      </c>
      <c r="G1750" s="32">
        <f t="shared" si="272"/>
        <v>0</v>
      </c>
      <c r="H1750" s="33">
        <f t="shared" si="269"/>
        <v>0</v>
      </c>
      <c r="K1750" t="str">
        <f xml:space="preserve"> B1744 &amp; B1750</f>
        <v>Z000164004Z040401001</v>
      </c>
    </row>
    <row r="1751" spans="1:11" outlineLevel="1" x14ac:dyDescent="0.2">
      <c r="A1751" s="11" t="s">
        <v>928</v>
      </c>
      <c r="B1751" s="11" t="s">
        <v>716</v>
      </c>
      <c r="C1751" s="11" t="s">
        <v>3734</v>
      </c>
      <c r="D1751" s="12" t="s">
        <v>153</v>
      </c>
      <c r="E1751" s="13">
        <v>165.4</v>
      </c>
      <c r="F1751" s="14">
        <v>151.09410000000003</v>
      </c>
      <c r="G1751" s="15">
        <f>SUM(G1752:G1757)</f>
        <v>24990.964140000004</v>
      </c>
      <c r="H1751" s="16">
        <f t="shared" si="269"/>
        <v>1.2957942099561207E-4</v>
      </c>
    </row>
    <row r="1752" spans="1:11" outlineLevel="1" x14ac:dyDescent="0.2">
      <c r="A1752" s="29"/>
      <c r="B1752" s="30" t="s">
        <v>1514</v>
      </c>
      <c r="C1752" s="30" t="s">
        <v>3732</v>
      </c>
      <c r="D1752" s="34" t="s">
        <v>153</v>
      </c>
      <c r="E1752" s="31">
        <v>221.63600000000002</v>
      </c>
      <c r="F1752" s="31">
        <v>50</v>
      </c>
      <c r="G1752" s="32">
        <f t="shared" ref="G1752:G1757" si="273">F1752*E1752</f>
        <v>11081.800000000001</v>
      </c>
      <c r="H1752" s="33">
        <f t="shared" si="269"/>
        <v>5.7459697014681636E-5</v>
      </c>
      <c r="K1752" t="str">
        <f xml:space="preserve"> B1751 &amp; B1752</f>
        <v>Z000164015Z020311001</v>
      </c>
    </row>
    <row r="1753" spans="1:11" outlineLevel="1" x14ac:dyDescent="0.2">
      <c r="A1753" s="29"/>
      <c r="B1753" s="30" t="s">
        <v>621</v>
      </c>
      <c r="C1753" s="30" t="s">
        <v>3444</v>
      </c>
      <c r="D1753" s="34" t="s">
        <v>1052</v>
      </c>
      <c r="E1753" s="31">
        <v>163.74600000000001</v>
      </c>
      <c r="F1753" s="31">
        <v>49.59</v>
      </c>
      <c r="G1753" s="32">
        <f t="shared" si="273"/>
        <v>8120.1641400000008</v>
      </c>
      <c r="H1753" s="33">
        <f t="shared" si="269"/>
        <v>4.2103464346395244E-5</v>
      </c>
      <c r="K1753" t="str">
        <f xml:space="preserve"> B1751 &amp; B1753</f>
        <v>Z000164015Z030203002</v>
      </c>
    </row>
    <row r="1754" spans="1:11" outlineLevel="1" x14ac:dyDescent="0.2">
      <c r="A1754" s="29"/>
      <c r="B1754" s="30" t="s">
        <v>1009</v>
      </c>
      <c r="C1754" s="30" t="s">
        <v>672</v>
      </c>
      <c r="D1754" s="34" t="s">
        <v>151</v>
      </c>
      <c r="E1754" s="31">
        <v>0</v>
      </c>
      <c r="F1754" s="31">
        <v>16.489999999999998</v>
      </c>
      <c r="G1754" s="32">
        <f t="shared" si="273"/>
        <v>0</v>
      </c>
      <c r="H1754" s="33">
        <f t="shared" si="269"/>
        <v>0</v>
      </c>
      <c r="K1754" t="str">
        <f xml:space="preserve"> B1751 &amp; B1754</f>
        <v>Z000164015Z040201013</v>
      </c>
    </row>
    <row r="1755" spans="1:11" outlineLevel="1" x14ac:dyDescent="0.2">
      <c r="A1755" s="29"/>
      <c r="B1755" s="30" t="s">
        <v>801</v>
      </c>
      <c r="C1755" s="30" t="s">
        <v>402</v>
      </c>
      <c r="D1755" s="34" t="s">
        <v>151</v>
      </c>
      <c r="E1755" s="31">
        <v>0</v>
      </c>
      <c r="F1755" s="31">
        <v>10.3</v>
      </c>
      <c r="G1755" s="32">
        <f t="shared" si="273"/>
        <v>0</v>
      </c>
      <c r="H1755" s="33">
        <f t="shared" si="269"/>
        <v>0</v>
      </c>
      <c r="K1755" t="str">
        <f xml:space="preserve"> B1751 &amp; B1755</f>
        <v>Z000164015Z040202006</v>
      </c>
    </row>
    <row r="1756" spans="1:11" outlineLevel="1" x14ac:dyDescent="0.2">
      <c r="A1756" s="29"/>
      <c r="B1756" s="30" t="s">
        <v>968</v>
      </c>
      <c r="C1756" s="30" t="s">
        <v>3448</v>
      </c>
      <c r="D1756" s="34" t="s">
        <v>153</v>
      </c>
      <c r="E1756" s="31">
        <v>165.4</v>
      </c>
      <c r="F1756" s="31">
        <v>35</v>
      </c>
      <c r="G1756" s="32">
        <f t="shared" si="273"/>
        <v>5789</v>
      </c>
      <c r="H1756" s="33">
        <f t="shared" si="269"/>
        <v>3.001625963453518E-5</v>
      </c>
      <c r="K1756" t="str">
        <f xml:space="preserve"> B1751 &amp; B1756</f>
        <v>Z000164015Z040308021</v>
      </c>
    </row>
    <row r="1757" spans="1:11" outlineLevel="1" x14ac:dyDescent="0.2">
      <c r="A1757" s="29"/>
      <c r="B1757" s="30" t="s">
        <v>498</v>
      </c>
      <c r="C1757" s="30" t="s">
        <v>773</v>
      </c>
      <c r="D1757" s="34" t="s">
        <v>84</v>
      </c>
      <c r="E1757" s="31">
        <v>198.48</v>
      </c>
      <c r="F1757" s="31">
        <v>0</v>
      </c>
      <c r="G1757" s="32">
        <f t="shared" si="273"/>
        <v>0</v>
      </c>
      <c r="H1757" s="33">
        <f t="shared" si="269"/>
        <v>0</v>
      </c>
      <c r="K1757" t="str">
        <f xml:space="preserve"> B1751 &amp; B1757</f>
        <v>Z000164015Z040401001</v>
      </c>
    </row>
    <row r="1758" spans="1:11" outlineLevel="1" x14ac:dyDescent="0.2">
      <c r="A1758" s="11" t="s">
        <v>931</v>
      </c>
      <c r="B1758" s="11" t="s">
        <v>661</v>
      </c>
      <c r="C1758" s="11" t="s">
        <v>3688</v>
      </c>
      <c r="D1758" s="12" t="s">
        <v>1152</v>
      </c>
      <c r="E1758" s="13">
        <v>62.62</v>
      </c>
      <c r="F1758" s="14">
        <v>198.69004999999999</v>
      </c>
      <c r="G1758" s="15">
        <f>SUM(G1759:G1764)</f>
        <v>12441.970930999998</v>
      </c>
      <c r="H1758" s="16">
        <f t="shared" si="269"/>
        <v>6.4512252518610346E-5</v>
      </c>
    </row>
    <row r="1759" spans="1:11" outlineLevel="1" x14ac:dyDescent="0.2">
      <c r="A1759" s="29"/>
      <c r="B1759" s="30" t="s">
        <v>1163</v>
      </c>
      <c r="C1759" s="30" t="s">
        <v>977</v>
      </c>
      <c r="D1759" s="34" t="s">
        <v>1152</v>
      </c>
      <c r="E1759" s="31">
        <v>68.882000000000005</v>
      </c>
      <c r="F1759" s="31">
        <v>130.88999999999999</v>
      </c>
      <c r="G1759" s="32">
        <f t="shared" ref="G1759:G1764" si="274">F1759*E1759</f>
        <v>9015.9649799999988</v>
      </c>
      <c r="H1759" s="33">
        <f t="shared" si="269"/>
        <v>4.6748237294102045E-5</v>
      </c>
      <c r="K1759" t="str">
        <f xml:space="preserve"> B1758 &amp; B1759</f>
        <v>Z000164001Z020305001</v>
      </c>
    </row>
    <row r="1760" spans="1:11" outlineLevel="1" x14ac:dyDescent="0.2">
      <c r="A1760" s="29"/>
      <c r="B1760" s="30" t="s">
        <v>621</v>
      </c>
      <c r="C1760" s="30" t="s">
        <v>3444</v>
      </c>
      <c r="D1760" s="34" t="s">
        <v>1052</v>
      </c>
      <c r="E1760" s="31">
        <v>5.9489000000000001</v>
      </c>
      <c r="F1760" s="31">
        <v>49.59</v>
      </c>
      <c r="G1760" s="32">
        <f t="shared" si="274"/>
        <v>295.00595100000004</v>
      </c>
      <c r="H1760" s="33">
        <f t="shared" si="269"/>
        <v>1.5296208704351293E-6</v>
      </c>
      <c r="K1760" t="str">
        <f xml:space="preserve"> B1758 &amp; B1760</f>
        <v>Z000164001Z030203002</v>
      </c>
    </row>
    <row r="1761" spans="1:11" outlineLevel="1" x14ac:dyDescent="0.2">
      <c r="A1761" s="29"/>
      <c r="B1761" s="30" t="s">
        <v>1009</v>
      </c>
      <c r="C1761" s="30" t="s">
        <v>672</v>
      </c>
      <c r="D1761" s="34" t="s">
        <v>151</v>
      </c>
      <c r="E1761" s="31">
        <v>0</v>
      </c>
      <c r="F1761" s="31">
        <v>16.489999999999998</v>
      </c>
      <c r="G1761" s="32">
        <f t="shared" si="274"/>
        <v>0</v>
      </c>
      <c r="H1761" s="33">
        <f t="shared" si="269"/>
        <v>0</v>
      </c>
      <c r="K1761" t="str">
        <f xml:space="preserve"> B1758 &amp; B1761</f>
        <v>Z000164001Z040201013</v>
      </c>
    </row>
    <row r="1762" spans="1:11" outlineLevel="1" x14ac:dyDescent="0.2">
      <c r="A1762" s="29"/>
      <c r="B1762" s="30" t="s">
        <v>801</v>
      </c>
      <c r="C1762" s="30" t="s">
        <v>402</v>
      </c>
      <c r="D1762" s="34" t="s">
        <v>151</v>
      </c>
      <c r="E1762" s="31">
        <v>0</v>
      </c>
      <c r="F1762" s="31">
        <v>10.3</v>
      </c>
      <c r="G1762" s="32">
        <f t="shared" si="274"/>
        <v>0</v>
      </c>
      <c r="H1762" s="33">
        <f t="shared" si="269"/>
        <v>0</v>
      </c>
      <c r="K1762" t="str">
        <f xml:space="preserve"> B1758 &amp; B1762</f>
        <v>Z000164001Z040202006</v>
      </c>
    </row>
    <row r="1763" spans="1:11" outlineLevel="1" x14ac:dyDescent="0.2">
      <c r="A1763" s="29"/>
      <c r="B1763" s="30" t="s">
        <v>972</v>
      </c>
      <c r="C1763" s="30" t="s">
        <v>3692</v>
      </c>
      <c r="D1763" s="34" t="s">
        <v>1152</v>
      </c>
      <c r="E1763" s="31">
        <v>62.62</v>
      </c>
      <c r="F1763" s="31">
        <v>50</v>
      </c>
      <c r="G1763" s="32">
        <f t="shared" si="274"/>
        <v>3131</v>
      </c>
      <c r="H1763" s="33">
        <f t="shared" si="269"/>
        <v>1.6234394354073181E-5</v>
      </c>
      <c r="K1763" t="str">
        <f xml:space="preserve"> B1758 &amp; B1763</f>
        <v>Z000164001Z040308023</v>
      </c>
    </row>
    <row r="1764" spans="1:11" outlineLevel="1" x14ac:dyDescent="0.2">
      <c r="A1764" s="29"/>
      <c r="B1764" s="30" t="s">
        <v>498</v>
      </c>
      <c r="C1764" s="30" t="s">
        <v>773</v>
      </c>
      <c r="D1764" s="34" t="s">
        <v>84</v>
      </c>
      <c r="E1764" s="31">
        <v>75.143999999999991</v>
      </c>
      <c r="F1764" s="31">
        <v>0</v>
      </c>
      <c r="G1764" s="32">
        <f t="shared" si="274"/>
        <v>0</v>
      </c>
      <c r="H1764" s="33">
        <f t="shared" si="269"/>
        <v>0</v>
      </c>
      <c r="K1764" t="str">
        <f xml:space="preserve"> B1758 &amp; B1764</f>
        <v>Z000164001Z040401001</v>
      </c>
    </row>
    <row r="1765" spans="1:11" x14ac:dyDescent="0.2">
      <c r="A1765" s="23" t="s">
        <v>1033</v>
      </c>
      <c r="B1765" s="23" t="s">
        <v>328</v>
      </c>
      <c r="C1765" s="23" t="s">
        <v>224</v>
      </c>
      <c r="D1765" s="24"/>
      <c r="E1765" s="25"/>
      <c r="F1765" s="26"/>
      <c r="G1765" s="27">
        <f>SUM(G1766)</f>
        <v>54617.782114350004</v>
      </c>
      <c r="H1765" s="28">
        <f t="shared" si="269"/>
        <v>2.8319598006681663E-4</v>
      </c>
    </row>
    <row r="1766" spans="1:11" outlineLevel="1" x14ac:dyDescent="0.2">
      <c r="A1766" s="11" t="s">
        <v>783</v>
      </c>
      <c r="B1766" s="11" t="s">
        <v>1284</v>
      </c>
      <c r="C1766" s="11" t="s">
        <v>1297</v>
      </c>
      <c r="D1766" s="12" t="s">
        <v>1152</v>
      </c>
      <c r="E1766" s="13">
        <v>8427.09</v>
      </c>
      <c r="F1766" s="14">
        <v>6.4812150000000006</v>
      </c>
      <c r="G1766" s="15">
        <f>SUM(G1767:G1770)</f>
        <v>54617.782114350004</v>
      </c>
      <c r="H1766" s="16">
        <f t="shared" si="269"/>
        <v>2.8319598006681663E-4</v>
      </c>
    </row>
    <row r="1767" spans="1:11" outlineLevel="1" x14ac:dyDescent="0.2">
      <c r="A1767" s="29"/>
      <c r="B1767" s="30" t="s">
        <v>1795</v>
      </c>
      <c r="C1767" s="30" t="s">
        <v>1816</v>
      </c>
      <c r="D1767" s="34" t="s">
        <v>1152</v>
      </c>
      <c r="E1767" s="31">
        <v>8848.4445000000014</v>
      </c>
      <c r="F1767" s="31">
        <v>5.8662999999999998</v>
      </c>
      <c r="G1767" s="32">
        <f t="shared" ref="G1767:G1770" si="275">F1767*E1767</f>
        <v>51907.629970350004</v>
      </c>
      <c r="H1767" s="33">
        <f t="shared" si="269"/>
        <v>2.6914370326540084E-4</v>
      </c>
      <c r="K1767" t="str">
        <f xml:space="preserve"> B1766 &amp; B1767</f>
        <v>Z000161031Z030104001</v>
      </c>
    </row>
    <row r="1768" spans="1:11" outlineLevel="1" x14ac:dyDescent="0.2">
      <c r="A1768" s="29"/>
      <c r="B1768" s="30" t="s">
        <v>1650</v>
      </c>
      <c r="C1768" s="30" t="s">
        <v>386</v>
      </c>
      <c r="D1768" s="34" t="s">
        <v>1781</v>
      </c>
      <c r="E1768" s="31">
        <v>337.08359999999999</v>
      </c>
      <c r="F1768" s="31">
        <v>8.0399999999999991</v>
      </c>
      <c r="G1768" s="32">
        <f t="shared" si="275"/>
        <v>2710.1521439999997</v>
      </c>
      <c r="H1768" s="33">
        <f t="shared" si="269"/>
        <v>1.4052276801415817E-5</v>
      </c>
      <c r="K1768" t="str">
        <f xml:space="preserve"> B1766 &amp; B1768</f>
        <v>Z000161031Z030105003</v>
      </c>
    </row>
    <row r="1769" spans="1:11" outlineLevel="1" x14ac:dyDescent="0.2">
      <c r="A1769" s="29"/>
      <c r="B1769" s="30" t="s">
        <v>801</v>
      </c>
      <c r="C1769" s="30" t="s">
        <v>402</v>
      </c>
      <c r="D1769" s="34" t="s">
        <v>151</v>
      </c>
      <c r="E1769" s="31">
        <v>0</v>
      </c>
      <c r="F1769" s="31">
        <v>10.3</v>
      </c>
      <c r="G1769" s="32">
        <f t="shared" si="275"/>
        <v>0</v>
      </c>
      <c r="H1769" s="33">
        <f t="shared" si="269"/>
        <v>0</v>
      </c>
      <c r="K1769" t="str">
        <f xml:space="preserve"> B1766 &amp; B1769</f>
        <v>Z000161031Z040202006</v>
      </c>
    </row>
    <row r="1770" spans="1:11" outlineLevel="1" x14ac:dyDescent="0.2">
      <c r="A1770" s="29"/>
      <c r="B1770" s="30" t="s">
        <v>498</v>
      </c>
      <c r="C1770" s="30" t="s">
        <v>773</v>
      </c>
      <c r="D1770" s="34" t="s">
        <v>84</v>
      </c>
      <c r="E1770" s="31">
        <v>10112.508</v>
      </c>
      <c r="F1770" s="31">
        <v>0</v>
      </c>
      <c r="G1770" s="32">
        <f t="shared" si="275"/>
        <v>0</v>
      </c>
      <c r="H1770" s="33">
        <f t="shared" si="269"/>
        <v>0</v>
      </c>
      <c r="K1770" t="str">
        <f xml:space="preserve"> B1766 &amp; B1770</f>
        <v>Z000161031Z040401001</v>
      </c>
    </row>
    <row r="1771" spans="1:11" ht="15" x14ac:dyDescent="0.2">
      <c r="A1771" s="17" t="s">
        <v>2045</v>
      </c>
      <c r="B1771" s="17" t="s">
        <v>328</v>
      </c>
      <c r="C1771" s="17" t="s">
        <v>135</v>
      </c>
      <c r="D1771" s="18"/>
      <c r="E1771" s="19"/>
      <c r="F1771" s="20"/>
      <c r="G1771" s="21">
        <f>SUM(G1772,G1817,G1879)</f>
        <v>12290796.624491598</v>
      </c>
      <c r="H1771" s="22">
        <f t="shared" si="269"/>
        <v>6.37284060452597E-2</v>
      </c>
    </row>
    <row r="1772" spans="1:11" x14ac:dyDescent="0.2">
      <c r="A1772" s="23" t="s">
        <v>869</v>
      </c>
      <c r="B1772" s="23" t="s">
        <v>328</v>
      </c>
      <c r="C1772" s="23" t="s">
        <v>789</v>
      </c>
      <c r="D1772" s="24"/>
      <c r="E1772" s="25"/>
      <c r="F1772" s="26"/>
      <c r="G1772" s="27">
        <f>SUM(G1773,G1783,G1793,G1805)</f>
        <v>257609.9918516</v>
      </c>
      <c r="H1772" s="28">
        <f t="shared" si="269"/>
        <v>1.335720918961499E-3</v>
      </c>
    </row>
    <row r="1773" spans="1:11" outlineLevel="1" x14ac:dyDescent="0.2">
      <c r="A1773" s="11" t="s">
        <v>623</v>
      </c>
      <c r="B1773" s="11" t="s">
        <v>1288</v>
      </c>
      <c r="C1773" s="11" t="s">
        <v>3569</v>
      </c>
      <c r="D1773" s="12" t="s">
        <v>1152</v>
      </c>
      <c r="E1773" s="13">
        <v>14.03</v>
      </c>
      <c r="F1773" s="14">
        <v>195.96498000000003</v>
      </c>
      <c r="G1773" s="15">
        <f>SUM(G1774:G1782)</f>
        <v>2749.3886694000003</v>
      </c>
      <c r="H1773" s="16">
        <f t="shared" si="269"/>
        <v>1.4255720182580689E-5</v>
      </c>
    </row>
    <row r="1774" spans="1:11" outlineLevel="1" x14ac:dyDescent="0.2">
      <c r="A1774" s="29"/>
      <c r="B1774" s="30" t="s">
        <v>853</v>
      </c>
      <c r="C1774" s="30" t="s">
        <v>980</v>
      </c>
      <c r="D1774" s="34" t="s">
        <v>1052</v>
      </c>
      <c r="E1774" s="31">
        <v>68.887299999999996</v>
      </c>
      <c r="F1774" s="31">
        <v>0.9</v>
      </c>
      <c r="G1774" s="32">
        <f t="shared" ref="G1774:G1782" si="276">F1774*E1774</f>
        <v>61.998570000000001</v>
      </c>
      <c r="H1774" s="33">
        <f t="shared" si="269"/>
        <v>3.2146574090342092E-7</v>
      </c>
      <c r="K1774" t="str">
        <f xml:space="preserve"> B1773 &amp; B1774</f>
        <v>Z000161032Z020201001</v>
      </c>
    </row>
    <row r="1775" spans="1:11" outlineLevel="1" x14ac:dyDescent="0.2">
      <c r="A1775" s="29"/>
      <c r="B1775" s="30" t="s">
        <v>706</v>
      </c>
      <c r="C1775" s="30" t="s">
        <v>130</v>
      </c>
      <c r="D1775" s="34" t="s">
        <v>1052</v>
      </c>
      <c r="E1775" s="31">
        <v>23.710699999999999</v>
      </c>
      <c r="F1775" s="31">
        <v>8</v>
      </c>
      <c r="G1775" s="32">
        <f t="shared" si="276"/>
        <v>189.68559999999999</v>
      </c>
      <c r="H1775" s="33">
        <f t="shared" si="269"/>
        <v>9.8352949015936885E-7</v>
      </c>
      <c r="K1775" t="str">
        <f xml:space="preserve"> B1773 &amp; B1775</f>
        <v>Z000161032Z020202001</v>
      </c>
    </row>
    <row r="1776" spans="1:11" outlineLevel="1" x14ac:dyDescent="0.2">
      <c r="A1776" s="29"/>
      <c r="B1776" s="30" t="s">
        <v>1703</v>
      </c>
      <c r="C1776" s="30" t="s">
        <v>1473</v>
      </c>
      <c r="D1776" s="34" t="s">
        <v>1152</v>
      </c>
      <c r="E1776" s="31">
        <v>15.433</v>
      </c>
      <c r="F1776" s="31">
        <v>68.44</v>
      </c>
      <c r="G1776" s="32">
        <f t="shared" si="276"/>
        <v>1056.23452</v>
      </c>
      <c r="H1776" s="33">
        <f t="shared" si="269"/>
        <v>5.4766297438726271E-6</v>
      </c>
      <c r="K1776" t="str">
        <f xml:space="preserve"> B1773 &amp; B1776</f>
        <v>Z000161032Z020302022</v>
      </c>
    </row>
    <row r="1777" spans="1:11" outlineLevel="1" x14ac:dyDescent="0.2">
      <c r="A1777" s="29"/>
      <c r="B1777" s="30" t="s">
        <v>939</v>
      </c>
      <c r="C1777" s="30" t="s">
        <v>640</v>
      </c>
      <c r="D1777" s="34" t="s">
        <v>151</v>
      </c>
      <c r="E1777" s="31">
        <v>0</v>
      </c>
      <c r="F1777" s="31">
        <v>21.15</v>
      </c>
      <c r="G1777" s="32">
        <f t="shared" si="276"/>
        <v>0</v>
      </c>
      <c r="H1777" s="33">
        <f t="shared" si="269"/>
        <v>0</v>
      </c>
      <c r="K1777" t="str">
        <f xml:space="preserve"> B1773 &amp; B1777</f>
        <v>Z000161032Z040201003</v>
      </c>
    </row>
    <row r="1778" spans="1:11" outlineLevel="1" x14ac:dyDescent="0.2">
      <c r="A1778" s="29"/>
      <c r="B1778" s="30" t="s">
        <v>801</v>
      </c>
      <c r="C1778" s="30" t="s">
        <v>402</v>
      </c>
      <c r="D1778" s="34" t="s">
        <v>151</v>
      </c>
      <c r="E1778" s="31">
        <v>0</v>
      </c>
      <c r="F1778" s="31">
        <v>10.3</v>
      </c>
      <c r="G1778" s="32">
        <f t="shared" si="276"/>
        <v>0</v>
      </c>
      <c r="H1778" s="33">
        <f t="shared" si="269"/>
        <v>0</v>
      </c>
      <c r="K1778" t="str">
        <f xml:space="preserve"> B1773 &amp; B1778</f>
        <v>Z000161032Z040202006</v>
      </c>
    </row>
    <row r="1779" spans="1:11" outlineLevel="1" x14ac:dyDescent="0.2">
      <c r="A1779" s="29"/>
      <c r="B1779" s="30" t="s">
        <v>835</v>
      </c>
      <c r="C1779" s="30" t="s">
        <v>3574</v>
      </c>
      <c r="D1779" s="34" t="s">
        <v>1152</v>
      </c>
      <c r="E1779" s="31">
        <v>14.03</v>
      </c>
      <c r="F1779" s="31">
        <v>90</v>
      </c>
      <c r="G1779" s="32">
        <f t="shared" si="276"/>
        <v>1262.7</v>
      </c>
      <c r="H1779" s="33">
        <f t="shared" si="269"/>
        <v>6.5471637658537867E-6</v>
      </c>
      <c r="K1779" t="str">
        <f xml:space="preserve"> B1773 &amp; B1779</f>
        <v>Z000161032Z040308005</v>
      </c>
    </row>
    <row r="1780" spans="1:11" outlineLevel="1" x14ac:dyDescent="0.2">
      <c r="A1780" s="29"/>
      <c r="B1780" s="30" t="s">
        <v>1044</v>
      </c>
      <c r="C1780" s="30" t="s">
        <v>3576</v>
      </c>
      <c r="D1780" s="34" t="s">
        <v>1152</v>
      </c>
      <c r="E1780" s="31">
        <v>14.03</v>
      </c>
      <c r="F1780" s="31">
        <v>3.5</v>
      </c>
      <c r="G1780" s="32">
        <f t="shared" si="276"/>
        <v>49.104999999999997</v>
      </c>
      <c r="H1780" s="33">
        <f t="shared" si="269"/>
        <v>2.5461192422764722E-7</v>
      </c>
      <c r="K1780" t="str">
        <f xml:space="preserve"> B1773 &amp; B1780</f>
        <v>Z000161032Z040308035</v>
      </c>
    </row>
    <row r="1781" spans="1:11" outlineLevel="1" x14ac:dyDescent="0.2">
      <c r="A1781" s="29"/>
      <c r="B1781" s="30" t="s">
        <v>498</v>
      </c>
      <c r="C1781" s="30" t="s">
        <v>773</v>
      </c>
      <c r="D1781" s="34" t="s">
        <v>84</v>
      </c>
      <c r="E1781" s="31">
        <v>16.835999999999999</v>
      </c>
      <c r="F1781" s="31">
        <v>0</v>
      </c>
      <c r="G1781" s="32">
        <f t="shared" si="276"/>
        <v>0</v>
      </c>
      <c r="H1781" s="33">
        <f t="shared" si="269"/>
        <v>0</v>
      </c>
      <c r="K1781" t="str">
        <f xml:space="preserve"> B1773 &amp; B1781</f>
        <v>Z000161032Z040401001</v>
      </c>
    </row>
    <row r="1782" spans="1:11" outlineLevel="1" x14ac:dyDescent="0.2">
      <c r="A1782" s="29"/>
      <c r="B1782" s="30" t="s">
        <v>941</v>
      </c>
      <c r="C1782" s="30" t="s">
        <v>1485</v>
      </c>
      <c r="D1782" s="34" t="s">
        <v>1819</v>
      </c>
      <c r="E1782" s="31">
        <v>15.433</v>
      </c>
      <c r="F1782" s="31">
        <v>8.4017999999999997</v>
      </c>
      <c r="G1782" s="32">
        <f t="shared" si="276"/>
        <v>129.66497939999999</v>
      </c>
      <c r="H1782" s="33">
        <f t="shared" si="269"/>
        <v>6.7231951756383751E-7</v>
      </c>
      <c r="K1782" t="str">
        <f xml:space="preserve"> B1773 &amp; B1782</f>
        <v>Z000161032Z060101021</v>
      </c>
    </row>
    <row r="1783" spans="1:11" outlineLevel="1" x14ac:dyDescent="0.2">
      <c r="A1783" s="11" t="s">
        <v>625</v>
      </c>
      <c r="B1783" s="11" t="s">
        <v>676</v>
      </c>
      <c r="C1783" s="11" t="s">
        <v>3715</v>
      </c>
      <c r="D1783" s="12" t="s">
        <v>1152</v>
      </c>
      <c r="E1783" s="13">
        <v>357.56</v>
      </c>
      <c r="F1783" s="14">
        <v>336.33807000000002</v>
      </c>
      <c r="G1783" s="15">
        <f>SUM(G1784:G1792)</f>
        <v>120261.04030920001</v>
      </c>
      <c r="H1783" s="16">
        <f t="shared" si="269"/>
        <v>6.2355961475906861E-4</v>
      </c>
    </row>
    <row r="1784" spans="1:11" outlineLevel="1" x14ac:dyDescent="0.2">
      <c r="A1784" s="29"/>
      <c r="B1784" s="30" t="s">
        <v>853</v>
      </c>
      <c r="C1784" s="30" t="s">
        <v>980</v>
      </c>
      <c r="D1784" s="34" t="s">
        <v>1052</v>
      </c>
      <c r="E1784" s="31">
        <v>2449.2860000000001</v>
      </c>
      <c r="F1784" s="31">
        <v>0.9</v>
      </c>
      <c r="G1784" s="32">
        <f t="shared" ref="G1784:G1792" si="277">F1784*E1784</f>
        <v>2204.3574000000003</v>
      </c>
      <c r="H1784" s="33">
        <f t="shared" si="269"/>
        <v>1.1429705311056992E-5</v>
      </c>
      <c r="K1784" t="str">
        <f xml:space="preserve"> B1783 &amp; B1784</f>
        <v>Z000164009Z020201001</v>
      </c>
    </row>
    <row r="1785" spans="1:11" outlineLevel="1" x14ac:dyDescent="0.2">
      <c r="A1785" s="29"/>
      <c r="B1785" s="30" t="s">
        <v>706</v>
      </c>
      <c r="C1785" s="30" t="s">
        <v>130</v>
      </c>
      <c r="D1785" s="34" t="s">
        <v>1052</v>
      </c>
      <c r="E1785" s="31">
        <v>50.415959999999998</v>
      </c>
      <c r="F1785" s="31">
        <v>8</v>
      </c>
      <c r="G1785" s="32">
        <f t="shared" si="277"/>
        <v>403.32767999999999</v>
      </c>
      <c r="H1785" s="33">
        <f t="shared" si="269"/>
        <v>2.0912745483977753E-6</v>
      </c>
      <c r="K1785" t="str">
        <f xml:space="preserve"> B1783 &amp; B1785</f>
        <v>Z000164009Z020202001</v>
      </c>
    </row>
    <row r="1786" spans="1:11" outlineLevel="1" x14ac:dyDescent="0.2">
      <c r="A1786" s="29"/>
      <c r="B1786" s="30" t="s">
        <v>1702</v>
      </c>
      <c r="C1786" s="30" t="s">
        <v>1289</v>
      </c>
      <c r="D1786" s="34" t="s">
        <v>1152</v>
      </c>
      <c r="E1786" s="31">
        <v>411.19399999999996</v>
      </c>
      <c r="F1786" s="31">
        <v>196.42</v>
      </c>
      <c r="G1786" s="32">
        <f t="shared" si="277"/>
        <v>80766.725479999994</v>
      </c>
      <c r="H1786" s="33">
        <f t="shared" si="269"/>
        <v>4.1877958228345272E-4</v>
      </c>
      <c r="K1786" t="str">
        <f xml:space="preserve"> B1783 &amp; B1786</f>
        <v>Z000164009Z020302021</v>
      </c>
    </row>
    <row r="1787" spans="1:11" outlineLevel="1" x14ac:dyDescent="0.2">
      <c r="A1787" s="29"/>
      <c r="B1787" s="30" t="s">
        <v>939</v>
      </c>
      <c r="C1787" s="30" t="s">
        <v>640</v>
      </c>
      <c r="D1787" s="34" t="s">
        <v>151</v>
      </c>
      <c r="E1787" s="31">
        <v>0</v>
      </c>
      <c r="F1787" s="31">
        <v>21.15</v>
      </c>
      <c r="G1787" s="32">
        <f t="shared" si="277"/>
        <v>0</v>
      </c>
      <c r="H1787" s="33">
        <f t="shared" si="269"/>
        <v>0</v>
      </c>
      <c r="K1787" t="str">
        <f xml:space="preserve"> B1783 &amp; B1787</f>
        <v>Z000164009Z040201003</v>
      </c>
    </row>
    <row r="1788" spans="1:11" outlineLevel="1" x14ac:dyDescent="0.2">
      <c r="A1788" s="29"/>
      <c r="B1788" s="30" t="s">
        <v>801</v>
      </c>
      <c r="C1788" s="30" t="s">
        <v>402</v>
      </c>
      <c r="D1788" s="34" t="s">
        <v>151</v>
      </c>
      <c r="E1788" s="31">
        <v>0</v>
      </c>
      <c r="F1788" s="31">
        <v>10.3</v>
      </c>
      <c r="G1788" s="32">
        <f t="shared" si="277"/>
        <v>0</v>
      </c>
      <c r="H1788" s="33">
        <f t="shared" si="269"/>
        <v>0</v>
      </c>
      <c r="K1788" t="str">
        <f xml:space="preserve"> B1783 &amp; B1788</f>
        <v>Z000164009Z040202006</v>
      </c>
    </row>
    <row r="1789" spans="1:11" outlineLevel="1" x14ac:dyDescent="0.2">
      <c r="A1789" s="29"/>
      <c r="B1789" s="30" t="s">
        <v>903</v>
      </c>
      <c r="C1789" s="30" t="s">
        <v>864</v>
      </c>
      <c r="D1789" s="34" t="s">
        <v>1152</v>
      </c>
      <c r="E1789" s="31">
        <v>357.56</v>
      </c>
      <c r="F1789" s="31">
        <v>3.5</v>
      </c>
      <c r="G1789" s="32">
        <f t="shared" si="277"/>
        <v>1251.46</v>
      </c>
      <c r="H1789" s="33">
        <f t="shared" si="269"/>
        <v>6.4888837937874236E-6</v>
      </c>
      <c r="K1789" t="str">
        <f xml:space="preserve"> B1783 &amp; B1789</f>
        <v>Z000164009Z040308018</v>
      </c>
    </row>
    <row r="1790" spans="1:11" outlineLevel="1" x14ac:dyDescent="0.2">
      <c r="A1790" s="29"/>
      <c r="B1790" s="30" t="s">
        <v>1064</v>
      </c>
      <c r="C1790" s="30" t="s">
        <v>3695</v>
      </c>
      <c r="D1790" s="34" t="s">
        <v>1152</v>
      </c>
      <c r="E1790" s="31">
        <v>357.56</v>
      </c>
      <c r="F1790" s="31">
        <v>90</v>
      </c>
      <c r="G1790" s="32">
        <f t="shared" si="277"/>
        <v>32180.400000000001</v>
      </c>
      <c r="H1790" s="33">
        <f t="shared" si="269"/>
        <v>1.6685701184024804E-4</v>
      </c>
      <c r="K1790" t="str">
        <f xml:space="preserve"> B1783 &amp; B1790</f>
        <v>Z000164009Z040308039</v>
      </c>
    </row>
    <row r="1791" spans="1:11" outlineLevel="1" x14ac:dyDescent="0.2">
      <c r="A1791" s="29"/>
      <c r="B1791" s="30" t="s">
        <v>498</v>
      </c>
      <c r="C1791" s="30" t="s">
        <v>773</v>
      </c>
      <c r="D1791" s="34" t="s">
        <v>84</v>
      </c>
      <c r="E1791" s="31">
        <v>429.072</v>
      </c>
      <c r="F1791" s="31">
        <v>0</v>
      </c>
      <c r="G1791" s="32">
        <f t="shared" si="277"/>
        <v>0</v>
      </c>
      <c r="H1791" s="33">
        <f t="shared" si="269"/>
        <v>0</v>
      </c>
      <c r="K1791" t="str">
        <f xml:space="preserve"> B1783 &amp; B1791</f>
        <v>Z000164009Z040401001</v>
      </c>
    </row>
    <row r="1792" spans="1:11" outlineLevel="1" x14ac:dyDescent="0.2">
      <c r="A1792" s="29"/>
      <c r="B1792" s="30" t="s">
        <v>941</v>
      </c>
      <c r="C1792" s="30" t="s">
        <v>1485</v>
      </c>
      <c r="D1792" s="34" t="s">
        <v>1819</v>
      </c>
      <c r="E1792" s="31">
        <v>411.19399999999996</v>
      </c>
      <c r="F1792" s="31">
        <v>8.4017999999999997</v>
      </c>
      <c r="G1792" s="32">
        <f t="shared" si="277"/>
        <v>3454.7697491999998</v>
      </c>
      <c r="H1792" s="33">
        <f t="shared" si="269"/>
        <v>1.7913156982125615E-5</v>
      </c>
      <c r="K1792" t="str">
        <f xml:space="preserve"> B1783 &amp; B1792</f>
        <v>Z000164009Z060101021</v>
      </c>
    </row>
    <row r="1793" spans="1:11" outlineLevel="1" x14ac:dyDescent="0.2">
      <c r="A1793" s="11" t="s">
        <v>629</v>
      </c>
      <c r="B1793" s="11" t="s">
        <v>4992</v>
      </c>
      <c r="C1793" s="11" t="s">
        <v>4994</v>
      </c>
      <c r="D1793" s="12" t="s">
        <v>1152</v>
      </c>
      <c r="E1793" s="13">
        <v>99.57</v>
      </c>
      <c r="F1793" s="14">
        <v>199.86535000000001</v>
      </c>
      <c r="G1793" s="15">
        <f>SUM(G1794:G1804)</f>
        <v>19900.592899499999</v>
      </c>
      <c r="H1793" s="16">
        <f t="shared" ref="H1793:H1856" si="278">G1793/$F$2</f>
        <v>1.0318558703620301E-4</v>
      </c>
    </row>
    <row r="1794" spans="1:11" outlineLevel="1" x14ac:dyDescent="0.2">
      <c r="A1794" s="29"/>
      <c r="B1794" s="30" t="s">
        <v>903</v>
      </c>
      <c r="C1794" s="30" t="s">
        <v>864</v>
      </c>
      <c r="D1794" s="34" t="s">
        <v>1052</v>
      </c>
      <c r="E1794" s="31">
        <v>99.57</v>
      </c>
      <c r="F1794" s="31">
        <v>3.5</v>
      </c>
      <c r="G1794" s="32">
        <f t="shared" ref="G1794:G1804" si="279">F1794*E1794</f>
        <v>348.495</v>
      </c>
      <c r="H1794" s="33">
        <f t="shared" si="278"/>
        <v>1.8069643118565102E-6</v>
      </c>
      <c r="K1794" t="str">
        <f xml:space="preserve"> B1793 &amp; B1794</f>
        <v>Z000161012Z040308018</v>
      </c>
    </row>
    <row r="1795" spans="1:11" outlineLevel="1" x14ac:dyDescent="0.2">
      <c r="A1795" s="29"/>
      <c r="B1795" s="30" t="s">
        <v>1546</v>
      </c>
      <c r="C1795" s="30" t="s">
        <v>1096</v>
      </c>
      <c r="D1795" s="34" t="s">
        <v>1052</v>
      </c>
      <c r="E1795" s="31">
        <v>124.46249999999999</v>
      </c>
      <c r="F1795" s="31">
        <v>69.066000000000003</v>
      </c>
      <c r="G1795" s="32">
        <f t="shared" si="279"/>
        <v>8596.1270249999998</v>
      </c>
      <c r="H1795" s="33">
        <f t="shared" si="278"/>
        <v>4.4571356129529184E-5</v>
      </c>
      <c r="K1795" t="str">
        <f xml:space="preserve"> B1793 &amp; B1795</f>
        <v>Z000161012Z020302004</v>
      </c>
    </row>
    <row r="1796" spans="1:11" outlineLevel="1" x14ac:dyDescent="0.2">
      <c r="A1796" s="29"/>
      <c r="B1796" s="30" t="s">
        <v>1503</v>
      </c>
      <c r="C1796" s="30" t="s">
        <v>464</v>
      </c>
      <c r="D1796" s="34" t="s">
        <v>1152</v>
      </c>
      <c r="E1796" s="31">
        <v>796.56</v>
      </c>
      <c r="F1796" s="31">
        <v>0.05</v>
      </c>
      <c r="G1796" s="32">
        <f t="shared" si="279"/>
        <v>39.828000000000003</v>
      </c>
      <c r="H1796" s="33">
        <f t="shared" si="278"/>
        <v>2.0651020706931546E-7</v>
      </c>
      <c r="K1796" t="str">
        <f xml:space="preserve"> B1793 &amp; B1796</f>
        <v>Z000161012Z030106001</v>
      </c>
    </row>
    <row r="1797" spans="1:11" outlineLevel="1" x14ac:dyDescent="0.2">
      <c r="A1797" s="29"/>
      <c r="B1797" s="30" t="s">
        <v>853</v>
      </c>
      <c r="C1797" s="30" t="s">
        <v>980</v>
      </c>
      <c r="D1797" s="34" t="s">
        <v>1667</v>
      </c>
      <c r="E1797" s="31">
        <v>909.07410000000004</v>
      </c>
      <c r="F1797" s="31">
        <v>0.9</v>
      </c>
      <c r="G1797" s="32">
        <f t="shared" si="279"/>
        <v>818.16669000000002</v>
      </c>
      <c r="H1797" s="33">
        <f t="shared" si="278"/>
        <v>4.2422359287214126E-6</v>
      </c>
      <c r="K1797" t="str">
        <f xml:space="preserve"> B1793 &amp; B1797</f>
        <v>Z000161012Z020201001</v>
      </c>
    </row>
    <row r="1798" spans="1:11" outlineLevel="1" x14ac:dyDescent="0.2">
      <c r="A1798" s="29"/>
      <c r="B1798" s="30" t="s">
        <v>833</v>
      </c>
      <c r="C1798" s="30" t="s">
        <v>3384</v>
      </c>
      <c r="D1798" s="34" t="s">
        <v>1667</v>
      </c>
      <c r="E1798" s="31">
        <v>99.57</v>
      </c>
      <c r="F1798" s="31">
        <v>90</v>
      </c>
      <c r="G1798" s="32">
        <f t="shared" si="279"/>
        <v>8961.2999999999993</v>
      </c>
      <c r="H1798" s="33">
        <f t="shared" si="278"/>
        <v>4.6464796590595971E-5</v>
      </c>
      <c r="K1798" t="str">
        <f xml:space="preserve"> B1793 &amp; B1798</f>
        <v>Z000161012Z040308004</v>
      </c>
    </row>
    <row r="1799" spans="1:11" outlineLevel="1" x14ac:dyDescent="0.2">
      <c r="A1799" s="29"/>
      <c r="B1799" s="30" t="s">
        <v>801</v>
      </c>
      <c r="C1799" s="30" t="s">
        <v>402</v>
      </c>
      <c r="D1799" s="34" t="s">
        <v>151</v>
      </c>
      <c r="E1799" s="31">
        <v>0</v>
      </c>
      <c r="F1799" s="31">
        <v>10.3</v>
      </c>
      <c r="G1799" s="32">
        <f t="shared" si="279"/>
        <v>0</v>
      </c>
      <c r="H1799" s="33">
        <f t="shared" si="278"/>
        <v>0</v>
      </c>
      <c r="K1799" t="str">
        <f xml:space="preserve"> B1793 &amp; B1799</f>
        <v>Z000161012Z040202006</v>
      </c>
    </row>
    <row r="1800" spans="1:11" outlineLevel="1" x14ac:dyDescent="0.2">
      <c r="A1800" s="29"/>
      <c r="B1800" s="30" t="s">
        <v>1507</v>
      </c>
      <c r="C1800" s="30" t="s">
        <v>1272</v>
      </c>
      <c r="D1800" s="34" t="s">
        <v>151</v>
      </c>
      <c r="E1800" s="31">
        <v>398.28</v>
      </c>
      <c r="F1800" s="31">
        <v>1.6400000000000001E-2</v>
      </c>
      <c r="G1800" s="32">
        <f t="shared" si="279"/>
        <v>6.5317920000000003</v>
      </c>
      <c r="H1800" s="33">
        <f t="shared" si="278"/>
        <v>3.3867673959367735E-8</v>
      </c>
      <c r="K1800" t="str">
        <f xml:space="preserve"> B1793 &amp; B1800</f>
        <v>Z000161012Z030106002</v>
      </c>
    </row>
    <row r="1801" spans="1:11" outlineLevel="1" x14ac:dyDescent="0.2">
      <c r="A1801" s="29"/>
      <c r="B1801" s="30" t="s">
        <v>939</v>
      </c>
      <c r="C1801" s="30" t="s">
        <v>640</v>
      </c>
      <c r="D1801" s="34" t="s">
        <v>1152</v>
      </c>
      <c r="E1801" s="31">
        <v>0</v>
      </c>
      <c r="F1801" s="31">
        <v>21.15</v>
      </c>
      <c r="G1801" s="32">
        <f t="shared" si="279"/>
        <v>0</v>
      </c>
      <c r="H1801" s="33">
        <f t="shared" si="278"/>
        <v>0</v>
      </c>
      <c r="K1801" t="str">
        <f xml:space="preserve"> B1793 &amp; B1801</f>
        <v>Z000161012Z040201003</v>
      </c>
    </row>
    <row r="1802" spans="1:11" outlineLevel="1" x14ac:dyDescent="0.2">
      <c r="A1802" s="29"/>
      <c r="B1802" s="30" t="s">
        <v>498</v>
      </c>
      <c r="C1802" s="30" t="s">
        <v>773</v>
      </c>
      <c r="D1802" s="34" t="s">
        <v>1152</v>
      </c>
      <c r="E1802" s="31">
        <v>119.48399999999998</v>
      </c>
      <c r="F1802" s="31">
        <v>0</v>
      </c>
      <c r="G1802" s="32">
        <f t="shared" si="279"/>
        <v>0</v>
      </c>
      <c r="H1802" s="33">
        <f t="shared" si="278"/>
        <v>0</v>
      </c>
      <c r="K1802" t="str">
        <f xml:space="preserve"> B1793 &amp; B1802</f>
        <v>Z000161012Z040401001</v>
      </c>
    </row>
    <row r="1803" spans="1:11" outlineLevel="1" x14ac:dyDescent="0.2">
      <c r="A1803" s="29"/>
      <c r="B1803" s="30" t="s">
        <v>706</v>
      </c>
      <c r="C1803" s="30" t="s">
        <v>130</v>
      </c>
      <c r="D1803" s="34" t="s">
        <v>84</v>
      </c>
      <c r="E1803" s="31">
        <v>10.554419999999999</v>
      </c>
      <c r="F1803" s="31">
        <v>8</v>
      </c>
      <c r="G1803" s="32">
        <f t="shared" si="279"/>
        <v>84.435359999999989</v>
      </c>
      <c r="H1803" s="33">
        <f t="shared" si="278"/>
        <v>4.3780163898694868E-7</v>
      </c>
      <c r="K1803" t="str">
        <f xml:space="preserve"> B1793 &amp; B1803</f>
        <v>Z000161012Z020202001</v>
      </c>
    </row>
    <row r="1804" spans="1:11" outlineLevel="1" x14ac:dyDescent="0.2">
      <c r="A1804" s="29"/>
      <c r="B1804" s="30" t="s">
        <v>941</v>
      </c>
      <c r="C1804" s="30" t="s">
        <v>1485</v>
      </c>
      <c r="D1804" s="34" t="s">
        <v>1819</v>
      </c>
      <c r="E1804" s="31">
        <v>124.46249999999999</v>
      </c>
      <c r="F1804" s="31">
        <v>8.4017999999999997</v>
      </c>
      <c r="G1804" s="32">
        <f t="shared" si="279"/>
        <v>1045.7090324999999</v>
      </c>
      <c r="H1804" s="33">
        <f t="shared" si="278"/>
        <v>5.422054555484295E-6</v>
      </c>
      <c r="K1804" t="str">
        <f xml:space="preserve"> B1793 &amp; B1804</f>
        <v>Z000161012Z060101021</v>
      </c>
    </row>
    <row r="1805" spans="1:11" outlineLevel="1" x14ac:dyDescent="0.2">
      <c r="A1805" s="11" t="s">
        <v>632</v>
      </c>
      <c r="B1805" s="11" t="s">
        <v>1141</v>
      </c>
      <c r="C1805" s="11" t="s">
        <v>3537</v>
      </c>
      <c r="D1805" s="12" t="s">
        <v>1152</v>
      </c>
      <c r="E1805" s="13">
        <v>644.71</v>
      </c>
      <c r="F1805" s="14">
        <v>177.90785</v>
      </c>
      <c r="G1805" s="15">
        <f>SUM(G1806:G1816)</f>
        <v>114698.9699735</v>
      </c>
      <c r="H1805" s="16">
        <f t="shared" si="278"/>
        <v>5.9471999698364664E-4</v>
      </c>
    </row>
    <row r="1806" spans="1:11" outlineLevel="1" x14ac:dyDescent="0.2">
      <c r="A1806" s="29"/>
      <c r="B1806" s="30" t="s">
        <v>853</v>
      </c>
      <c r="C1806" s="30" t="s">
        <v>980</v>
      </c>
      <c r="D1806" s="34" t="s">
        <v>1052</v>
      </c>
      <c r="E1806" s="31">
        <v>5886.2023000000008</v>
      </c>
      <c r="F1806" s="31">
        <v>0.9</v>
      </c>
      <c r="G1806" s="32">
        <f t="shared" ref="G1806:G1816" si="280">F1806*E1806</f>
        <v>5297.5820700000013</v>
      </c>
      <c r="H1806" s="33">
        <f t="shared" si="278"/>
        <v>2.7468232656482701E-5</v>
      </c>
      <c r="K1806" t="str">
        <f xml:space="preserve"> B1805 &amp; B1806</f>
        <v>Z000161010Z020201001</v>
      </c>
    </row>
    <row r="1807" spans="1:11" outlineLevel="1" x14ac:dyDescent="0.2">
      <c r="A1807" s="29"/>
      <c r="B1807" s="30" t="s">
        <v>706</v>
      </c>
      <c r="C1807" s="30" t="s">
        <v>130</v>
      </c>
      <c r="D1807" s="34" t="s">
        <v>1052</v>
      </c>
      <c r="E1807" s="31">
        <v>68.339259999999996</v>
      </c>
      <c r="F1807" s="31">
        <v>8</v>
      </c>
      <c r="G1807" s="32">
        <f t="shared" si="280"/>
        <v>546.71407999999997</v>
      </c>
      <c r="H1807" s="33">
        <f t="shared" si="278"/>
        <v>2.8347403301323262E-6</v>
      </c>
      <c r="K1807" t="str">
        <f xml:space="preserve"> B1805 &amp; B1807</f>
        <v>Z000161010Z020202001</v>
      </c>
    </row>
    <row r="1808" spans="1:11" outlineLevel="1" x14ac:dyDescent="0.2">
      <c r="A1808" s="29"/>
      <c r="B1808" s="30" t="s">
        <v>1549</v>
      </c>
      <c r="C1808" s="30" t="s">
        <v>486</v>
      </c>
      <c r="D1808" s="34" t="s">
        <v>1152</v>
      </c>
      <c r="E1808" s="31">
        <v>805.88750000000005</v>
      </c>
      <c r="F1808" s="31">
        <v>51.5</v>
      </c>
      <c r="G1808" s="32">
        <f t="shared" si="280"/>
        <v>41503.206250000003</v>
      </c>
      <c r="H1808" s="33">
        <f t="shared" si="278"/>
        <v>2.1519623673616571E-4</v>
      </c>
      <c r="K1808" t="str">
        <f xml:space="preserve"> B1805 &amp; B1808</f>
        <v>Z000161010Z020302005</v>
      </c>
    </row>
    <row r="1809" spans="1:11" outlineLevel="1" x14ac:dyDescent="0.2">
      <c r="A1809" s="29"/>
      <c r="B1809" s="30" t="s">
        <v>1503</v>
      </c>
      <c r="C1809" s="30" t="s">
        <v>464</v>
      </c>
      <c r="D1809" s="34" t="s">
        <v>1667</v>
      </c>
      <c r="E1809" s="31">
        <v>5157.68</v>
      </c>
      <c r="F1809" s="31">
        <v>0.05</v>
      </c>
      <c r="G1809" s="32">
        <f t="shared" si="280"/>
        <v>257.88400000000001</v>
      </c>
      <c r="H1809" s="33">
        <f t="shared" si="278"/>
        <v>1.3371416651567578E-6</v>
      </c>
      <c r="K1809" t="str">
        <f xml:space="preserve"> B1805 &amp; B1809</f>
        <v>Z000161010Z030106001</v>
      </c>
    </row>
    <row r="1810" spans="1:11" outlineLevel="1" x14ac:dyDescent="0.2">
      <c r="A1810" s="29"/>
      <c r="B1810" s="30" t="s">
        <v>1507</v>
      </c>
      <c r="C1810" s="30" t="s">
        <v>1272</v>
      </c>
      <c r="D1810" s="34" t="s">
        <v>1667</v>
      </c>
      <c r="E1810" s="31">
        <v>2578.84</v>
      </c>
      <c r="F1810" s="31">
        <v>1.6400000000000001E-2</v>
      </c>
      <c r="G1810" s="32">
        <f t="shared" si="280"/>
        <v>42.292976000000003</v>
      </c>
      <c r="H1810" s="33">
        <f t="shared" si="278"/>
        <v>2.1929123308570827E-7</v>
      </c>
      <c r="K1810" t="str">
        <f xml:space="preserve"> B1805 &amp; B1810</f>
        <v>Z000161010Z030106002</v>
      </c>
    </row>
    <row r="1811" spans="1:11" outlineLevel="1" x14ac:dyDescent="0.2">
      <c r="A1811" s="29"/>
      <c r="B1811" s="30" t="s">
        <v>939</v>
      </c>
      <c r="C1811" s="30" t="s">
        <v>640</v>
      </c>
      <c r="D1811" s="34" t="s">
        <v>151</v>
      </c>
      <c r="E1811" s="31">
        <v>0</v>
      </c>
      <c r="F1811" s="31">
        <v>21.15</v>
      </c>
      <c r="G1811" s="32">
        <f t="shared" si="280"/>
        <v>0</v>
      </c>
      <c r="H1811" s="33">
        <f t="shared" si="278"/>
        <v>0</v>
      </c>
      <c r="K1811" t="str">
        <f xml:space="preserve"> B1805 &amp; B1811</f>
        <v>Z000161010Z040201003</v>
      </c>
    </row>
    <row r="1812" spans="1:11" outlineLevel="1" x14ac:dyDescent="0.2">
      <c r="A1812" s="29"/>
      <c r="B1812" s="30" t="s">
        <v>801</v>
      </c>
      <c r="C1812" s="30" t="s">
        <v>402</v>
      </c>
      <c r="D1812" s="34" t="s">
        <v>151</v>
      </c>
      <c r="E1812" s="31">
        <v>0</v>
      </c>
      <c r="F1812" s="31">
        <v>10.3</v>
      </c>
      <c r="G1812" s="32">
        <f t="shared" si="280"/>
        <v>0</v>
      </c>
      <c r="H1812" s="33">
        <f t="shared" si="278"/>
        <v>0</v>
      </c>
      <c r="K1812" t="str">
        <f xml:space="preserve"> B1805 &amp; B1812</f>
        <v>Z000161010Z040202006</v>
      </c>
    </row>
    <row r="1813" spans="1:11" outlineLevel="1" x14ac:dyDescent="0.2">
      <c r="A1813" s="29"/>
      <c r="B1813" s="30" t="s">
        <v>833</v>
      </c>
      <c r="C1813" s="30" t="s">
        <v>3384</v>
      </c>
      <c r="D1813" s="34" t="s">
        <v>1152</v>
      </c>
      <c r="E1813" s="31">
        <v>644.71</v>
      </c>
      <c r="F1813" s="31">
        <v>90</v>
      </c>
      <c r="G1813" s="32">
        <f t="shared" si="280"/>
        <v>58023.9</v>
      </c>
      <c r="H1813" s="33">
        <f t="shared" si="278"/>
        <v>3.0085687466027049E-4</v>
      </c>
      <c r="K1813" t="str">
        <f xml:space="preserve"> B1805 &amp; B1813</f>
        <v>Z000161010Z040308004</v>
      </c>
    </row>
    <row r="1814" spans="1:11" outlineLevel="1" x14ac:dyDescent="0.2">
      <c r="A1814" s="29"/>
      <c r="B1814" s="30" t="s">
        <v>903</v>
      </c>
      <c r="C1814" s="30" t="s">
        <v>864</v>
      </c>
      <c r="D1814" s="34" t="s">
        <v>1152</v>
      </c>
      <c r="E1814" s="31">
        <v>644.71</v>
      </c>
      <c r="F1814" s="31">
        <v>3.5</v>
      </c>
      <c r="G1814" s="32">
        <f t="shared" si="280"/>
        <v>2256.4850000000001</v>
      </c>
      <c r="H1814" s="33">
        <f t="shared" si="278"/>
        <v>1.169998957012163E-5</v>
      </c>
      <c r="K1814" t="str">
        <f xml:space="preserve"> B1805 &amp; B1814</f>
        <v>Z000161010Z040308018</v>
      </c>
    </row>
    <row r="1815" spans="1:11" outlineLevel="1" x14ac:dyDescent="0.2">
      <c r="A1815" s="29"/>
      <c r="B1815" s="30" t="s">
        <v>498</v>
      </c>
      <c r="C1815" s="30" t="s">
        <v>773</v>
      </c>
      <c r="D1815" s="34" t="s">
        <v>84</v>
      </c>
      <c r="E1815" s="31">
        <v>773.65200000000004</v>
      </c>
      <c r="F1815" s="31">
        <v>0</v>
      </c>
      <c r="G1815" s="32">
        <f t="shared" si="280"/>
        <v>0</v>
      </c>
      <c r="H1815" s="33">
        <f t="shared" si="278"/>
        <v>0</v>
      </c>
      <c r="K1815" t="str">
        <f xml:space="preserve"> B1805 &amp; B1815</f>
        <v>Z000161010Z040401001</v>
      </c>
    </row>
    <row r="1816" spans="1:11" outlineLevel="1" x14ac:dyDescent="0.2">
      <c r="A1816" s="29"/>
      <c r="B1816" s="30" t="s">
        <v>941</v>
      </c>
      <c r="C1816" s="30" t="s">
        <v>1485</v>
      </c>
      <c r="D1816" s="34" t="s">
        <v>1819</v>
      </c>
      <c r="E1816" s="31">
        <v>805.88750000000005</v>
      </c>
      <c r="F1816" s="31">
        <v>8.4017999999999997</v>
      </c>
      <c r="G1816" s="32">
        <f t="shared" si="280"/>
        <v>6770.9055975000001</v>
      </c>
      <c r="H1816" s="33">
        <f t="shared" si="278"/>
        <v>3.5107490132231392E-5</v>
      </c>
      <c r="K1816" t="str">
        <f xml:space="preserve"> B1805 &amp; B1816</f>
        <v>Z000161010Z060101021</v>
      </c>
    </row>
    <row r="1817" spans="1:11" x14ac:dyDescent="0.2">
      <c r="A1817" s="23" t="s">
        <v>870</v>
      </c>
      <c r="B1817" s="23" t="s">
        <v>328</v>
      </c>
      <c r="C1817" s="23" t="s">
        <v>987</v>
      </c>
      <c r="D1817" s="24"/>
      <c r="E1817" s="25"/>
      <c r="F1817" s="26"/>
      <c r="G1817" s="27">
        <f>SUM(G1818,G1829,G1837,G1848,G1859,G1870)</f>
        <v>8032942.3770399988</v>
      </c>
      <c r="H1817" s="28">
        <f t="shared" si="278"/>
        <v>4.1651215066245084E-2</v>
      </c>
    </row>
    <row r="1818" spans="1:11" outlineLevel="1" x14ac:dyDescent="0.2">
      <c r="A1818" s="11" t="s">
        <v>521</v>
      </c>
      <c r="B1818" s="11" t="s">
        <v>5044</v>
      </c>
      <c r="C1818" s="11" t="s">
        <v>5046</v>
      </c>
      <c r="D1818" s="12" t="s">
        <v>1152</v>
      </c>
      <c r="E1818" s="13">
        <v>90.93</v>
      </c>
      <c r="F1818" s="14">
        <v>1053.8780000000002</v>
      </c>
      <c r="G1818" s="15">
        <f>SUM(G1819:G1828)</f>
        <v>95829.126540000012</v>
      </c>
      <c r="H1818" s="16">
        <f t="shared" si="278"/>
        <v>4.9687889838924968E-4</v>
      </c>
    </row>
    <row r="1819" spans="1:11" outlineLevel="1" x14ac:dyDescent="0.2">
      <c r="A1819" s="29"/>
      <c r="B1819" s="30" t="s">
        <v>853</v>
      </c>
      <c r="C1819" s="30" t="s">
        <v>980</v>
      </c>
      <c r="D1819" s="34" t="s">
        <v>1052</v>
      </c>
      <c r="E1819" s="31">
        <v>783.81659999999999</v>
      </c>
      <c r="F1819" s="31">
        <v>0.9</v>
      </c>
      <c r="G1819" s="32">
        <f t="shared" ref="G1819:G1828" si="281">F1819*E1819</f>
        <v>705.43493999999998</v>
      </c>
      <c r="H1819" s="33">
        <f t="shared" si="278"/>
        <v>3.6577160674231722E-6</v>
      </c>
      <c r="K1819" t="str">
        <f xml:space="preserve"> B1818 &amp; B1819</f>
        <v>Z000163070Z020201001</v>
      </c>
    </row>
    <row r="1820" spans="1:11" outlineLevel="1" x14ac:dyDescent="0.2">
      <c r="A1820" s="29"/>
      <c r="B1820" s="30" t="s">
        <v>706</v>
      </c>
      <c r="C1820" s="30" t="s">
        <v>130</v>
      </c>
      <c r="D1820" s="34" t="s">
        <v>1052</v>
      </c>
      <c r="E1820" s="31">
        <v>12.730200000000002</v>
      </c>
      <c r="F1820" s="31">
        <v>8</v>
      </c>
      <c r="G1820" s="32">
        <f t="shared" si="281"/>
        <v>101.84160000000001</v>
      </c>
      <c r="H1820" s="33">
        <f t="shared" si="278"/>
        <v>5.2805387928769703E-7</v>
      </c>
      <c r="K1820" t="str">
        <f xml:space="preserve"> B1818 &amp; B1820</f>
        <v>Z000163070Z020202001</v>
      </c>
    </row>
    <row r="1821" spans="1:11" outlineLevel="1" x14ac:dyDescent="0.2">
      <c r="A1821" s="29"/>
      <c r="B1821" s="30" t="s">
        <v>5052</v>
      </c>
      <c r="C1821" s="30" t="s">
        <v>5053</v>
      </c>
      <c r="D1821" s="34" t="s">
        <v>1152</v>
      </c>
      <c r="E1821" s="31">
        <v>100.02300000000001</v>
      </c>
      <c r="F1821" s="31">
        <v>800</v>
      </c>
      <c r="G1821" s="32">
        <f t="shared" si="281"/>
        <v>80018.400000000009</v>
      </c>
      <c r="H1821" s="33">
        <f t="shared" si="278"/>
        <v>4.1489947658319054E-4</v>
      </c>
      <c r="K1821" t="str">
        <f xml:space="preserve"> B1818 &amp; B1821</f>
        <v>Z000163070Z020301038</v>
      </c>
    </row>
    <row r="1822" spans="1:11" outlineLevel="1" x14ac:dyDescent="0.2">
      <c r="A1822" s="29"/>
      <c r="B1822" s="30" t="s">
        <v>1006</v>
      </c>
      <c r="C1822" s="30" t="s">
        <v>699</v>
      </c>
      <c r="D1822" s="34" t="s">
        <v>151</v>
      </c>
      <c r="E1822" s="31">
        <v>0</v>
      </c>
      <c r="F1822" s="31">
        <v>28.988</v>
      </c>
      <c r="G1822" s="32">
        <f t="shared" si="281"/>
        <v>0</v>
      </c>
      <c r="H1822" s="33">
        <f t="shared" si="278"/>
        <v>0</v>
      </c>
      <c r="K1822" t="str">
        <f xml:space="preserve"> B1818 &amp; B1822</f>
        <v>Z000163070Z040201011</v>
      </c>
    </row>
    <row r="1823" spans="1:11" outlineLevel="1" x14ac:dyDescent="0.2">
      <c r="A1823" s="29"/>
      <c r="B1823" s="30" t="s">
        <v>801</v>
      </c>
      <c r="C1823" s="30" t="s">
        <v>402</v>
      </c>
      <c r="D1823" s="34" t="s">
        <v>151</v>
      </c>
      <c r="E1823" s="31">
        <v>0</v>
      </c>
      <c r="F1823" s="31">
        <v>10.3</v>
      </c>
      <c r="G1823" s="32">
        <f t="shared" si="281"/>
        <v>0</v>
      </c>
      <c r="H1823" s="33">
        <f t="shared" si="278"/>
        <v>0</v>
      </c>
      <c r="K1823" t="str">
        <f xml:space="preserve"> B1818 &amp; B1823</f>
        <v>Z000163070Z040202006</v>
      </c>
    </row>
    <row r="1824" spans="1:11" outlineLevel="1" x14ac:dyDescent="0.2">
      <c r="A1824" s="29"/>
      <c r="B1824" s="30" t="s">
        <v>824</v>
      </c>
      <c r="C1824" s="30" t="s">
        <v>3418</v>
      </c>
      <c r="D1824" s="34" t="s">
        <v>1152</v>
      </c>
      <c r="E1824" s="31">
        <v>100.02300000000001</v>
      </c>
      <c r="F1824" s="31">
        <v>25</v>
      </c>
      <c r="G1824" s="32">
        <f t="shared" si="281"/>
        <v>2500.5750000000003</v>
      </c>
      <c r="H1824" s="33">
        <f t="shared" si="278"/>
        <v>1.2965608643224704E-5</v>
      </c>
      <c r="K1824" t="str">
        <f xml:space="preserve"> B1818 &amp; B1824</f>
        <v>Z000163070Z040308001</v>
      </c>
    </row>
    <row r="1825" spans="1:11" outlineLevel="1" x14ac:dyDescent="0.2">
      <c r="A1825" s="29"/>
      <c r="B1825" s="30" t="s">
        <v>838</v>
      </c>
      <c r="C1825" s="30" t="s">
        <v>3419</v>
      </c>
      <c r="D1825" s="34" t="s">
        <v>1152</v>
      </c>
      <c r="E1825" s="31">
        <v>90.93</v>
      </c>
      <c r="F1825" s="31">
        <v>90</v>
      </c>
      <c r="G1825" s="32">
        <f t="shared" si="281"/>
        <v>8183.7000000000007</v>
      </c>
      <c r="H1825" s="33">
        <f t="shared" si="278"/>
        <v>4.2432901014189937E-5</v>
      </c>
      <c r="K1825" t="str">
        <f xml:space="preserve"> B1818 &amp; B1825</f>
        <v>Z000163070Z040308006</v>
      </c>
    </row>
    <row r="1826" spans="1:11" outlineLevel="1" x14ac:dyDescent="0.2">
      <c r="A1826" s="29"/>
      <c r="B1826" s="30" t="s">
        <v>903</v>
      </c>
      <c r="C1826" s="30" t="s">
        <v>864</v>
      </c>
      <c r="D1826" s="34" t="s">
        <v>1152</v>
      </c>
      <c r="E1826" s="31">
        <v>90.93</v>
      </c>
      <c r="F1826" s="31">
        <v>3.5</v>
      </c>
      <c r="G1826" s="32">
        <f t="shared" si="281"/>
        <v>318.255</v>
      </c>
      <c r="H1826" s="33">
        <f t="shared" si="278"/>
        <v>1.6501683727740529E-6</v>
      </c>
      <c r="K1826" t="str">
        <f xml:space="preserve"> B1818 &amp; B1826</f>
        <v>Z000163070Z040308018</v>
      </c>
    </row>
    <row r="1827" spans="1:11" outlineLevel="1" x14ac:dyDescent="0.2">
      <c r="A1827" s="29"/>
      <c r="B1827" s="30" t="s">
        <v>498</v>
      </c>
      <c r="C1827" s="30" t="s">
        <v>773</v>
      </c>
      <c r="D1827" s="34" t="s">
        <v>84</v>
      </c>
      <c r="E1827" s="31">
        <v>109.116</v>
      </c>
      <c r="F1827" s="31">
        <v>0</v>
      </c>
      <c r="G1827" s="32">
        <f t="shared" si="281"/>
        <v>0</v>
      </c>
      <c r="H1827" s="33">
        <f t="shared" si="278"/>
        <v>0</v>
      </c>
      <c r="K1827" t="str">
        <f xml:space="preserve"> B1818 &amp; B1827</f>
        <v>Z000163070Z040401001</v>
      </c>
    </row>
    <row r="1828" spans="1:11" outlineLevel="1" x14ac:dyDescent="0.2">
      <c r="A1828" s="29"/>
      <c r="B1828" s="30" t="s">
        <v>946</v>
      </c>
      <c r="C1828" s="30" t="s">
        <v>1695</v>
      </c>
      <c r="D1828" s="34" t="s">
        <v>1819</v>
      </c>
      <c r="E1828" s="31">
        <v>100.02300000000001</v>
      </c>
      <c r="F1828" s="31">
        <v>40</v>
      </c>
      <c r="G1828" s="32">
        <f t="shared" si="281"/>
        <v>4000.9200000000005</v>
      </c>
      <c r="H1828" s="33">
        <f t="shared" si="278"/>
        <v>2.0744973829159527E-5</v>
      </c>
      <c r="K1828" t="str">
        <f xml:space="preserve"> B1818 &amp; B1828</f>
        <v>Z000163070Z060101023</v>
      </c>
    </row>
    <row r="1829" spans="1:11" outlineLevel="1" x14ac:dyDescent="0.2">
      <c r="A1829" s="11" t="s">
        <v>524</v>
      </c>
      <c r="B1829" s="11" t="s">
        <v>1015</v>
      </c>
      <c r="C1829" s="11" t="s">
        <v>3611</v>
      </c>
      <c r="D1829" s="12" t="s">
        <v>1152</v>
      </c>
      <c r="E1829" s="13">
        <v>7486.53</v>
      </c>
      <c r="F1829" s="14">
        <v>543.41700000000003</v>
      </c>
      <c r="G1829" s="15">
        <f>SUM(G1830:G1836)</f>
        <v>4068307.67301</v>
      </c>
      <c r="H1829" s="16">
        <f t="shared" si="278"/>
        <v>2.1094382343451339E-2</v>
      </c>
    </row>
    <row r="1830" spans="1:11" outlineLevel="1" x14ac:dyDescent="0.2">
      <c r="A1830" s="29"/>
      <c r="B1830" s="30" t="s">
        <v>857</v>
      </c>
      <c r="C1830" s="30" t="s">
        <v>601</v>
      </c>
      <c r="D1830" s="34" t="s">
        <v>1052</v>
      </c>
      <c r="E1830" s="31">
        <v>68352.01890000001</v>
      </c>
      <c r="F1830" s="31">
        <v>0.9</v>
      </c>
      <c r="G1830" s="32">
        <f t="shared" ref="G1830:G1836" si="282">F1830*E1830</f>
        <v>61516.817010000013</v>
      </c>
      <c r="H1830" s="33">
        <f t="shared" si="278"/>
        <v>3.1896782713117125E-4</v>
      </c>
      <c r="K1830" t="str">
        <f xml:space="preserve"> B1829 &amp; B1830</f>
        <v>Z000163030Z020201002</v>
      </c>
    </row>
    <row r="1831" spans="1:11" outlineLevel="1" x14ac:dyDescent="0.2">
      <c r="A1831" s="29"/>
      <c r="B1831" s="30" t="s">
        <v>1829</v>
      </c>
      <c r="C1831" s="30" t="s">
        <v>88</v>
      </c>
      <c r="D1831" s="34" t="s">
        <v>1152</v>
      </c>
      <c r="E1831" s="31">
        <v>8235.1830000000009</v>
      </c>
      <c r="F1831" s="31">
        <v>192</v>
      </c>
      <c r="G1831" s="32">
        <f t="shared" si="282"/>
        <v>1581155.1360000002</v>
      </c>
      <c r="H1831" s="33">
        <f t="shared" si="278"/>
        <v>8.1983698539738782E-3</v>
      </c>
      <c r="K1831" t="str">
        <f xml:space="preserve"> B1829 &amp; B1831</f>
        <v>Z000163030Z020301022</v>
      </c>
    </row>
    <row r="1832" spans="1:11" outlineLevel="1" x14ac:dyDescent="0.2">
      <c r="A1832" s="29"/>
      <c r="B1832" s="30" t="s">
        <v>1006</v>
      </c>
      <c r="C1832" s="30" t="s">
        <v>699</v>
      </c>
      <c r="D1832" s="34" t="s">
        <v>151</v>
      </c>
      <c r="E1832" s="31">
        <v>0</v>
      </c>
      <c r="F1832" s="31">
        <v>28.988</v>
      </c>
      <c r="G1832" s="32">
        <f t="shared" si="282"/>
        <v>0</v>
      </c>
      <c r="H1832" s="33">
        <f t="shared" si="278"/>
        <v>0</v>
      </c>
      <c r="K1832" t="str">
        <f xml:space="preserve"> B1829 &amp; B1832</f>
        <v>Z000163030Z040201011</v>
      </c>
    </row>
    <row r="1833" spans="1:11" outlineLevel="1" x14ac:dyDescent="0.2">
      <c r="A1833" s="29"/>
      <c r="B1833" s="30" t="s">
        <v>801</v>
      </c>
      <c r="C1833" s="30" t="s">
        <v>402</v>
      </c>
      <c r="D1833" s="34" t="s">
        <v>151</v>
      </c>
      <c r="E1833" s="31">
        <v>0</v>
      </c>
      <c r="F1833" s="31">
        <v>10.3</v>
      </c>
      <c r="G1833" s="32">
        <f t="shared" si="282"/>
        <v>0</v>
      </c>
      <c r="H1833" s="33">
        <f t="shared" si="278"/>
        <v>0</v>
      </c>
      <c r="K1833" t="str">
        <f xml:space="preserve"> B1829 &amp; B1833</f>
        <v>Z000163030Z040202006</v>
      </c>
    </row>
    <row r="1834" spans="1:11" outlineLevel="1" x14ac:dyDescent="0.2">
      <c r="A1834" s="29"/>
      <c r="B1834" s="30" t="s">
        <v>908</v>
      </c>
      <c r="C1834" s="30" t="s">
        <v>3615</v>
      </c>
      <c r="D1834" s="34" t="s">
        <v>1152</v>
      </c>
      <c r="E1834" s="31">
        <v>7486.53</v>
      </c>
      <c r="F1834" s="31">
        <v>280</v>
      </c>
      <c r="G1834" s="32">
        <f t="shared" si="282"/>
        <v>2096228.4</v>
      </c>
      <c r="H1834" s="33">
        <f t="shared" si="278"/>
        <v>1.0869050942768398E-2</v>
      </c>
      <c r="K1834" t="str">
        <f xml:space="preserve"> B1829 &amp; B1834</f>
        <v>Z000163030Z040308019</v>
      </c>
    </row>
    <row r="1835" spans="1:11" outlineLevel="1" x14ac:dyDescent="0.2">
      <c r="A1835" s="29"/>
      <c r="B1835" s="30" t="s">
        <v>498</v>
      </c>
      <c r="C1835" s="30" t="s">
        <v>773</v>
      </c>
      <c r="D1835" s="34" t="s">
        <v>84</v>
      </c>
      <c r="E1835" s="31">
        <v>8983.8359999999993</v>
      </c>
      <c r="F1835" s="31">
        <v>0</v>
      </c>
      <c r="G1835" s="32">
        <f t="shared" si="282"/>
        <v>0</v>
      </c>
      <c r="H1835" s="33">
        <f t="shared" si="278"/>
        <v>0</v>
      </c>
      <c r="K1835" t="str">
        <f xml:space="preserve"> B1829 &amp; B1835</f>
        <v>Z000163030Z040401001</v>
      </c>
    </row>
    <row r="1836" spans="1:11" outlineLevel="1" x14ac:dyDescent="0.2">
      <c r="A1836" s="29"/>
      <c r="B1836" s="30" t="s">
        <v>946</v>
      </c>
      <c r="C1836" s="30" t="s">
        <v>1695</v>
      </c>
      <c r="D1836" s="34" t="s">
        <v>1819</v>
      </c>
      <c r="E1836" s="31">
        <v>8235.1830000000009</v>
      </c>
      <c r="F1836" s="31">
        <v>40</v>
      </c>
      <c r="G1836" s="32">
        <f t="shared" si="282"/>
        <v>329407.32000000007</v>
      </c>
      <c r="H1836" s="33">
        <f t="shared" si="278"/>
        <v>1.7079937195778915E-3</v>
      </c>
      <c r="K1836" t="str">
        <f xml:space="preserve"> B1829 &amp; B1836</f>
        <v>Z000163030Z060101023</v>
      </c>
    </row>
    <row r="1837" spans="1:11" outlineLevel="1" x14ac:dyDescent="0.2">
      <c r="A1837" s="11" t="s">
        <v>527</v>
      </c>
      <c r="B1837" s="11" t="s">
        <v>868</v>
      </c>
      <c r="C1837" s="11" t="s">
        <v>3600</v>
      </c>
      <c r="D1837" s="12" t="s">
        <v>1152</v>
      </c>
      <c r="E1837" s="13">
        <v>271.85000000000002</v>
      </c>
      <c r="F1837" s="14">
        <v>581.33699999999999</v>
      </c>
      <c r="G1837" s="15">
        <f>SUM(G1838:G1847)</f>
        <v>158036.46345000001</v>
      </c>
      <c r="H1837" s="16">
        <f t="shared" si="278"/>
        <v>8.1942710634633437E-4</v>
      </c>
    </row>
    <row r="1838" spans="1:11" outlineLevel="1" x14ac:dyDescent="0.2">
      <c r="A1838" s="29"/>
      <c r="B1838" s="30" t="s">
        <v>853</v>
      </c>
      <c r="C1838" s="30" t="s">
        <v>980</v>
      </c>
      <c r="D1838" s="34" t="s">
        <v>1052</v>
      </c>
      <c r="E1838" s="31">
        <v>2481.9905000000003</v>
      </c>
      <c r="F1838" s="31">
        <v>0.9</v>
      </c>
      <c r="G1838" s="32">
        <f t="shared" ref="G1838:G1847" si="283">F1838*E1838</f>
        <v>2233.7914500000002</v>
      </c>
      <c r="H1838" s="33">
        <f t="shared" si="278"/>
        <v>1.1582322358370153E-5</v>
      </c>
      <c r="K1838" t="str">
        <f xml:space="preserve"> B1837 &amp; B1838</f>
        <v>Z000163018Z020201001</v>
      </c>
    </row>
    <row r="1839" spans="1:11" outlineLevel="1" x14ac:dyDescent="0.2">
      <c r="A1839" s="29"/>
      <c r="B1839" s="30" t="s">
        <v>706</v>
      </c>
      <c r="C1839" s="30" t="s">
        <v>130</v>
      </c>
      <c r="D1839" s="34" t="s">
        <v>1052</v>
      </c>
      <c r="E1839" s="31">
        <v>38.059000000000005</v>
      </c>
      <c r="F1839" s="31">
        <v>8</v>
      </c>
      <c r="G1839" s="32">
        <f t="shared" si="283"/>
        <v>304.47200000000004</v>
      </c>
      <c r="H1839" s="33">
        <f t="shared" si="278"/>
        <v>1.5787028162802204E-6</v>
      </c>
      <c r="K1839" t="str">
        <f xml:space="preserve"> B1837 &amp; B1839</f>
        <v>Z000163018Z020202001</v>
      </c>
    </row>
    <row r="1840" spans="1:11" outlineLevel="1" x14ac:dyDescent="0.2">
      <c r="A1840" s="29"/>
      <c r="B1840" s="30" t="s">
        <v>1694</v>
      </c>
      <c r="C1840" s="30" t="s">
        <v>1216</v>
      </c>
      <c r="D1840" s="34" t="s">
        <v>1152</v>
      </c>
      <c r="E1840" s="31">
        <v>299.03500000000003</v>
      </c>
      <c r="F1840" s="31">
        <v>370</v>
      </c>
      <c r="G1840" s="32">
        <f t="shared" si="283"/>
        <v>110642.95000000001</v>
      </c>
      <c r="H1840" s="33">
        <f t="shared" si="278"/>
        <v>5.7368932698754441E-4</v>
      </c>
      <c r="K1840" t="str">
        <f xml:space="preserve"> B1837 &amp; B1840</f>
        <v>Z000163018Z020301001</v>
      </c>
    </row>
    <row r="1841" spans="1:11" outlineLevel="1" x14ac:dyDescent="0.2">
      <c r="A1841" s="29"/>
      <c r="B1841" s="30" t="s">
        <v>1006</v>
      </c>
      <c r="C1841" s="30" t="s">
        <v>699</v>
      </c>
      <c r="D1841" s="34" t="s">
        <v>151</v>
      </c>
      <c r="E1841" s="31">
        <v>0</v>
      </c>
      <c r="F1841" s="31">
        <v>28.988</v>
      </c>
      <c r="G1841" s="32">
        <f t="shared" si="283"/>
        <v>0</v>
      </c>
      <c r="H1841" s="33">
        <f t="shared" si="278"/>
        <v>0</v>
      </c>
      <c r="K1841" t="str">
        <f xml:space="preserve"> B1837 &amp; B1841</f>
        <v>Z000163018Z040201011</v>
      </c>
    </row>
    <row r="1842" spans="1:11" outlineLevel="1" x14ac:dyDescent="0.2">
      <c r="A1842" s="29"/>
      <c r="B1842" s="30" t="s">
        <v>801</v>
      </c>
      <c r="C1842" s="30" t="s">
        <v>402</v>
      </c>
      <c r="D1842" s="34" t="s">
        <v>151</v>
      </c>
      <c r="E1842" s="31">
        <v>0</v>
      </c>
      <c r="F1842" s="31">
        <v>10.3</v>
      </c>
      <c r="G1842" s="32">
        <f t="shared" si="283"/>
        <v>0</v>
      </c>
      <c r="H1842" s="33">
        <f t="shared" si="278"/>
        <v>0</v>
      </c>
      <c r="K1842" t="str">
        <f xml:space="preserve"> B1837 &amp; B1842</f>
        <v>Z000163018Z040202006</v>
      </c>
    </row>
    <row r="1843" spans="1:11" outlineLevel="1" x14ac:dyDescent="0.2">
      <c r="A1843" s="29"/>
      <c r="B1843" s="30" t="s">
        <v>824</v>
      </c>
      <c r="C1843" s="30" t="s">
        <v>3418</v>
      </c>
      <c r="D1843" s="34" t="s">
        <v>1152</v>
      </c>
      <c r="E1843" s="31">
        <v>299.03500000000003</v>
      </c>
      <c r="F1843" s="31">
        <v>25</v>
      </c>
      <c r="G1843" s="32">
        <f t="shared" si="283"/>
        <v>7475.8750000000009</v>
      </c>
      <c r="H1843" s="33">
        <f t="shared" si="278"/>
        <v>3.876279236402327E-5</v>
      </c>
      <c r="K1843" t="str">
        <f xml:space="preserve"> B1837 &amp; B1843</f>
        <v>Z000163018Z040308001</v>
      </c>
    </row>
    <row r="1844" spans="1:11" outlineLevel="1" x14ac:dyDescent="0.2">
      <c r="A1844" s="29"/>
      <c r="B1844" s="30" t="s">
        <v>838</v>
      </c>
      <c r="C1844" s="30" t="s">
        <v>3419</v>
      </c>
      <c r="D1844" s="34" t="s">
        <v>1152</v>
      </c>
      <c r="E1844" s="31">
        <v>271.85000000000002</v>
      </c>
      <c r="F1844" s="31">
        <v>90</v>
      </c>
      <c r="G1844" s="32">
        <f t="shared" si="283"/>
        <v>24466.500000000004</v>
      </c>
      <c r="H1844" s="33">
        <f t="shared" si="278"/>
        <v>1.2686004773680343E-4</v>
      </c>
      <c r="K1844" t="str">
        <f xml:space="preserve"> B1837 &amp; B1844</f>
        <v>Z000163018Z040308006</v>
      </c>
    </row>
    <row r="1845" spans="1:11" outlineLevel="1" x14ac:dyDescent="0.2">
      <c r="A1845" s="29"/>
      <c r="B1845" s="30" t="s">
        <v>903</v>
      </c>
      <c r="C1845" s="30" t="s">
        <v>864</v>
      </c>
      <c r="D1845" s="34" t="s">
        <v>1152</v>
      </c>
      <c r="E1845" s="31">
        <v>271.85000000000002</v>
      </c>
      <c r="F1845" s="31">
        <v>3.5</v>
      </c>
      <c r="G1845" s="32">
        <f t="shared" si="283"/>
        <v>951.47500000000014</v>
      </c>
      <c r="H1845" s="33">
        <f t="shared" si="278"/>
        <v>4.9334463008756888E-6</v>
      </c>
      <c r="K1845" t="str">
        <f xml:space="preserve"> B1837 &amp; B1845</f>
        <v>Z000163018Z040308018</v>
      </c>
    </row>
    <row r="1846" spans="1:11" outlineLevel="1" x14ac:dyDescent="0.2">
      <c r="A1846" s="29"/>
      <c r="B1846" s="30" t="s">
        <v>498</v>
      </c>
      <c r="C1846" s="30" t="s">
        <v>773</v>
      </c>
      <c r="D1846" s="34" t="s">
        <v>84</v>
      </c>
      <c r="E1846" s="31">
        <v>326.22000000000003</v>
      </c>
      <c r="F1846" s="31">
        <v>0</v>
      </c>
      <c r="G1846" s="32">
        <f t="shared" si="283"/>
        <v>0</v>
      </c>
      <c r="H1846" s="33">
        <f t="shared" si="278"/>
        <v>0</v>
      </c>
      <c r="K1846" t="str">
        <f xml:space="preserve"> B1837 &amp; B1846</f>
        <v>Z000163018Z040401001</v>
      </c>
    </row>
    <row r="1847" spans="1:11" outlineLevel="1" x14ac:dyDescent="0.2">
      <c r="A1847" s="29"/>
      <c r="B1847" s="30" t="s">
        <v>946</v>
      </c>
      <c r="C1847" s="30" t="s">
        <v>1695</v>
      </c>
      <c r="D1847" s="34" t="s">
        <v>1819</v>
      </c>
      <c r="E1847" s="31">
        <v>299.03500000000003</v>
      </c>
      <c r="F1847" s="31">
        <v>40</v>
      </c>
      <c r="G1847" s="32">
        <f t="shared" si="283"/>
        <v>11961.400000000001</v>
      </c>
      <c r="H1847" s="33">
        <f t="shared" si="278"/>
        <v>6.2020467782437235E-5</v>
      </c>
      <c r="K1847" t="str">
        <f xml:space="preserve"> B1837 &amp; B1847</f>
        <v>Z000163018Z060101023</v>
      </c>
    </row>
    <row r="1848" spans="1:11" outlineLevel="1" x14ac:dyDescent="0.2">
      <c r="A1848" s="11" t="s">
        <v>528</v>
      </c>
      <c r="B1848" s="11" t="s">
        <v>5005</v>
      </c>
      <c r="C1848" s="11" t="s">
        <v>5007</v>
      </c>
      <c r="D1848" s="12" t="s">
        <v>1152</v>
      </c>
      <c r="E1848" s="13">
        <v>1266.68</v>
      </c>
      <c r="F1848" s="14">
        <v>922.33699999999976</v>
      </c>
      <c r="G1848" s="15">
        <f>SUM(G1849:G1858)</f>
        <v>1168305.8311599998</v>
      </c>
      <c r="H1848" s="16">
        <f t="shared" si="278"/>
        <v>6.0577251961720464E-3</v>
      </c>
    </row>
    <row r="1849" spans="1:11" outlineLevel="1" x14ac:dyDescent="0.2">
      <c r="A1849" s="29"/>
      <c r="B1849" s="30" t="s">
        <v>853</v>
      </c>
      <c r="C1849" s="30" t="s">
        <v>980</v>
      </c>
      <c r="D1849" s="34" t="s">
        <v>1052</v>
      </c>
      <c r="E1849" s="31">
        <v>11564.788400000001</v>
      </c>
      <c r="F1849" s="31">
        <v>0.9</v>
      </c>
      <c r="G1849" s="32">
        <f t="shared" ref="G1849:G1858" si="284">F1849*E1849</f>
        <v>10408.309560000002</v>
      </c>
      <c r="H1849" s="33">
        <f t="shared" si="278"/>
        <v>5.3967614805592443E-5</v>
      </c>
      <c r="K1849" t="str">
        <f xml:space="preserve"> B1848 &amp; B1849</f>
        <v>Z000163028Z020201001</v>
      </c>
    </row>
    <row r="1850" spans="1:11" outlineLevel="1" x14ac:dyDescent="0.2">
      <c r="A1850" s="29"/>
      <c r="B1850" s="30" t="s">
        <v>706</v>
      </c>
      <c r="C1850" s="30" t="s">
        <v>130</v>
      </c>
      <c r="D1850" s="34" t="s">
        <v>1052</v>
      </c>
      <c r="E1850" s="31">
        <v>177.33520000000001</v>
      </c>
      <c r="F1850" s="31">
        <v>8</v>
      </c>
      <c r="G1850" s="32">
        <f t="shared" si="284"/>
        <v>1418.6816000000001</v>
      </c>
      <c r="H1850" s="33">
        <f t="shared" si="278"/>
        <v>7.3559363006283961E-6</v>
      </c>
      <c r="K1850" t="str">
        <f xml:space="preserve"> B1848 &amp; B1850</f>
        <v>Z000163028Z020202001</v>
      </c>
    </row>
    <row r="1851" spans="1:11" outlineLevel="1" x14ac:dyDescent="0.2">
      <c r="A1851" s="29"/>
      <c r="B1851" s="30" t="s">
        <v>1706</v>
      </c>
      <c r="C1851" s="30" t="s">
        <v>1502</v>
      </c>
      <c r="D1851" s="34" t="s">
        <v>1152</v>
      </c>
      <c r="E1851" s="31">
        <v>1393.3480000000002</v>
      </c>
      <c r="F1851" s="31">
        <v>680</v>
      </c>
      <c r="G1851" s="32">
        <f t="shared" si="284"/>
        <v>947476.64000000013</v>
      </c>
      <c r="H1851" s="33">
        <f t="shared" si="278"/>
        <v>4.9127146007768218E-3</v>
      </c>
      <c r="K1851" t="str">
        <f xml:space="preserve"> B1848 &amp; B1851</f>
        <v>Z000163028Z020301007</v>
      </c>
    </row>
    <row r="1852" spans="1:11" outlineLevel="1" x14ac:dyDescent="0.2">
      <c r="A1852" s="29"/>
      <c r="B1852" s="30" t="s">
        <v>1006</v>
      </c>
      <c r="C1852" s="30" t="s">
        <v>699</v>
      </c>
      <c r="D1852" s="34" t="s">
        <v>151</v>
      </c>
      <c r="E1852" s="31">
        <v>0</v>
      </c>
      <c r="F1852" s="31">
        <v>28.988</v>
      </c>
      <c r="G1852" s="32">
        <f t="shared" si="284"/>
        <v>0</v>
      </c>
      <c r="H1852" s="33">
        <f t="shared" si="278"/>
        <v>0</v>
      </c>
      <c r="K1852" t="str">
        <f xml:space="preserve"> B1848 &amp; B1852</f>
        <v>Z000163028Z040201011</v>
      </c>
    </row>
    <row r="1853" spans="1:11" outlineLevel="1" x14ac:dyDescent="0.2">
      <c r="A1853" s="29"/>
      <c r="B1853" s="30" t="s">
        <v>801</v>
      </c>
      <c r="C1853" s="30" t="s">
        <v>402</v>
      </c>
      <c r="D1853" s="34" t="s">
        <v>151</v>
      </c>
      <c r="E1853" s="31">
        <v>0</v>
      </c>
      <c r="F1853" s="31">
        <v>10.3</v>
      </c>
      <c r="G1853" s="32">
        <f t="shared" si="284"/>
        <v>0</v>
      </c>
      <c r="H1853" s="33">
        <f t="shared" si="278"/>
        <v>0</v>
      </c>
      <c r="K1853" t="str">
        <f xml:space="preserve"> B1848 &amp; B1853</f>
        <v>Z000163028Z040202006</v>
      </c>
    </row>
    <row r="1854" spans="1:11" outlineLevel="1" x14ac:dyDescent="0.2">
      <c r="A1854" s="29"/>
      <c r="B1854" s="30" t="s">
        <v>824</v>
      </c>
      <c r="C1854" s="30" t="s">
        <v>3418</v>
      </c>
      <c r="D1854" s="34" t="s">
        <v>1152</v>
      </c>
      <c r="E1854" s="31">
        <v>1393.3480000000002</v>
      </c>
      <c r="F1854" s="31">
        <v>25</v>
      </c>
      <c r="G1854" s="32">
        <f t="shared" si="284"/>
        <v>34833.700000000004</v>
      </c>
      <c r="H1854" s="33">
        <f t="shared" si="278"/>
        <v>1.806145073815008E-4</v>
      </c>
      <c r="K1854" t="str">
        <f xml:space="preserve"> B1848 &amp; B1854</f>
        <v>Z000163028Z040308001</v>
      </c>
    </row>
    <row r="1855" spans="1:11" outlineLevel="1" x14ac:dyDescent="0.2">
      <c r="A1855" s="29"/>
      <c r="B1855" s="30" t="s">
        <v>838</v>
      </c>
      <c r="C1855" s="30" t="s">
        <v>3419</v>
      </c>
      <c r="D1855" s="34" t="s">
        <v>1152</v>
      </c>
      <c r="E1855" s="31">
        <v>1266.68</v>
      </c>
      <c r="F1855" s="31">
        <v>90</v>
      </c>
      <c r="G1855" s="32">
        <f t="shared" si="284"/>
        <v>114001.20000000001</v>
      </c>
      <c r="H1855" s="33">
        <f t="shared" si="278"/>
        <v>5.9110202415763903E-4</v>
      </c>
      <c r="K1855" t="str">
        <f xml:space="preserve"> B1848 &amp; B1855</f>
        <v>Z000163028Z040308006</v>
      </c>
    </row>
    <row r="1856" spans="1:11" outlineLevel="1" x14ac:dyDescent="0.2">
      <c r="A1856" s="29"/>
      <c r="B1856" s="30" t="s">
        <v>903</v>
      </c>
      <c r="C1856" s="30" t="s">
        <v>864</v>
      </c>
      <c r="D1856" s="34" t="s">
        <v>1152</v>
      </c>
      <c r="E1856" s="31">
        <v>1266.68</v>
      </c>
      <c r="F1856" s="31">
        <v>3.5</v>
      </c>
      <c r="G1856" s="32">
        <f t="shared" si="284"/>
        <v>4433.38</v>
      </c>
      <c r="H1856" s="33">
        <f t="shared" si="278"/>
        <v>2.2987300939463736E-5</v>
      </c>
      <c r="K1856" t="str">
        <f xml:space="preserve"> B1848 &amp; B1856</f>
        <v>Z000163028Z040308018</v>
      </c>
    </row>
    <row r="1857" spans="1:11" outlineLevel="1" x14ac:dyDescent="0.2">
      <c r="A1857" s="29"/>
      <c r="B1857" s="30" t="s">
        <v>498</v>
      </c>
      <c r="C1857" s="30" t="s">
        <v>773</v>
      </c>
      <c r="D1857" s="34" t="s">
        <v>84</v>
      </c>
      <c r="E1857" s="31">
        <v>1520.0160000000001</v>
      </c>
      <c r="F1857" s="31">
        <v>0</v>
      </c>
      <c r="G1857" s="32">
        <f t="shared" si="284"/>
        <v>0</v>
      </c>
      <c r="H1857" s="33">
        <f t="shared" ref="H1857:H1922" si="285">G1857/$F$2</f>
        <v>0</v>
      </c>
      <c r="K1857" t="str">
        <f xml:space="preserve"> B1848 &amp; B1857</f>
        <v>Z000163028Z040401001</v>
      </c>
    </row>
    <row r="1858" spans="1:11" outlineLevel="1" x14ac:dyDescent="0.2">
      <c r="A1858" s="29"/>
      <c r="B1858" s="30" t="s">
        <v>946</v>
      </c>
      <c r="C1858" s="30" t="s">
        <v>1695</v>
      </c>
      <c r="D1858" s="34" t="s">
        <v>1819</v>
      </c>
      <c r="E1858" s="31">
        <v>1393.3480000000002</v>
      </c>
      <c r="F1858" s="31">
        <v>40</v>
      </c>
      <c r="G1858" s="32">
        <f t="shared" si="284"/>
        <v>55733.920000000006</v>
      </c>
      <c r="H1858" s="33">
        <f t="shared" si="285"/>
        <v>2.8898321181040128E-4</v>
      </c>
      <c r="K1858" t="str">
        <f xml:space="preserve"> B1848 &amp; B1858</f>
        <v>Z000163028Z060101023</v>
      </c>
    </row>
    <row r="1859" spans="1:11" outlineLevel="1" x14ac:dyDescent="0.2">
      <c r="A1859" s="11" t="s">
        <v>532</v>
      </c>
      <c r="B1859" s="11" t="s">
        <v>5072</v>
      </c>
      <c r="C1859" s="11" t="s">
        <v>5074</v>
      </c>
      <c r="D1859" s="12" t="s">
        <v>1152</v>
      </c>
      <c r="E1859" s="13">
        <v>30</v>
      </c>
      <c r="F1859" s="14">
        <v>1317.8779999999999</v>
      </c>
      <c r="G1859" s="15">
        <f>SUM(G1860:G1869)</f>
        <v>39536.339999999997</v>
      </c>
      <c r="H1859" s="16">
        <f t="shared" si="285"/>
        <v>2.0499793512510943E-4</v>
      </c>
    </row>
    <row r="1860" spans="1:11" outlineLevel="1" x14ac:dyDescent="0.2">
      <c r="A1860" s="29"/>
      <c r="B1860" s="30" t="s">
        <v>853</v>
      </c>
      <c r="C1860" s="30" t="s">
        <v>980</v>
      </c>
      <c r="D1860" s="34" t="s">
        <v>1052</v>
      </c>
      <c r="E1860" s="31">
        <v>258.59999999999997</v>
      </c>
      <c r="F1860" s="31">
        <v>0.9</v>
      </c>
      <c r="G1860" s="32">
        <f t="shared" ref="G1860:G1869" si="286">F1860*E1860</f>
        <v>232.73999999999998</v>
      </c>
      <c r="H1860" s="33">
        <f t="shared" si="285"/>
        <v>1.206768745438196E-6</v>
      </c>
      <c r="K1860" t="str">
        <f xml:space="preserve"> B1859 &amp; B1860</f>
        <v>Z000163072Z020201001</v>
      </c>
    </row>
    <row r="1861" spans="1:11" outlineLevel="1" x14ac:dyDescent="0.2">
      <c r="A1861" s="29"/>
      <c r="B1861" s="30" t="s">
        <v>706</v>
      </c>
      <c r="C1861" s="30" t="s">
        <v>130</v>
      </c>
      <c r="D1861" s="34" t="s">
        <v>1052</v>
      </c>
      <c r="E1861" s="31">
        <v>4.2</v>
      </c>
      <c r="F1861" s="31">
        <v>8</v>
      </c>
      <c r="G1861" s="32">
        <f t="shared" si="286"/>
        <v>33.6</v>
      </c>
      <c r="H1861" s="33">
        <f t="shared" si="285"/>
        <v>1.7421771009161893E-7</v>
      </c>
      <c r="K1861" t="str">
        <f xml:space="preserve"> B1859 &amp; B1861</f>
        <v>Z000163072Z020202001</v>
      </c>
    </row>
    <row r="1862" spans="1:11" outlineLevel="1" x14ac:dyDescent="0.2">
      <c r="A1862" s="29"/>
      <c r="B1862" s="30" t="s">
        <v>5069</v>
      </c>
      <c r="C1862" s="30" t="s">
        <v>5070</v>
      </c>
      <c r="D1862" s="34" t="s">
        <v>1152</v>
      </c>
      <c r="E1862" s="31">
        <v>33</v>
      </c>
      <c r="F1862" s="31">
        <v>1040</v>
      </c>
      <c r="G1862" s="32">
        <f t="shared" si="286"/>
        <v>34320</v>
      </c>
      <c r="H1862" s="33">
        <f t="shared" si="285"/>
        <v>1.7795094673643934E-4</v>
      </c>
      <c r="K1862" t="str">
        <f xml:space="preserve"> B1859 &amp; B1862</f>
        <v>Z000163072Z020301039</v>
      </c>
    </row>
    <row r="1863" spans="1:11" outlineLevel="1" x14ac:dyDescent="0.2">
      <c r="A1863" s="29"/>
      <c r="B1863" s="30" t="s">
        <v>1006</v>
      </c>
      <c r="C1863" s="30" t="s">
        <v>699</v>
      </c>
      <c r="D1863" s="34" t="s">
        <v>151</v>
      </c>
      <c r="E1863" s="31">
        <v>0</v>
      </c>
      <c r="F1863" s="31">
        <v>28.988</v>
      </c>
      <c r="G1863" s="32">
        <f t="shared" si="286"/>
        <v>0</v>
      </c>
      <c r="H1863" s="33">
        <f t="shared" si="285"/>
        <v>0</v>
      </c>
      <c r="K1863" t="str">
        <f xml:space="preserve"> B1859 &amp; B1863</f>
        <v>Z000163072Z040201011</v>
      </c>
    </row>
    <row r="1864" spans="1:11" outlineLevel="1" x14ac:dyDescent="0.2">
      <c r="A1864" s="29"/>
      <c r="B1864" s="30" t="s">
        <v>801</v>
      </c>
      <c r="C1864" s="30" t="s">
        <v>402</v>
      </c>
      <c r="D1864" s="34" t="s">
        <v>151</v>
      </c>
      <c r="E1864" s="31">
        <v>0</v>
      </c>
      <c r="F1864" s="31">
        <v>10.3</v>
      </c>
      <c r="G1864" s="32">
        <f t="shared" si="286"/>
        <v>0</v>
      </c>
      <c r="H1864" s="33">
        <f t="shared" si="285"/>
        <v>0</v>
      </c>
      <c r="K1864" t="str">
        <f xml:space="preserve"> B1859 &amp; B1864</f>
        <v>Z000163072Z040202006</v>
      </c>
    </row>
    <row r="1865" spans="1:11" outlineLevel="1" x14ac:dyDescent="0.2">
      <c r="A1865" s="29"/>
      <c r="B1865" s="30" t="s">
        <v>824</v>
      </c>
      <c r="C1865" s="30" t="s">
        <v>3418</v>
      </c>
      <c r="D1865" s="34" t="s">
        <v>1152</v>
      </c>
      <c r="E1865" s="31">
        <v>33</v>
      </c>
      <c r="F1865" s="31">
        <v>25</v>
      </c>
      <c r="G1865" s="32">
        <f t="shared" si="286"/>
        <v>825</v>
      </c>
      <c r="H1865" s="33">
        <f t="shared" si="285"/>
        <v>4.2776669888567152E-6</v>
      </c>
      <c r="K1865" t="str">
        <f xml:space="preserve"> B1859 &amp; B1865</f>
        <v>Z000163072Z040308001</v>
      </c>
    </row>
    <row r="1866" spans="1:11" outlineLevel="1" x14ac:dyDescent="0.2">
      <c r="A1866" s="29"/>
      <c r="B1866" s="30" t="s">
        <v>838</v>
      </c>
      <c r="C1866" s="30" t="s">
        <v>3419</v>
      </c>
      <c r="D1866" s="34" t="s">
        <v>1152</v>
      </c>
      <c r="E1866" s="31">
        <v>30</v>
      </c>
      <c r="F1866" s="31">
        <v>90</v>
      </c>
      <c r="G1866" s="32">
        <f t="shared" si="286"/>
        <v>2700</v>
      </c>
      <c r="H1866" s="33">
        <f t="shared" si="285"/>
        <v>1.3999637418076522E-5</v>
      </c>
      <c r="K1866" t="str">
        <f xml:space="preserve"> B1859 &amp; B1866</f>
        <v>Z000163072Z040308006</v>
      </c>
    </row>
    <row r="1867" spans="1:11" outlineLevel="1" x14ac:dyDescent="0.2">
      <c r="A1867" s="29"/>
      <c r="B1867" s="30" t="s">
        <v>903</v>
      </c>
      <c r="C1867" s="30" t="s">
        <v>864</v>
      </c>
      <c r="D1867" s="34" t="s">
        <v>1152</v>
      </c>
      <c r="E1867" s="31">
        <v>30</v>
      </c>
      <c r="F1867" s="31">
        <v>3.5</v>
      </c>
      <c r="G1867" s="32">
        <f t="shared" si="286"/>
        <v>105</v>
      </c>
      <c r="H1867" s="33">
        <f t="shared" si="285"/>
        <v>5.4443034403630912E-7</v>
      </c>
      <c r="K1867" t="str">
        <f xml:space="preserve"> B1859 &amp; B1867</f>
        <v>Z000163072Z040308018</v>
      </c>
    </row>
    <row r="1868" spans="1:11" outlineLevel="1" x14ac:dyDescent="0.2">
      <c r="A1868" s="29"/>
      <c r="B1868" s="30" t="s">
        <v>498</v>
      </c>
      <c r="C1868" s="30" t="s">
        <v>773</v>
      </c>
      <c r="D1868" s="34" t="s">
        <v>84</v>
      </c>
      <c r="E1868" s="31">
        <v>36</v>
      </c>
      <c r="F1868" s="31">
        <v>0</v>
      </c>
      <c r="G1868" s="32">
        <f t="shared" si="286"/>
        <v>0</v>
      </c>
      <c r="H1868" s="33">
        <f t="shared" si="285"/>
        <v>0</v>
      </c>
      <c r="K1868" t="str">
        <f xml:space="preserve"> B1859 &amp; B1868</f>
        <v>Z000163072Z040401001</v>
      </c>
    </row>
    <row r="1869" spans="1:11" outlineLevel="1" x14ac:dyDescent="0.2">
      <c r="A1869" s="29"/>
      <c r="B1869" s="30" t="s">
        <v>946</v>
      </c>
      <c r="C1869" s="30" t="s">
        <v>1695</v>
      </c>
      <c r="D1869" s="34" t="s">
        <v>1819</v>
      </c>
      <c r="E1869" s="31">
        <v>33</v>
      </c>
      <c r="F1869" s="31">
        <v>40</v>
      </c>
      <c r="G1869" s="32">
        <f t="shared" si="286"/>
        <v>1320</v>
      </c>
      <c r="H1869" s="33">
        <f t="shared" si="285"/>
        <v>6.8442671821707436E-6</v>
      </c>
      <c r="K1869" t="str">
        <f xml:space="preserve"> B1859 &amp; B1869</f>
        <v>Z000163072Z060101023</v>
      </c>
    </row>
    <row r="1870" spans="1:11" outlineLevel="1" x14ac:dyDescent="0.2">
      <c r="A1870" s="11" t="s">
        <v>532</v>
      </c>
      <c r="B1870" s="11" t="s">
        <v>5084</v>
      </c>
      <c r="C1870" s="11" t="s">
        <v>5087</v>
      </c>
      <c r="D1870" s="12" t="s">
        <v>1152</v>
      </c>
      <c r="E1870" s="13">
        <v>9054.24</v>
      </c>
      <c r="F1870" s="14">
        <v>276.43699999999995</v>
      </c>
      <c r="G1870" s="15">
        <f>SUM(G1871:G1878)</f>
        <v>2502926.9428799995</v>
      </c>
      <c r="H1870" s="16">
        <f t="shared" ref="H1870:H1878" si="287">G1870/$F$2</f>
        <v>1.2977803586761006E-2</v>
      </c>
    </row>
    <row r="1871" spans="1:11" outlineLevel="1" x14ac:dyDescent="0.2">
      <c r="A1871" s="29"/>
      <c r="B1871" s="30" t="s">
        <v>1030</v>
      </c>
      <c r="C1871" s="30" t="s">
        <v>1564</v>
      </c>
      <c r="D1871" s="34" t="s">
        <v>1052</v>
      </c>
      <c r="E1871" s="31">
        <v>10412.375999999998</v>
      </c>
      <c r="F1871" s="31">
        <v>129</v>
      </c>
      <c r="G1871" s="32">
        <f t="shared" ref="G1871:G1878" si="288">F1871*E1871</f>
        <v>1343196.5039999997</v>
      </c>
      <c r="H1871" s="33">
        <f t="shared" si="287"/>
        <v>6.9645422360103577E-3</v>
      </c>
      <c r="K1871" t="str">
        <f xml:space="preserve"> B1870 &amp; B1871</f>
        <v>Z000164031Z020306002</v>
      </c>
    </row>
    <row r="1872" spans="1:11" outlineLevel="1" x14ac:dyDescent="0.2">
      <c r="A1872" s="29"/>
      <c r="B1872" s="30" t="s">
        <v>939</v>
      </c>
      <c r="C1872" s="30" t="s">
        <v>640</v>
      </c>
      <c r="D1872" s="34" t="s">
        <v>1052</v>
      </c>
      <c r="E1872" s="31">
        <v>0</v>
      </c>
      <c r="F1872" s="31">
        <v>21.15</v>
      </c>
      <c r="G1872" s="32">
        <f t="shared" si="288"/>
        <v>0</v>
      </c>
      <c r="H1872" s="33">
        <f t="shared" si="287"/>
        <v>0</v>
      </c>
      <c r="K1872" t="str">
        <f xml:space="preserve"> B1870 &amp; B1872</f>
        <v>Z000164031Z040201003</v>
      </c>
    </row>
    <row r="1873" spans="1:11" outlineLevel="1" x14ac:dyDescent="0.2">
      <c r="A1873" s="29"/>
      <c r="B1873" s="30" t="s">
        <v>498</v>
      </c>
      <c r="C1873" s="30" t="s">
        <v>773</v>
      </c>
      <c r="D1873" s="34" t="s">
        <v>1152</v>
      </c>
      <c r="E1873" s="31">
        <v>10865.088</v>
      </c>
      <c r="F1873" s="31">
        <v>0</v>
      </c>
      <c r="G1873" s="32">
        <f t="shared" si="288"/>
        <v>0</v>
      </c>
      <c r="H1873" s="33">
        <f t="shared" si="287"/>
        <v>0</v>
      </c>
      <c r="K1873" t="str">
        <f xml:space="preserve"> B1870 &amp; B1873</f>
        <v>Z000164031Z040401001</v>
      </c>
    </row>
    <row r="1874" spans="1:11" outlineLevel="1" x14ac:dyDescent="0.2">
      <c r="A1874" s="29"/>
      <c r="B1874" s="30" t="s">
        <v>706</v>
      </c>
      <c r="C1874" s="30" t="s">
        <v>130</v>
      </c>
      <c r="D1874" s="34" t="s">
        <v>151</v>
      </c>
      <c r="E1874" s="31">
        <v>1267.5936000000002</v>
      </c>
      <c r="F1874" s="31">
        <v>8</v>
      </c>
      <c r="G1874" s="32">
        <f t="shared" si="288"/>
        <v>10140.748800000001</v>
      </c>
      <c r="H1874" s="33">
        <f t="shared" si="287"/>
        <v>5.2580298647331333E-5</v>
      </c>
      <c r="K1874" t="str">
        <f xml:space="preserve"> B1870 &amp; B1874</f>
        <v>Z000164031Z020202001</v>
      </c>
    </row>
    <row r="1875" spans="1:11" outlineLevel="1" x14ac:dyDescent="0.2">
      <c r="A1875" s="29"/>
      <c r="B1875" s="30" t="s">
        <v>853</v>
      </c>
      <c r="C1875" s="30" t="s">
        <v>980</v>
      </c>
      <c r="D1875" s="34" t="s">
        <v>151</v>
      </c>
      <c r="E1875" s="31">
        <v>82665.211200000005</v>
      </c>
      <c r="F1875" s="31">
        <v>0.9</v>
      </c>
      <c r="G1875" s="32">
        <f t="shared" si="288"/>
        <v>74398.69008</v>
      </c>
      <c r="H1875" s="33">
        <f t="shared" si="287"/>
        <v>3.8576099462957279E-4</v>
      </c>
      <c r="K1875" t="str">
        <f xml:space="preserve"> B1870 &amp; B1875</f>
        <v>Z000164031Z020201001</v>
      </c>
    </row>
    <row r="1876" spans="1:11" outlineLevel="1" x14ac:dyDescent="0.2">
      <c r="A1876" s="29"/>
      <c r="B1876" s="30" t="s">
        <v>898</v>
      </c>
      <c r="C1876" s="30" t="s">
        <v>3450</v>
      </c>
      <c r="D1876" s="34" t="s">
        <v>1152</v>
      </c>
      <c r="E1876" s="31">
        <v>9054.24</v>
      </c>
      <c r="F1876" s="31">
        <v>90</v>
      </c>
      <c r="G1876" s="32">
        <f t="shared" si="288"/>
        <v>814881.6</v>
      </c>
      <c r="H1876" s="33">
        <f t="shared" si="287"/>
        <v>4.2252025698748382E-3</v>
      </c>
      <c r="K1876" t="str">
        <f xml:space="preserve"> B1870 &amp; B1876</f>
        <v>Z000164031Z040308016</v>
      </c>
    </row>
    <row r="1877" spans="1:11" outlineLevel="1" x14ac:dyDescent="0.2">
      <c r="A1877" s="29"/>
      <c r="B1877" s="30" t="s">
        <v>801</v>
      </c>
      <c r="C1877" s="30" t="s">
        <v>402</v>
      </c>
      <c r="D1877" s="34" t="s">
        <v>1152</v>
      </c>
      <c r="E1877" s="31">
        <v>0</v>
      </c>
      <c r="F1877" s="31">
        <v>10.3</v>
      </c>
      <c r="G1877" s="32">
        <f t="shared" si="288"/>
        <v>0</v>
      </c>
      <c r="H1877" s="33">
        <f t="shared" si="287"/>
        <v>0</v>
      </c>
      <c r="K1877" t="str">
        <f xml:space="preserve"> B1870 &amp; B1877</f>
        <v>Z000164031Z040202006</v>
      </c>
    </row>
    <row r="1878" spans="1:11" outlineLevel="1" x14ac:dyDescent="0.2">
      <c r="A1878" s="29"/>
      <c r="B1878" s="30" t="s">
        <v>863</v>
      </c>
      <c r="C1878" s="30" t="s">
        <v>1369</v>
      </c>
      <c r="D1878" s="34" t="s">
        <v>1152</v>
      </c>
      <c r="E1878" s="31">
        <v>10412.375999999998</v>
      </c>
      <c r="F1878" s="31">
        <v>25</v>
      </c>
      <c r="G1878" s="32">
        <f t="shared" si="288"/>
        <v>260309.39999999997</v>
      </c>
      <c r="H1878" s="33">
        <f t="shared" si="287"/>
        <v>1.3497174875989066E-3</v>
      </c>
      <c r="K1878" t="str">
        <f xml:space="preserve"> B1870 &amp; B1878</f>
        <v>Z000164031Z060101015</v>
      </c>
    </row>
    <row r="1879" spans="1:11" x14ac:dyDescent="0.2">
      <c r="A1879" s="23" t="s">
        <v>874</v>
      </c>
      <c r="B1879" s="23" t="s">
        <v>328</v>
      </c>
      <c r="C1879" s="23" t="s">
        <v>5381</v>
      </c>
      <c r="D1879" s="24"/>
      <c r="E1879" s="25"/>
      <c r="F1879" s="26"/>
      <c r="G1879" s="27">
        <f>SUM(G1880,G1883)</f>
        <v>4000244.2555999998</v>
      </c>
      <c r="H1879" s="28">
        <f t="shared" si="285"/>
        <v>2.0741470060053117E-2</v>
      </c>
    </row>
    <row r="1880" spans="1:11" outlineLevel="1" x14ac:dyDescent="0.2">
      <c r="A1880" s="11" t="s">
        <v>419</v>
      </c>
      <c r="B1880" s="11" t="s">
        <v>719</v>
      </c>
      <c r="C1880" s="11" t="s">
        <v>3741</v>
      </c>
      <c r="D1880" s="12" t="s">
        <v>1152</v>
      </c>
      <c r="E1880" s="13">
        <v>3074.26</v>
      </c>
      <c r="F1880" s="14">
        <v>1300</v>
      </c>
      <c r="G1880" s="15">
        <f>SUM(G1881:G1882)</f>
        <v>3996538</v>
      </c>
      <c r="H1880" s="16">
        <f t="shared" si="285"/>
        <v>2.0722252936135076E-2</v>
      </c>
    </row>
    <row r="1881" spans="1:11" outlineLevel="1" x14ac:dyDescent="0.2">
      <c r="A1881" s="29"/>
      <c r="B1881" s="30" t="s">
        <v>1259</v>
      </c>
      <c r="C1881" s="30" t="s">
        <v>1353</v>
      </c>
      <c r="D1881" s="34" t="s">
        <v>1152</v>
      </c>
      <c r="E1881" s="31">
        <v>3074.26</v>
      </c>
      <c r="F1881" s="31">
        <v>850</v>
      </c>
      <c r="G1881" s="32">
        <f t="shared" ref="G1881:G1882" si="289">F1881*E1881</f>
        <v>2613121</v>
      </c>
      <c r="H1881" s="33">
        <f t="shared" si="285"/>
        <v>1.3549165381319088E-2</v>
      </c>
      <c r="K1881" t="str">
        <f xml:space="preserve"> B1880 &amp; B1881</f>
        <v>Z000164016Z020313001</v>
      </c>
    </row>
    <row r="1882" spans="1:11" outlineLevel="1" x14ac:dyDescent="0.2">
      <c r="A1882" s="29"/>
      <c r="B1882" s="30" t="s">
        <v>1262</v>
      </c>
      <c r="C1882" s="30" t="s">
        <v>930</v>
      </c>
      <c r="D1882" s="34" t="s">
        <v>1152</v>
      </c>
      <c r="E1882" s="31">
        <v>3074.26</v>
      </c>
      <c r="F1882" s="31">
        <v>450</v>
      </c>
      <c r="G1882" s="32">
        <f t="shared" si="289"/>
        <v>1383417</v>
      </c>
      <c r="H1882" s="33">
        <f t="shared" si="285"/>
        <v>7.1730875548159882E-3</v>
      </c>
      <c r="K1882" t="str">
        <f xml:space="preserve"> B1880 &amp; B1882</f>
        <v>Z000164016Z020313002</v>
      </c>
    </row>
    <row r="1883" spans="1:11" outlineLevel="1" x14ac:dyDescent="0.2">
      <c r="A1883" s="11" t="s">
        <v>421</v>
      </c>
      <c r="B1883" s="11" t="s">
        <v>723</v>
      </c>
      <c r="C1883" s="11" t="s">
        <v>3744</v>
      </c>
      <c r="D1883" s="12" t="s">
        <v>1152</v>
      </c>
      <c r="E1883" s="13">
        <v>3.98</v>
      </c>
      <c r="F1883" s="14">
        <v>931.22000000000014</v>
      </c>
      <c r="G1883" s="15">
        <f>SUM(G1884:G1885)</f>
        <v>3706.2556000000004</v>
      </c>
      <c r="H1883" s="16">
        <f t="shared" si="285"/>
        <v>1.9217123918042835E-5</v>
      </c>
    </row>
    <row r="1884" spans="1:11" outlineLevel="1" x14ac:dyDescent="0.2">
      <c r="A1884" s="29"/>
      <c r="B1884" s="30" t="s">
        <v>1375</v>
      </c>
      <c r="C1884" s="30" t="s">
        <v>1255</v>
      </c>
      <c r="D1884" s="34" t="s">
        <v>1152</v>
      </c>
      <c r="E1884" s="31">
        <v>3.98</v>
      </c>
      <c r="F1884" s="31">
        <v>643.70000000000005</v>
      </c>
      <c r="G1884" s="32">
        <f t="shared" ref="G1884:G1885" si="290">F1884*E1884</f>
        <v>2561.9260000000004</v>
      </c>
      <c r="H1884" s="33">
        <f t="shared" si="285"/>
        <v>1.3283716700719673E-5</v>
      </c>
      <c r="K1884" t="str">
        <f xml:space="preserve"> B1883 &amp; B1884</f>
        <v>Z000164017Z020312001</v>
      </c>
    </row>
    <row r="1885" spans="1:11" outlineLevel="1" x14ac:dyDescent="0.2">
      <c r="A1885" s="29"/>
      <c r="B1885" s="30" t="s">
        <v>1378</v>
      </c>
      <c r="C1885" s="30" t="s">
        <v>807</v>
      </c>
      <c r="D1885" s="34" t="s">
        <v>1152</v>
      </c>
      <c r="E1885" s="31">
        <v>3.98</v>
      </c>
      <c r="F1885" s="31">
        <v>287.52</v>
      </c>
      <c r="G1885" s="32">
        <f t="shared" si="290"/>
        <v>1144.3296</v>
      </c>
      <c r="H1885" s="33">
        <f t="shared" si="285"/>
        <v>5.9334072173231626E-6</v>
      </c>
      <c r="K1885" t="str">
        <f xml:space="preserve"> B1883 &amp; B1885</f>
        <v>Z000164017Z020312002</v>
      </c>
    </row>
    <row r="1886" spans="1:11" ht="15" x14ac:dyDescent="0.2">
      <c r="A1886" s="17" t="s">
        <v>2046</v>
      </c>
      <c r="B1886" s="17" t="s">
        <v>328</v>
      </c>
      <c r="C1886" s="17" t="s">
        <v>5382</v>
      </c>
      <c r="D1886" s="18"/>
      <c r="E1886" s="19"/>
      <c r="F1886" s="20"/>
      <c r="G1886" s="21">
        <f>SUM(G1887,G1896,G1905,G1914,G1923,G1932,G1944,G1957,G1966,G1978,G1987,G1996,G2008,G2020,G2032,G2044,G2053,G2062,G2073,G2084,G2096,G2105,G2114,G2125)</f>
        <v>1033856.909325</v>
      </c>
      <c r="H1886" s="22">
        <f t="shared" si="285"/>
        <v>5.3606006936011913E-3</v>
      </c>
    </row>
    <row r="1887" spans="1:11" outlineLevel="1" x14ac:dyDescent="0.2">
      <c r="A1887" s="11" t="s">
        <v>729</v>
      </c>
      <c r="B1887" s="11" t="s">
        <v>5139</v>
      </c>
      <c r="C1887" s="11" t="s">
        <v>5141</v>
      </c>
      <c r="D1887" s="12" t="s">
        <v>153</v>
      </c>
      <c r="E1887" s="13">
        <v>1</v>
      </c>
      <c r="F1887" s="14">
        <v>296.64800000000002</v>
      </c>
      <c r="G1887" s="15">
        <f>SUM(G1888:G1895)</f>
        <v>296.64800000000002</v>
      </c>
      <c r="H1887" s="16">
        <f t="shared" si="285"/>
        <v>1.538134978073172E-6</v>
      </c>
    </row>
    <row r="1888" spans="1:11" outlineLevel="1" x14ac:dyDescent="0.2">
      <c r="A1888" s="29"/>
      <c r="B1888" s="30" t="s">
        <v>853</v>
      </c>
      <c r="C1888" s="30" t="s">
        <v>980</v>
      </c>
      <c r="D1888" s="34" t="s">
        <v>1052</v>
      </c>
      <c r="E1888" s="31">
        <v>1.72</v>
      </c>
      <c r="F1888" s="31">
        <v>0.9</v>
      </c>
      <c r="G1888" s="32">
        <f t="shared" ref="G1888:G1895" si="291">F1888*E1888</f>
        <v>1.548</v>
      </c>
      <c r="H1888" s="33">
        <f t="shared" si="285"/>
        <v>8.0264587863638722E-9</v>
      </c>
      <c r="K1888" t="str">
        <f xml:space="preserve"> B1887 &amp; B1888</f>
        <v>Z000167070Z020201001</v>
      </c>
    </row>
    <row r="1889" spans="1:11" outlineLevel="1" x14ac:dyDescent="0.2">
      <c r="A1889" s="29"/>
      <c r="B1889" s="30" t="s">
        <v>5147</v>
      </c>
      <c r="C1889" s="30" t="s">
        <v>5148</v>
      </c>
      <c r="D1889" s="34" t="s">
        <v>1152</v>
      </c>
      <c r="E1889" s="31">
        <v>0.22</v>
      </c>
      <c r="F1889" s="31">
        <v>1140</v>
      </c>
      <c r="G1889" s="32">
        <f t="shared" si="291"/>
        <v>250.8</v>
      </c>
      <c r="H1889" s="33">
        <f t="shared" si="285"/>
        <v>1.3004107646124414E-6</v>
      </c>
      <c r="K1889" t="str">
        <f xml:space="preserve"> B1887 &amp; B1889</f>
        <v>Z000167070Z020403023</v>
      </c>
    </row>
    <row r="1890" spans="1:11" outlineLevel="1" x14ac:dyDescent="0.2">
      <c r="A1890" s="29"/>
      <c r="B1890" s="30" t="s">
        <v>1006</v>
      </c>
      <c r="C1890" s="30" t="s">
        <v>699</v>
      </c>
      <c r="D1890" s="34" t="s">
        <v>151</v>
      </c>
      <c r="E1890" s="31">
        <v>0</v>
      </c>
      <c r="F1890" s="31">
        <v>28.988</v>
      </c>
      <c r="G1890" s="32">
        <f t="shared" si="291"/>
        <v>0</v>
      </c>
      <c r="H1890" s="33">
        <f t="shared" si="285"/>
        <v>0</v>
      </c>
      <c r="K1890" t="str">
        <f xml:space="preserve"> B1887 &amp; B1890</f>
        <v>Z000167070Z040201011</v>
      </c>
    </row>
    <row r="1891" spans="1:11" outlineLevel="1" x14ac:dyDescent="0.2">
      <c r="A1891" s="29"/>
      <c r="B1891" s="30" t="s">
        <v>801</v>
      </c>
      <c r="C1891" s="30" t="s">
        <v>402</v>
      </c>
      <c r="D1891" s="34" t="s">
        <v>151</v>
      </c>
      <c r="E1891" s="31">
        <v>0</v>
      </c>
      <c r="F1891" s="31">
        <v>10.3</v>
      </c>
      <c r="G1891" s="32">
        <f t="shared" si="291"/>
        <v>0</v>
      </c>
      <c r="H1891" s="33">
        <f t="shared" si="285"/>
        <v>0</v>
      </c>
      <c r="K1891" t="str">
        <f xml:space="preserve"> B1887 &amp; B1891</f>
        <v>Z000167070Z040202006</v>
      </c>
    </row>
    <row r="1892" spans="1:11" outlineLevel="1" x14ac:dyDescent="0.2">
      <c r="A1892" s="29"/>
      <c r="B1892" s="30" t="s">
        <v>824</v>
      </c>
      <c r="C1892" s="30" t="s">
        <v>3418</v>
      </c>
      <c r="D1892" s="34" t="s">
        <v>1152</v>
      </c>
      <c r="E1892" s="31">
        <v>0.22</v>
      </c>
      <c r="F1892" s="31">
        <v>25</v>
      </c>
      <c r="G1892" s="32">
        <f t="shared" si="291"/>
        <v>5.5</v>
      </c>
      <c r="H1892" s="33">
        <f t="shared" si="285"/>
        <v>2.8517779925711432E-8</v>
      </c>
      <c r="K1892" t="str">
        <f xml:space="preserve"> B1887 &amp; B1892</f>
        <v>Z000167070Z040308001</v>
      </c>
    </row>
    <row r="1893" spans="1:11" outlineLevel="1" x14ac:dyDescent="0.2">
      <c r="A1893" s="29"/>
      <c r="B1893" s="30" t="s">
        <v>890</v>
      </c>
      <c r="C1893" s="30" t="s">
        <v>3487</v>
      </c>
      <c r="D1893" s="34" t="s">
        <v>153</v>
      </c>
      <c r="E1893" s="31">
        <v>1</v>
      </c>
      <c r="F1893" s="31">
        <v>30</v>
      </c>
      <c r="G1893" s="32">
        <f t="shared" si="291"/>
        <v>30</v>
      </c>
      <c r="H1893" s="33">
        <f t="shared" si="285"/>
        <v>1.5555152686751689E-7</v>
      </c>
      <c r="K1893" t="str">
        <f xml:space="preserve"> B1887 &amp; B1893</f>
        <v>Z000167070Z040308014</v>
      </c>
    </row>
    <row r="1894" spans="1:11" outlineLevel="1" x14ac:dyDescent="0.2">
      <c r="A1894" s="29"/>
      <c r="B1894" s="30" t="s">
        <v>498</v>
      </c>
      <c r="C1894" s="30" t="s">
        <v>773</v>
      </c>
      <c r="D1894" s="34" t="s">
        <v>84</v>
      </c>
      <c r="E1894" s="31">
        <v>1.2</v>
      </c>
      <c r="F1894" s="31">
        <v>0</v>
      </c>
      <c r="G1894" s="32">
        <f t="shared" si="291"/>
        <v>0</v>
      </c>
      <c r="H1894" s="33">
        <f t="shared" si="285"/>
        <v>0</v>
      </c>
      <c r="K1894" t="str">
        <f xml:space="preserve"> B1887 &amp; B1894</f>
        <v>Z000167070Z040401001</v>
      </c>
    </row>
    <row r="1895" spans="1:11" outlineLevel="1" x14ac:dyDescent="0.2">
      <c r="A1895" s="29"/>
      <c r="B1895" s="30" t="s">
        <v>946</v>
      </c>
      <c r="C1895" s="30" t="s">
        <v>1695</v>
      </c>
      <c r="D1895" s="34" t="s">
        <v>1819</v>
      </c>
      <c r="E1895" s="31">
        <v>0.22</v>
      </c>
      <c r="F1895" s="31">
        <v>40</v>
      </c>
      <c r="G1895" s="32">
        <f t="shared" si="291"/>
        <v>8.8000000000000007</v>
      </c>
      <c r="H1895" s="33">
        <f t="shared" si="285"/>
        <v>4.5628447881138296E-8</v>
      </c>
      <c r="K1895" t="str">
        <f xml:space="preserve"> B1887 &amp; B1895</f>
        <v>Z000167070Z060101023</v>
      </c>
    </row>
    <row r="1896" spans="1:11" outlineLevel="1" x14ac:dyDescent="0.2">
      <c r="A1896" s="11" t="s">
        <v>731</v>
      </c>
      <c r="B1896" s="11" t="s">
        <v>412</v>
      </c>
      <c r="C1896" s="11" t="s">
        <v>3828</v>
      </c>
      <c r="D1896" s="12" t="s">
        <v>153</v>
      </c>
      <c r="E1896" s="13">
        <v>31.46</v>
      </c>
      <c r="F1896" s="14">
        <v>100.848</v>
      </c>
      <c r="G1896" s="15">
        <f>SUM(G1897:G1904)</f>
        <v>3172.6780800000001</v>
      </c>
      <c r="H1896" s="16">
        <f t="shared" si="285"/>
        <v>1.64504973201034E-5</v>
      </c>
    </row>
    <row r="1897" spans="1:11" outlineLevel="1" x14ac:dyDescent="0.2">
      <c r="A1897" s="29"/>
      <c r="B1897" s="30" t="s">
        <v>853</v>
      </c>
      <c r="C1897" s="30" t="s">
        <v>980</v>
      </c>
      <c r="D1897" s="34" t="s">
        <v>1052</v>
      </c>
      <c r="E1897" s="31">
        <v>54.111200000000004</v>
      </c>
      <c r="F1897" s="31">
        <v>0.9</v>
      </c>
      <c r="G1897" s="32">
        <f t="shared" ref="G1897:G1904" si="292">F1897*E1897</f>
        <v>48.700080000000007</v>
      </c>
      <c r="H1897" s="33">
        <f t="shared" si="285"/>
        <v>2.5251239341900748E-7</v>
      </c>
      <c r="K1897" t="str">
        <f xml:space="preserve"> B1896 &amp; B1897</f>
        <v>Z000167017Z020201001</v>
      </c>
    </row>
    <row r="1898" spans="1:11" outlineLevel="1" x14ac:dyDescent="0.2">
      <c r="A1898" s="29"/>
      <c r="B1898" s="30" t="s">
        <v>241</v>
      </c>
      <c r="C1898" s="30" t="s">
        <v>3826</v>
      </c>
      <c r="D1898" s="34" t="s">
        <v>1152</v>
      </c>
      <c r="E1898" s="31">
        <v>6.9211999999999998</v>
      </c>
      <c r="F1898" s="31">
        <v>250</v>
      </c>
      <c r="G1898" s="32">
        <f t="shared" si="292"/>
        <v>1730.3</v>
      </c>
      <c r="H1898" s="33">
        <f t="shared" si="285"/>
        <v>8.9716935646288169E-6</v>
      </c>
      <c r="K1898" t="str">
        <f xml:space="preserve"> B1896 &amp; B1898</f>
        <v>Z000167017Z020403005</v>
      </c>
    </row>
    <row r="1899" spans="1:11" outlineLevel="1" x14ac:dyDescent="0.2">
      <c r="A1899" s="29"/>
      <c r="B1899" s="30" t="s">
        <v>1006</v>
      </c>
      <c r="C1899" s="30" t="s">
        <v>699</v>
      </c>
      <c r="D1899" s="34" t="s">
        <v>151</v>
      </c>
      <c r="E1899" s="31">
        <v>0</v>
      </c>
      <c r="F1899" s="31">
        <v>28.988</v>
      </c>
      <c r="G1899" s="32">
        <f t="shared" si="292"/>
        <v>0</v>
      </c>
      <c r="H1899" s="33">
        <f t="shared" si="285"/>
        <v>0</v>
      </c>
      <c r="K1899" t="str">
        <f xml:space="preserve"> B1896 &amp; B1899</f>
        <v>Z000167017Z040201011</v>
      </c>
    </row>
    <row r="1900" spans="1:11" outlineLevel="1" x14ac:dyDescent="0.2">
      <c r="A1900" s="29"/>
      <c r="B1900" s="30" t="s">
        <v>801</v>
      </c>
      <c r="C1900" s="30" t="s">
        <v>402</v>
      </c>
      <c r="D1900" s="34" t="s">
        <v>151</v>
      </c>
      <c r="E1900" s="31">
        <v>0</v>
      </c>
      <c r="F1900" s="31">
        <v>10.3</v>
      </c>
      <c r="G1900" s="32">
        <f t="shared" si="292"/>
        <v>0</v>
      </c>
      <c r="H1900" s="33">
        <f t="shared" si="285"/>
        <v>0</v>
      </c>
      <c r="K1900" t="str">
        <f xml:space="preserve"> B1896 &amp; B1900</f>
        <v>Z000167017Z040202006</v>
      </c>
    </row>
    <row r="1901" spans="1:11" outlineLevel="1" x14ac:dyDescent="0.2">
      <c r="A1901" s="29"/>
      <c r="B1901" s="30" t="s">
        <v>824</v>
      </c>
      <c r="C1901" s="30" t="s">
        <v>3418</v>
      </c>
      <c r="D1901" s="34" t="s">
        <v>1152</v>
      </c>
      <c r="E1901" s="31">
        <v>6.9211999999999998</v>
      </c>
      <c r="F1901" s="31">
        <v>25</v>
      </c>
      <c r="G1901" s="32">
        <f t="shared" si="292"/>
        <v>173.03</v>
      </c>
      <c r="H1901" s="33">
        <f t="shared" si="285"/>
        <v>8.9716935646288167E-7</v>
      </c>
      <c r="K1901" t="str">
        <f xml:space="preserve"> B1896 &amp; B1901</f>
        <v>Z000167017Z040308001</v>
      </c>
    </row>
    <row r="1902" spans="1:11" outlineLevel="1" x14ac:dyDescent="0.2">
      <c r="A1902" s="29"/>
      <c r="B1902" s="30" t="s">
        <v>890</v>
      </c>
      <c r="C1902" s="30" t="s">
        <v>3487</v>
      </c>
      <c r="D1902" s="34" t="s">
        <v>153</v>
      </c>
      <c r="E1902" s="31">
        <v>31.46</v>
      </c>
      <c r="F1902" s="31">
        <v>30</v>
      </c>
      <c r="G1902" s="32">
        <f t="shared" si="292"/>
        <v>943.80000000000007</v>
      </c>
      <c r="H1902" s="33">
        <f t="shared" si="285"/>
        <v>4.8936510352520819E-6</v>
      </c>
      <c r="K1902" t="str">
        <f xml:space="preserve"> B1896 &amp; B1902</f>
        <v>Z000167017Z040308014</v>
      </c>
    </row>
    <row r="1903" spans="1:11" outlineLevel="1" x14ac:dyDescent="0.2">
      <c r="A1903" s="29"/>
      <c r="B1903" s="30" t="s">
        <v>498</v>
      </c>
      <c r="C1903" s="30" t="s">
        <v>773</v>
      </c>
      <c r="D1903" s="34" t="s">
        <v>84</v>
      </c>
      <c r="E1903" s="31">
        <v>37.752000000000002</v>
      </c>
      <c r="F1903" s="31">
        <v>0</v>
      </c>
      <c r="G1903" s="32">
        <f t="shared" si="292"/>
        <v>0</v>
      </c>
      <c r="H1903" s="33">
        <f t="shared" si="285"/>
        <v>0</v>
      </c>
      <c r="K1903" t="str">
        <f xml:space="preserve"> B1896 &amp; B1903</f>
        <v>Z000167017Z040401001</v>
      </c>
    </row>
    <row r="1904" spans="1:11" outlineLevel="1" x14ac:dyDescent="0.2">
      <c r="A1904" s="29"/>
      <c r="B1904" s="30" t="s">
        <v>946</v>
      </c>
      <c r="C1904" s="30" t="s">
        <v>1695</v>
      </c>
      <c r="D1904" s="34" t="s">
        <v>1819</v>
      </c>
      <c r="E1904" s="31">
        <v>6.9211999999999998</v>
      </c>
      <c r="F1904" s="31">
        <v>40</v>
      </c>
      <c r="G1904" s="32">
        <f t="shared" si="292"/>
        <v>276.84800000000001</v>
      </c>
      <c r="H1904" s="33">
        <f t="shared" si="285"/>
        <v>1.4354709703406108E-6</v>
      </c>
      <c r="K1904" t="str">
        <f xml:space="preserve"> B1896 &amp; B1904</f>
        <v>Z000167017Z060101023</v>
      </c>
    </row>
    <row r="1905" spans="1:11" outlineLevel="1" x14ac:dyDescent="0.2">
      <c r="A1905" s="11" t="s">
        <v>733</v>
      </c>
      <c r="B1905" s="11" t="s">
        <v>4980</v>
      </c>
      <c r="C1905" s="11" t="s">
        <v>4982</v>
      </c>
      <c r="D1905" s="12" t="s">
        <v>153</v>
      </c>
      <c r="E1905" s="13">
        <v>5.34</v>
      </c>
      <c r="F1905" s="14">
        <v>112.06200000000001</v>
      </c>
      <c r="G1905" s="15">
        <f>SUM(G1906:G1913)</f>
        <v>598.41108000000008</v>
      </c>
      <c r="H1905" s="16">
        <f t="shared" si="285"/>
        <v>3.1027919062813274E-6</v>
      </c>
    </row>
    <row r="1906" spans="1:11" outlineLevel="1" x14ac:dyDescent="0.2">
      <c r="A1906" s="29"/>
      <c r="B1906" s="30" t="s">
        <v>824</v>
      </c>
      <c r="C1906" s="30" t="s">
        <v>3418</v>
      </c>
      <c r="D1906" s="34" t="s">
        <v>1052</v>
      </c>
      <c r="E1906" s="31">
        <v>0.29370000000000002</v>
      </c>
      <c r="F1906" s="31">
        <v>25</v>
      </c>
      <c r="G1906" s="32">
        <f t="shared" ref="G1906:G1913" si="293">F1906*E1906</f>
        <v>7.3425000000000002</v>
      </c>
      <c r="H1906" s="33">
        <f t="shared" si="285"/>
        <v>3.8071236200824762E-8</v>
      </c>
      <c r="K1906" t="str">
        <f xml:space="preserve"> B1905 &amp; B1906</f>
        <v>Z000157024Z040308001</v>
      </c>
    </row>
    <row r="1907" spans="1:11" outlineLevel="1" x14ac:dyDescent="0.2">
      <c r="A1907" s="29"/>
      <c r="B1907" s="30" t="s">
        <v>498</v>
      </c>
      <c r="C1907" s="30" t="s">
        <v>773</v>
      </c>
      <c r="D1907" s="34" t="s">
        <v>1152</v>
      </c>
      <c r="E1907" s="31">
        <v>6.4079999999999995</v>
      </c>
      <c r="F1907" s="31">
        <v>0</v>
      </c>
      <c r="G1907" s="32">
        <f t="shared" si="293"/>
        <v>0</v>
      </c>
      <c r="H1907" s="33">
        <f t="shared" si="285"/>
        <v>0</v>
      </c>
      <c r="K1907" t="str">
        <f xml:space="preserve"> B1905 &amp; B1907</f>
        <v>Z000157024Z040401001</v>
      </c>
    </row>
    <row r="1908" spans="1:11" outlineLevel="1" x14ac:dyDescent="0.2">
      <c r="A1908" s="29"/>
      <c r="B1908" s="30" t="s">
        <v>801</v>
      </c>
      <c r="C1908" s="30" t="s">
        <v>402</v>
      </c>
      <c r="D1908" s="34" t="s">
        <v>151</v>
      </c>
      <c r="E1908" s="31">
        <v>0</v>
      </c>
      <c r="F1908" s="31">
        <v>10.3</v>
      </c>
      <c r="G1908" s="32">
        <f t="shared" si="293"/>
        <v>0</v>
      </c>
      <c r="H1908" s="33">
        <f t="shared" si="285"/>
        <v>0</v>
      </c>
      <c r="K1908" t="str">
        <f xml:space="preserve"> B1905 &amp; B1908</f>
        <v>Z000157024Z040202006</v>
      </c>
    </row>
    <row r="1909" spans="1:11" outlineLevel="1" x14ac:dyDescent="0.2">
      <c r="A1909" s="29"/>
      <c r="B1909" s="30" t="s">
        <v>1006</v>
      </c>
      <c r="C1909" s="30" t="s">
        <v>699</v>
      </c>
      <c r="D1909" s="34" t="s">
        <v>151</v>
      </c>
      <c r="E1909" s="31">
        <v>0</v>
      </c>
      <c r="F1909" s="31">
        <v>28.988</v>
      </c>
      <c r="G1909" s="32">
        <f t="shared" si="293"/>
        <v>0</v>
      </c>
      <c r="H1909" s="33">
        <f t="shared" si="285"/>
        <v>0</v>
      </c>
      <c r="K1909" t="str">
        <f xml:space="preserve"> B1905 &amp; B1909</f>
        <v>Z000157024Z040201011</v>
      </c>
    </row>
    <row r="1910" spans="1:11" outlineLevel="1" x14ac:dyDescent="0.2">
      <c r="A1910" s="29"/>
      <c r="B1910" s="30" t="s">
        <v>853</v>
      </c>
      <c r="C1910" s="30" t="s">
        <v>980</v>
      </c>
      <c r="D1910" s="34" t="s">
        <v>1152</v>
      </c>
      <c r="E1910" s="31">
        <v>2.2961999999999998</v>
      </c>
      <c r="F1910" s="31">
        <v>0.9</v>
      </c>
      <c r="G1910" s="32">
        <f t="shared" si="293"/>
        <v>2.0665800000000001</v>
      </c>
      <c r="H1910" s="33">
        <f t="shared" si="285"/>
        <v>1.071532247979577E-8</v>
      </c>
      <c r="K1910" t="str">
        <f xml:space="preserve"> B1905 &amp; B1910</f>
        <v>Z000157024Z020201001</v>
      </c>
    </row>
    <row r="1911" spans="1:11" outlineLevel="1" x14ac:dyDescent="0.2">
      <c r="A1911" s="29"/>
      <c r="B1911" s="30" t="s">
        <v>4987</v>
      </c>
      <c r="C1911" s="30" t="s">
        <v>4988</v>
      </c>
      <c r="D1911" s="34" t="s">
        <v>153</v>
      </c>
      <c r="E1911" s="31">
        <v>0.29370000000000002</v>
      </c>
      <c r="F1911" s="31">
        <v>1420</v>
      </c>
      <c r="G1911" s="32">
        <f t="shared" si="293"/>
        <v>417.05400000000003</v>
      </c>
      <c r="H1911" s="33">
        <f t="shared" si="285"/>
        <v>2.1624462162068465E-6</v>
      </c>
      <c r="K1911" t="str">
        <f xml:space="preserve"> B1905 &amp; B1911</f>
        <v>Z000157024Z020412005</v>
      </c>
    </row>
    <row r="1912" spans="1:11" outlineLevel="1" x14ac:dyDescent="0.2">
      <c r="A1912" s="29"/>
      <c r="B1912" s="30" t="s">
        <v>946</v>
      </c>
      <c r="C1912" s="30" t="s">
        <v>1695</v>
      </c>
      <c r="D1912" s="34" t="s">
        <v>84</v>
      </c>
      <c r="E1912" s="31">
        <v>0.29370000000000002</v>
      </c>
      <c r="F1912" s="31">
        <v>40</v>
      </c>
      <c r="G1912" s="32">
        <f t="shared" si="293"/>
        <v>11.748000000000001</v>
      </c>
      <c r="H1912" s="33">
        <f t="shared" si="285"/>
        <v>6.0913977921319624E-8</v>
      </c>
      <c r="K1912" t="str">
        <f xml:space="preserve"> B1905 &amp; B1912</f>
        <v>Z000157024Z060101023</v>
      </c>
    </row>
    <row r="1913" spans="1:11" outlineLevel="1" x14ac:dyDescent="0.2">
      <c r="A1913" s="29"/>
      <c r="B1913" s="30" t="s">
        <v>884</v>
      </c>
      <c r="C1913" s="30" t="s">
        <v>3498</v>
      </c>
      <c r="D1913" s="34" t="s">
        <v>1819</v>
      </c>
      <c r="E1913" s="31">
        <v>5.34</v>
      </c>
      <c r="F1913" s="31">
        <v>30</v>
      </c>
      <c r="G1913" s="32">
        <f t="shared" si="293"/>
        <v>160.19999999999999</v>
      </c>
      <c r="H1913" s="33">
        <f t="shared" si="285"/>
        <v>8.3064515347254024E-7</v>
      </c>
      <c r="K1913" t="str">
        <f xml:space="preserve"> B1905 &amp; B1913</f>
        <v>Z000157024Z040308012</v>
      </c>
    </row>
    <row r="1914" spans="1:11" outlineLevel="1" x14ac:dyDescent="0.2">
      <c r="A1914" s="11" t="s">
        <v>734</v>
      </c>
      <c r="B1914" s="11" t="s">
        <v>605</v>
      </c>
      <c r="C1914" s="11" t="s">
        <v>3847</v>
      </c>
      <c r="D1914" s="12" t="s">
        <v>153</v>
      </c>
      <c r="E1914" s="13">
        <v>16.04</v>
      </c>
      <c r="F1914" s="14">
        <v>206.886</v>
      </c>
      <c r="G1914" s="15">
        <f>SUM(G1915:G1922)</f>
        <v>3318.4514399999998</v>
      </c>
      <c r="H1914" s="16">
        <f t="shared" si="285"/>
        <v>1.720633961092367E-5</v>
      </c>
    </row>
    <row r="1915" spans="1:11" outlineLevel="1" x14ac:dyDescent="0.2">
      <c r="A1915" s="29"/>
      <c r="B1915" s="30" t="s">
        <v>853</v>
      </c>
      <c r="C1915" s="30" t="s">
        <v>980</v>
      </c>
      <c r="D1915" s="34" t="s">
        <v>1052</v>
      </c>
      <c r="E1915" s="31">
        <v>20.691600000000001</v>
      </c>
      <c r="F1915" s="31">
        <v>0.9</v>
      </c>
      <c r="G1915" s="32">
        <f t="shared" ref="G1915:G1922" si="294">F1915*E1915</f>
        <v>18.622440000000001</v>
      </c>
      <c r="H1915" s="33">
        <f t="shared" si="285"/>
        <v>9.6558299199957383E-8</v>
      </c>
      <c r="K1915" t="str">
        <f xml:space="preserve"> B1914 &amp; B1915</f>
        <v>Z000167050Z020201001</v>
      </c>
    </row>
    <row r="1916" spans="1:11" outlineLevel="1" x14ac:dyDescent="0.2">
      <c r="A1916" s="29"/>
      <c r="B1916" s="30" t="s">
        <v>302</v>
      </c>
      <c r="C1916" s="30" t="s">
        <v>3852</v>
      </c>
      <c r="D1916" s="34" t="s">
        <v>1152</v>
      </c>
      <c r="E1916" s="31">
        <v>2.6465999999999998</v>
      </c>
      <c r="F1916" s="31">
        <v>1000</v>
      </c>
      <c r="G1916" s="32">
        <f t="shared" si="294"/>
        <v>2646.6</v>
      </c>
      <c r="H1916" s="33">
        <f t="shared" si="285"/>
        <v>1.3722755700252341E-5</v>
      </c>
      <c r="K1916" t="str">
        <f xml:space="preserve"> B1914 &amp; B1916</f>
        <v>Z000167050Z020403015</v>
      </c>
    </row>
    <row r="1917" spans="1:11" outlineLevel="1" x14ac:dyDescent="0.2">
      <c r="A1917" s="29"/>
      <c r="B1917" s="30" t="s">
        <v>1006</v>
      </c>
      <c r="C1917" s="30" t="s">
        <v>699</v>
      </c>
      <c r="D1917" s="34" t="s">
        <v>151</v>
      </c>
      <c r="E1917" s="31">
        <v>0</v>
      </c>
      <c r="F1917" s="31">
        <v>28.988</v>
      </c>
      <c r="G1917" s="32">
        <f t="shared" si="294"/>
        <v>0</v>
      </c>
      <c r="H1917" s="33">
        <f t="shared" si="285"/>
        <v>0</v>
      </c>
      <c r="K1917" t="str">
        <f xml:space="preserve"> B1914 &amp; B1917</f>
        <v>Z000167050Z040201011</v>
      </c>
    </row>
    <row r="1918" spans="1:11" outlineLevel="1" x14ac:dyDescent="0.2">
      <c r="A1918" s="29"/>
      <c r="B1918" s="30" t="s">
        <v>801</v>
      </c>
      <c r="C1918" s="30" t="s">
        <v>402</v>
      </c>
      <c r="D1918" s="34" t="s">
        <v>151</v>
      </c>
      <c r="E1918" s="31">
        <v>0</v>
      </c>
      <c r="F1918" s="31">
        <v>10.3</v>
      </c>
      <c r="G1918" s="32">
        <f t="shared" si="294"/>
        <v>0</v>
      </c>
      <c r="H1918" s="33">
        <f t="shared" si="285"/>
        <v>0</v>
      </c>
      <c r="K1918" t="str">
        <f xml:space="preserve"> B1914 &amp; B1918</f>
        <v>Z000167050Z040202006</v>
      </c>
    </row>
    <row r="1919" spans="1:11" outlineLevel="1" x14ac:dyDescent="0.2">
      <c r="A1919" s="29"/>
      <c r="B1919" s="30" t="s">
        <v>824</v>
      </c>
      <c r="C1919" s="30" t="s">
        <v>3418</v>
      </c>
      <c r="D1919" s="34" t="s">
        <v>1152</v>
      </c>
      <c r="E1919" s="31">
        <v>2.6465999999999998</v>
      </c>
      <c r="F1919" s="31">
        <v>25</v>
      </c>
      <c r="G1919" s="32">
        <f t="shared" si="294"/>
        <v>66.164999999999992</v>
      </c>
      <c r="H1919" s="33">
        <f t="shared" si="285"/>
        <v>3.4306889250630851E-7</v>
      </c>
      <c r="K1919" t="str">
        <f xml:space="preserve"> B1914 &amp; B1919</f>
        <v>Z000167050Z040308001</v>
      </c>
    </row>
    <row r="1920" spans="1:11" outlineLevel="1" x14ac:dyDescent="0.2">
      <c r="A1920" s="29"/>
      <c r="B1920" s="30" t="s">
        <v>890</v>
      </c>
      <c r="C1920" s="30" t="s">
        <v>3487</v>
      </c>
      <c r="D1920" s="34" t="s">
        <v>153</v>
      </c>
      <c r="E1920" s="31">
        <v>16.04</v>
      </c>
      <c r="F1920" s="31">
        <v>30</v>
      </c>
      <c r="G1920" s="32">
        <f t="shared" si="294"/>
        <v>481.2</v>
      </c>
      <c r="H1920" s="33">
        <f t="shared" si="285"/>
        <v>2.4950464909549709E-6</v>
      </c>
      <c r="K1920" t="str">
        <f xml:space="preserve"> B1914 &amp; B1920</f>
        <v>Z000167050Z040308014</v>
      </c>
    </row>
    <row r="1921" spans="1:11" outlineLevel="1" x14ac:dyDescent="0.2">
      <c r="A1921" s="29"/>
      <c r="B1921" s="30" t="s">
        <v>498</v>
      </c>
      <c r="C1921" s="30" t="s">
        <v>773</v>
      </c>
      <c r="D1921" s="34" t="s">
        <v>84</v>
      </c>
      <c r="E1921" s="31">
        <v>19.247999999999998</v>
      </c>
      <c r="F1921" s="31">
        <v>0</v>
      </c>
      <c r="G1921" s="32">
        <f t="shared" si="294"/>
        <v>0</v>
      </c>
      <c r="H1921" s="33">
        <f t="shared" si="285"/>
        <v>0</v>
      </c>
      <c r="K1921" t="str">
        <f xml:space="preserve"> B1914 &amp; B1921</f>
        <v>Z000167050Z040401001</v>
      </c>
    </row>
    <row r="1922" spans="1:11" outlineLevel="1" x14ac:dyDescent="0.2">
      <c r="A1922" s="29"/>
      <c r="B1922" s="30" t="s">
        <v>946</v>
      </c>
      <c r="C1922" s="30" t="s">
        <v>1695</v>
      </c>
      <c r="D1922" s="34" t="s">
        <v>1819</v>
      </c>
      <c r="E1922" s="31">
        <v>2.6465999999999998</v>
      </c>
      <c r="F1922" s="31">
        <v>40</v>
      </c>
      <c r="G1922" s="32">
        <f t="shared" si="294"/>
        <v>105.86399999999999</v>
      </c>
      <c r="H1922" s="33">
        <f t="shared" si="285"/>
        <v>5.4891022801009355E-7</v>
      </c>
      <c r="K1922" t="str">
        <f xml:space="preserve"> B1914 &amp; B1922</f>
        <v>Z000167050Z060101023</v>
      </c>
    </row>
    <row r="1923" spans="1:11" outlineLevel="1" x14ac:dyDescent="0.2">
      <c r="A1923" s="11" t="s">
        <v>738</v>
      </c>
      <c r="B1923" s="11" t="s">
        <v>620</v>
      </c>
      <c r="C1923" s="11" t="s">
        <v>3867</v>
      </c>
      <c r="D1923" s="12" t="s">
        <v>153</v>
      </c>
      <c r="E1923" s="13">
        <v>193.16</v>
      </c>
      <c r="F1923" s="14">
        <v>195.44799999999998</v>
      </c>
      <c r="G1923" s="15">
        <f>SUM(G1924:G1931)</f>
        <v>37752.735679999998</v>
      </c>
      <c r="H1923" s="16">
        <f t="shared" ref="H1923:H1994" si="295">G1923/$F$2</f>
        <v>1.9574985594832613E-4</v>
      </c>
    </row>
    <row r="1924" spans="1:11" outlineLevel="1" x14ac:dyDescent="0.2">
      <c r="A1924" s="29"/>
      <c r="B1924" s="30" t="s">
        <v>853</v>
      </c>
      <c r="C1924" s="30" t="s">
        <v>980</v>
      </c>
      <c r="D1924" s="34" t="s">
        <v>1052</v>
      </c>
      <c r="E1924" s="31">
        <v>332.23519999999996</v>
      </c>
      <c r="F1924" s="31">
        <v>0.9</v>
      </c>
      <c r="G1924" s="32">
        <f t="shared" ref="G1924:G1931" si="296">F1924*E1924</f>
        <v>299.01167999999996</v>
      </c>
      <c r="H1924" s="33">
        <f t="shared" si="295"/>
        <v>1.5503907791740453E-6</v>
      </c>
      <c r="K1924" t="str">
        <f xml:space="preserve"> B1923 &amp; B1924</f>
        <v>Z000167056Z020201001</v>
      </c>
    </row>
    <row r="1925" spans="1:11" outlineLevel="1" x14ac:dyDescent="0.2">
      <c r="A1925" s="29"/>
      <c r="B1925" s="30" t="s">
        <v>308</v>
      </c>
      <c r="C1925" s="30" t="s">
        <v>3868</v>
      </c>
      <c r="D1925" s="34" t="s">
        <v>1152</v>
      </c>
      <c r="E1925" s="31">
        <v>42.495199999999997</v>
      </c>
      <c r="F1925" s="31">
        <v>680</v>
      </c>
      <c r="G1925" s="32">
        <f t="shared" si="296"/>
        <v>28896.735999999997</v>
      </c>
      <c r="H1925" s="33">
        <f t="shared" si="295"/>
        <v>1.4983104687625142E-4</v>
      </c>
      <c r="K1925" t="str">
        <f xml:space="preserve"> B1923 &amp; B1925</f>
        <v>Z000167056Z020403016</v>
      </c>
    </row>
    <row r="1926" spans="1:11" outlineLevel="1" x14ac:dyDescent="0.2">
      <c r="A1926" s="29"/>
      <c r="B1926" s="30" t="s">
        <v>1006</v>
      </c>
      <c r="C1926" s="30" t="s">
        <v>699</v>
      </c>
      <c r="D1926" s="34" t="s">
        <v>151</v>
      </c>
      <c r="E1926" s="31">
        <v>0</v>
      </c>
      <c r="F1926" s="31">
        <v>28.988</v>
      </c>
      <c r="G1926" s="32">
        <f t="shared" si="296"/>
        <v>0</v>
      </c>
      <c r="H1926" s="33">
        <f t="shared" si="295"/>
        <v>0</v>
      </c>
      <c r="K1926" t="str">
        <f xml:space="preserve"> B1923 &amp; B1926</f>
        <v>Z000167056Z040201011</v>
      </c>
    </row>
    <row r="1927" spans="1:11" outlineLevel="1" x14ac:dyDescent="0.2">
      <c r="A1927" s="29"/>
      <c r="B1927" s="30" t="s">
        <v>801</v>
      </c>
      <c r="C1927" s="30" t="s">
        <v>402</v>
      </c>
      <c r="D1927" s="34" t="s">
        <v>151</v>
      </c>
      <c r="E1927" s="31">
        <v>0</v>
      </c>
      <c r="F1927" s="31">
        <v>10.3</v>
      </c>
      <c r="G1927" s="32">
        <f t="shared" si="296"/>
        <v>0</v>
      </c>
      <c r="H1927" s="33">
        <f t="shared" si="295"/>
        <v>0</v>
      </c>
      <c r="K1927" t="str">
        <f xml:space="preserve"> B1923 &amp; B1927</f>
        <v>Z000167056Z040202006</v>
      </c>
    </row>
    <row r="1928" spans="1:11" outlineLevel="1" x14ac:dyDescent="0.2">
      <c r="A1928" s="29"/>
      <c r="B1928" s="30" t="s">
        <v>824</v>
      </c>
      <c r="C1928" s="30" t="s">
        <v>3418</v>
      </c>
      <c r="D1928" s="34" t="s">
        <v>1152</v>
      </c>
      <c r="E1928" s="31">
        <v>42.495199999999997</v>
      </c>
      <c r="F1928" s="31">
        <v>25</v>
      </c>
      <c r="G1928" s="32">
        <f t="shared" si="296"/>
        <v>1062.3799999999999</v>
      </c>
      <c r="H1928" s="33">
        <f t="shared" si="295"/>
        <v>5.5084943704504195E-6</v>
      </c>
      <c r="K1928" t="str">
        <f xml:space="preserve"> B1923 &amp; B1928</f>
        <v>Z000167056Z040308001</v>
      </c>
    </row>
    <row r="1929" spans="1:11" outlineLevel="1" x14ac:dyDescent="0.2">
      <c r="A1929" s="29"/>
      <c r="B1929" s="30" t="s">
        <v>890</v>
      </c>
      <c r="C1929" s="30" t="s">
        <v>3487</v>
      </c>
      <c r="D1929" s="34" t="s">
        <v>153</v>
      </c>
      <c r="E1929" s="31">
        <v>193.16</v>
      </c>
      <c r="F1929" s="31">
        <v>30</v>
      </c>
      <c r="G1929" s="32">
        <f t="shared" si="296"/>
        <v>5794.8</v>
      </c>
      <c r="H1929" s="33">
        <f t="shared" si="295"/>
        <v>3.0046332929729565E-5</v>
      </c>
      <c r="K1929" t="str">
        <f xml:space="preserve"> B1923 &amp; B1929</f>
        <v>Z000167056Z040308014</v>
      </c>
    </row>
    <row r="1930" spans="1:11" outlineLevel="1" x14ac:dyDescent="0.2">
      <c r="A1930" s="29"/>
      <c r="B1930" s="30" t="s">
        <v>498</v>
      </c>
      <c r="C1930" s="30" t="s">
        <v>773</v>
      </c>
      <c r="D1930" s="34" t="s">
        <v>84</v>
      </c>
      <c r="E1930" s="31">
        <v>231.79199999999997</v>
      </c>
      <c r="F1930" s="31">
        <v>0</v>
      </c>
      <c r="G1930" s="32">
        <f t="shared" si="296"/>
        <v>0</v>
      </c>
      <c r="H1930" s="33">
        <f t="shared" si="295"/>
        <v>0</v>
      </c>
      <c r="K1930" t="str">
        <f xml:space="preserve"> B1923 &amp; B1930</f>
        <v>Z000167056Z040401001</v>
      </c>
    </row>
    <row r="1931" spans="1:11" outlineLevel="1" x14ac:dyDescent="0.2">
      <c r="A1931" s="29"/>
      <c r="B1931" s="30" t="s">
        <v>946</v>
      </c>
      <c r="C1931" s="30" t="s">
        <v>1695</v>
      </c>
      <c r="D1931" s="34" t="s">
        <v>1819</v>
      </c>
      <c r="E1931" s="31">
        <v>42.495199999999997</v>
      </c>
      <c r="F1931" s="31">
        <v>40</v>
      </c>
      <c r="G1931" s="32">
        <f t="shared" si="296"/>
        <v>1699.808</v>
      </c>
      <c r="H1931" s="33">
        <f t="shared" si="295"/>
        <v>8.8135909927206719E-6</v>
      </c>
      <c r="K1931" t="str">
        <f xml:space="preserve"> B1923 &amp; B1931</f>
        <v>Z000167056Z060101023</v>
      </c>
    </row>
    <row r="1932" spans="1:11" outlineLevel="1" x14ac:dyDescent="0.2">
      <c r="A1932" s="11" t="s">
        <v>741</v>
      </c>
      <c r="B1932" s="11" t="s">
        <v>5095</v>
      </c>
      <c r="C1932" s="11" t="s">
        <v>5097</v>
      </c>
      <c r="D1932" s="12" t="s">
        <v>153</v>
      </c>
      <c r="E1932" s="13">
        <v>10.83</v>
      </c>
      <c r="F1932" s="14">
        <v>1316.2088160000001</v>
      </c>
      <c r="G1932" s="15">
        <f>SUM(G1933:G1943)</f>
        <v>14254.541477280001</v>
      </c>
      <c r="H1932" s="16">
        <f t="shared" si="295"/>
        <v>7.3910523052908469E-5</v>
      </c>
    </row>
    <row r="1933" spans="1:11" outlineLevel="1" x14ac:dyDescent="0.2">
      <c r="A1933" s="29"/>
      <c r="B1933" s="30" t="s">
        <v>946</v>
      </c>
      <c r="C1933" s="30" t="s">
        <v>1695</v>
      </c>
      <c r="D1933" s="34" t="s">
        <v>1052</v>
      </c>
      <c r="E1933" s="31">
        <v>11.371500000000001</v>
      </c>
      <c r="F1933" s="31">
        <v>40</v>
      </c>
      <c r="G1933" s="32">
        <f t="shared" ref="G1933:G1940" si="297">F1933*E1933</f>
        <v>454.86</v>
      </c>
      <c r="H1933" s="33">
        <f t="shared" si="295"/>
        <v>2.3584722503652913E-6</v>
      </c>
      <c r="K1933" t="str">
        <f xml:space="preserve"> B1932 &amp; B1933</f>
        <v>Z000165018Z060101023</v>
      </c>
    </row>
    <row r="1934" spans="1:11" outlineLevel="1" x14ac:dyDescent="0.2">
      <c r="A1934" s="29"/>
      <c r="B1934" s="30" t="s">
        <v>518</v>
      </c>
      <c r="C1934" s="30" t="s">
        <v>3457</v>
      </c>
      <c r="D1934" s="34" t="s">
        <v>1152</v>
      </c>
      <c r="E1934" s="31">
        <v>140.79</v>
      </c>
      <c r="F1934" s="31">
        <v>16.86</v>
      </c>
      <c r="G1934" s="32">
        <f t="shared" si="297"/>
        <v>2373.7194</v>
      </c>
      <c r="H1934" s="33">
        <f t="shared" si="295"/>
        <v>1.230785590083487E-5</v>
      </c>
      <c r="K1934" t="str">
        <f xml:space="preserve"> B1932 &amp; B1934</f>
        <v>Z000165018Z030204001</v>
      </c>
    </row>
    <row r="1935" spans="1:11" outlineLevel="1" x14ac:dyDescent="0.2">
      <c r="A1935" s="29"/>
      <c r="B1935" s="30" t="s">
        <v>5099</v>
      </c>
      <c r="C1935" s="30" t="s">
        <v>5100</v>
      </c>
      <c r="D1935" s="34" t="s">
        <v>151</v>
      </c>
      <c r="E1935" s="31">
        <v>11.371500000000001</v>
      </c>
      <c r="F1935" s="31">
        <v>545</v>
      </c>
      <c r="G1935" s="32">
        <f t="shared" si="297"/>
        <v>6197.4675000000007</v>
      </c>
      <c r="H1935" s="33">
        <f t="shared" si="295"/>
        <v>3.2134184411227101E-5</v>
      </c>
      <c r="K1935" t="str">
        <f xml:space="preserve"> B1932 &amp; B1935</f>
        <v>Z000165018Z020401009</v>
      </c>
    </row>
    <row r="1936" spans="1:11" outlineLevel="1" x14ac:dyDescent="0.2">
      <c r="A1936" s="29"/>
      <c r="B1936" s="30" t="s">
        <v>637</v>
      </c>
      <c r="C1936" s="30" t="s">
        <v>1256</v>
      </c>
      <c r="D1936" s="34" t="s">
        <v>151</v>
      </c>
      <c r="E1936" s="31">
        <v>13.876479000000002</v>
      </c>
      <c r="F1936" s="31">
        <v>35</v>
      </c>
      <c r="G1936" s="32">
        <f t="shared" si="297"/>
        <v>485.67676500000005</v>
      </c>
      <c r="H1936" s="33">
        <f t="shared" si="295"/>
        <v>2.5182587453275399E-6</v>
      </c>
      <c r="K1936" t="str">
        <f xml:space="preserve"> B1932 &amp; B1936</f>
        <v>Z000165018Z030203008</v>
      </c>
    </row>
    <row r="1937" spans="1:11" outlineLevel="1" x14ac:dyDescent="0.2">
      <c r="A1937" s="29"/>
      <c r="B1937" s="30" t="s">
        <v>708</v>
      </c>
      <c r="C1937" s="30" t="s">
        <v>865</v>
      </c>
      <c r="D1937" s="34" t="s">
        <v>1152</v>
      </c>
      <c r="E1937" s="31">
        <v>0.55557899999999993</v>
      </c>
      <c r="F1937" s="31">
        <v>13.32</v>
      </c>
      <c r="G1937" s="32">
        <f t="shared" si="297"/>
        <v>7.4003122799999996</v>
      </c>
      <c r="H1937" s="33">
        <f t="shared" si="295"/>
        <v>3.8370995815014508E-8</v>
      </c>
      <c r="K1937" t="str">
        <f xml:space="preserve"> B1932 &amp; B1937</f>
        <v>Z000165018Z020202002</v>
      </c>
    </row>
    <row r="1938" spans="1:11" outlineLevel="1" x14ac:dyDescent="0.2">
      <c r="A1938" s="29"/>
      <c r="B1938" s="30" t="s">
        <v>1006</v>
      </c>
      <c r="C1938" s="30" t="s">
        <v>699</v>
      </c>
      <c r="D1938" s="34" t="s">
        <v>153</v>
      </c>
      <c r="E1938" s="31">
        <v>0</v>
      </c>
      <c r="F1938" s="31">
        <v>28.988</v>
      </c>
      <c r="G1938" s="32">
        <f t="shared" si="297"/>
        <v>0</v>
      </c>
      <c r="H1938" s="33">
        <f t="shared" si="295"/>
        <v>0</v>
      </c>
      <c r="K1938" t="str">
        <f xml:space="preserve"> B1932 &amp; B1938</f>
        <v>Z000165018Z040201011</v>
      </c>
    </row>
    <row r="1939" spans="1:11" outlineLevel="1" x14ac:dyDescent="0.2">
      <c r="A1939" s="29"/>
      <c r="B1939" s="30" t="s">
        <v>498</v>
      </c>
      <c r="C1939" s="30" t="s">
        <v>773</v>
      </c>
      <c r="D1939" s="34" t="s">
        <v>84</v>
      </c>
      <c r="E1939" s="31">
        <v>12.996</v>
      </c>
      <c r="F1939" s="31">
        <v>0</v>
      </c>
      <c r="G1939" s="32">
        <f t="shared" si="297"/>
        <v>0</v>
      </c>
      <c r="H1939" s="33">
        <f t="shared" si="295"/>
        <v>0</v>
      </c>
      <c r="K1939" t="str">
        <f xml:space="preserve"> B1932 &amp; B1939</f>
        <v>Z000165018Z040401001</v>
      </c>
    </row>
    <row r="1940" spans="1:11" outlineLevel="1" x14ac:dyDescent="0.2">
      <c r="A1940" s="29"/>
      <c r="B1940" s="30" t="s">
        <v>824</v>
      </c>
      <c r="C1940" s="30" t="s">
        <v>3418</v>
      </c>
      <c r="D1940" s="34" t="s">
        <v>1819</v>
      </c>
      <c r="E1940" s="31">
        <v>11.371500000000001</v>
      </c>
      <c r="F1940" s="31">
        <v>25</v>
      </c>
      <c r="G1940" s="32">
        <f t="shared" si="297"/>
        <v>284.28750000000002</v>
      </c>
      <c r="H1940" s="33">
        <f t="shared" si="295"/>
        <v>1.4740451564783071E-6</v>
      </c>
      <c r="K1940" t="str">
        <f xml:space="preserve"> B1932 &amp; B1940</f>
        <v>Z000165018Z040308001</v>
      </c>
    </row>
    <row r="1941" spans="1:11" outlineLevel="1" x14ac:dyDescent="0.2">
      <c r="A1941" s="29"/>
      <c r="B1941" s="30" t="s">
        <v>877</v>
      </c>
      <c r="C1941" s="30" t="s">
        <v>2332</v>
      </c>
      <c r="D1941" s="34" t="s">
        <v>1819</v>
      </c>
      <c r="E1941" s="31">
        <v>216.6</v>
      </c>
      <c r="F1941" s="31">
        <v>0.55000000000000004</v>
      </c>
      <c r="G1941" s="32">
        <f t="shared" ref="G1941:G1943" si="298">F1941*E1941</f>
        <v>119.13000000000001</v>
      </c>
      <c r="H1941" s="33">
        <f t="shared" ref="H1941:H1943" si="299">G1941/$F$2</f>
        <v>6.1769511319090967E-7</v>
      </c>
      <c r="K1941" t="str">
        <f xml:space="preserve"> B1932 &amp; B1941</f>
        <v>Z000165018Z030201001</v>
      </c>
    </row>
    <row r="1942" spans="1:11" outlineLevel="1" x14ac:dyDescent="0.2">
      <c r="A1942" s="29"/>
      <c r="B1942" s="30" t="s">
        <v>801</v>
      </c>
      <c r="C1942" s="30" t="s">
        <v>402</v>
      </c>
      <c r="D1942" s="34" t="s">
        <v>1819</v>
      </c>
      <c r="E1942" s="31">
        <v>0</v>
      </c>
      <c r="F1942" s="31">
        <v>10.3</v>
      </c>
      <c r="G1942" s="32">
        <f t="shared" si="298"/>
        <v>0</v>
      </c>
      <c r="H1942" s="33">
        <f t="shared" si="299"/>
        <v>0</v>
      </c>
      <c r="K1942" t="str">
        <f xml:space="preserve"> B1932 &amp; B1942</f>
        <v>Z000165018Z040202006</v>
      </c>
    </row>
    <row r="1943" spans="1:11" outlineLevel="1" x14ac:dyDescent="0.2">
      <c r="A1943" s="29"/>
      <c r="B1943" s="30" t="s">
        <v>1039</v>
      </c>
      <c r="C1943" s="30" t="s">
        <v>3462</v>
      </c>
      <c r="D1943" s="34" t="s">
        <v>1819</v>
      </c>
      <c r="E1943" s="31">
        <v>10.83</v>
      </c>
      <c r="F1943" s="31">
        <v>400</v>
      </c>
      <c r="G1943" s="32">
        <f t="shared" si="298"/>
        <v>4332</v>
      </c>
      <c r="H1943" s="33">
        <f t="shared" si="299"/>
        <v>2.246164047966944E-5</v>
      </c>
      <c r="K1943" t="str">
        <f xml:space="preserve"> B1932 &amp; B1943</f>
        <v>Z000165018Z040308032</v>
      </c>
    </row>
    <row r="1944" spans="1:11" outlineLevel="1" x14ac:dyDescent="0.2">
      <c r="A1944" s="11" t="s">
        <v>745</v>
      </c>
      <c r="B1944" s="11" t="s">
        <v>5123</v>
      </c>
      <c r="C1944" s="11" t="s">
        <v>5125</v>
      </c>
      <c r="D1944" s="12" t="s">
        <v>1152</v>
      </c>
      <c r="E1944" s="13">
        <v>27.1</v>
      </c>
      <c r="F1944" s="14">
        <v>1806.4320779999998</v>
      </c>
      <c r="G1944" s="15">
        <f>SUM(G1945:G1956)</f>
        <v>48954.309313799997</v>
      </c>
      <c r="H1944" s="16">
        <f t="shared" si="295"/>
        <v>2.5383058535020979E-4</v>
      </c>
    </row>
    <row r="1945" spans="1:11" outlineLevel="1" x14ac:dyDescent="0.2">
      <c r="A1945" s="29"/>
      <c r="B1945" s="30" t="s">
        <v>801</v>
      </c>
      <c r="C1945" s="30" t="s">
        <v>402</v>
      </c>
      <c r="D1945" s="34" t="s">
        <v>1052</v>
      </c>
      <c r="E1945" s="31">
        <v>0</v>
      </c>
      <c r="F1945" s="31">
        <v>10.3</v>
      </c>
      <c r="G1945" s="32">
        <f t="shared" ref="G1945:G1952" si="300">F1945*E1945</f>
        <v>0</v>
      </c>
      <c r="H1945" s="33">
        <f t="shared" si="295"/>
        <v>0</v>
      </c>
      <c r="K1945" t="str">
        <f xml:space="preserve"> B1944 &amp; B1945</f>
        <v>Z000166012Z040202006</v>
      </c>
    </row>
    <row r="1946" spans="1:11" outlineLevel="1" x14ac:dyDescent="0.2">
      <c r="A1946" s="29"/>
      <c r="B1946" s="30" t="s">
        <v>877</v>
      </c>
      <c r="C1946" s="30" t="s">
        <v>2332</v>
      </c>
      <c r="D1946" s="34" t="s">
        <v>1152</v>
      </c>
      <c r="E1946" s="31">
        <v>542</v>
      </c>
      <c r="F1946" s="31">
        <v>0.55000000000000004</v>
      </c>
      <c r="G1946" s="32">
        <f t="shared" si="300"/>
        <v>298.10000000000002</v>
      </c>
      <c r="H1946" s="33">
        <f t="shared" si="295"/>
        <v>1.5456636719735597E-6</v>
      </c>
      <c r="K1946" t="str">
        <f xml:space="preserve"> B1944 &amp; B1946</f>
        <v>Z000166012Z030201001</v>
      </c>
    </row>
    <row r="1947" spans="1:11" outlineLevel="1" x14ac:dyDescent="0.2">
      <c r="A1947" s="29"/>
      <c r="B1947" s="30" t="s">
        <v>824</v>
      </c>
      <c r="C1947" s="30" t="s">
        <v>3418</v>
      </c>
      <c r="D1947" s="34" t="s">
        <v>151</v>
      </c>
      <c r="E1947" s="31">
        <v>28.455000000000002</v>
      </c>
      <c r="F1947" s="31">
        <v>25</v>
      </c>
      <c r="G1947" s="32">
        <f t="shared" si="300"/>
        <v>711.375</v>
      </c>
      <c r="H1947" s="33">
        <f t="shared" si="295"/>
        <v>3.6885155808459946E-6</v>
      </c>
      <c r="K1947" t="str">
        <f xml:space="preserve"> B1944 &amp; B1947</f>
        <v>Z000166012Z040308001</v>
      </c>
    </row>
    <row r="1948" spans="1:11" outlineLevel="1" x14ac:dyDescent="0.2">
      <c r="A1948" s="29"/>
      <c r="B1948" s="30" t="s">
        <v>498</v>
      </c>
      <c r="C1948" s="30" t="s">
        <v>773</v>
      </c>
      <c r="D1948" s="34" t="s">
        <v>151</v>
      </c>
      <c r="E1948" s="31">
        <v>32.520000000000003</v>
      </c>
      <c r="F1948" s="31">
        <v>0</v>
      </c>
      <c r="G1948" s="32">
        <f t="shared" si="300"/>
        <v>0</v>
      </c>
      <c r="H1948" s="33">
        <f t="shared" si="295"/>
        <v>0</v>
      </c>
      <c r="K1948" t="str">
        <f xml:space="preserve"> B1944 &amp; B1948</f>
        <v>Z000166012Z040401001</v>
      </c>
    </row>
    <row r="1949" spans="1:11" outlineLevel="1" x14ac:dyDescent="0.2">
      <c r="A1949" s="29"/>
      <c r="B1949" s="30" t="s">
        <v>1006</v>
      </c>
      <c r="C1949" s="30" t="s">
        <v>699</v>
      </c>
      <c r="D1949" s="34" t="s">
        <v>1152</v>
      </c>
      <c r="E1949" s="31">
        <v>0</v>
      </c>
      <c r="F1949" s="31">
        <v>28.988</v>
      </c>
      <c r="G1949" s="32">
        <f t="shared" si="300"/>
        <v>0</v>
      </c>
      <c r="H1949" s="33">
        <f t="shared" si="295"/>
        <v>0</v>
      </c>
      <c r="K1949" t="str">
        <f xml:space="preserve"> B1944 &amp; B1949</f>
        <v>Z000166012Z040201011</v>
      </c>
    </row>
    <row r="1950" spans="1:11" outlineLevel="1" x14ac:dyDescent="0.2">
      <c r="A1950" s="29"/>
      <c r="B1950" s="30" t="s">
        <v>708</v>
      </c>
      <c r="C1950" s="30" t="s">
        <v>865</v>
      </c>
      <c r="D1950" s="34" t="s">
        <v>1152</v>
      </c>
      <c r="E1950" s="31">
        <v>1.3902300000000001</v>
      </c>
      <c r="F1950" s="31">
        <v>13.32</v>
      </c>
      <c r="G1950" s="32">
        <f t="shared" si="300"/>
        <v>18.517863600000002</v>
      </c>
      <c r="H1950" s="33">
        <f t="shared" si="295"/>
        <v>9.6016065243480456E-8</v>
      </c>
      <c r="K1950" t="str">
        <f xml:space="preserve"> B1944 &amp; B1950</f>
        <v>Z000166012Z020202002</v>
      </c>
    </row>
    <row r="1951" spans="1:11" outlineLevel="1" x14ac:dyDescent="0.2">
      <c r="A1951" s="29"/>
      <c r="B1951" s="30" t="s">
        <v>826</v>
      </c>
      <c r="C1951" s="30" t="s">
        <v>586</v>
      </c>
      <c r="D1951" s="34" t="s">
        <v>84</v>
      </c>
      <c r="E1951" s="31">
        <v>27.1</v>
      </c>
      <c r="F1951" s="31">
        <v>276.7527</v>
      </c>
      <c r="G1951" s="32">
        <f t="shared" si="300"/>
        <v>7499.9981700000008</v>
      </c>
      <c r="H1951" s="33">
        <f t="shared" si="295"/>
        <v>3.8887872228236091E-5</v>
      </c>
      <c r="K1951" t="str">
        <f xml:space="preserve"> B1944 &amp; B1951</f>
        <v>Z000166012Z040308002</v>
      </c>
    </row>
    <row r="1952" spans="1:11" outlineLevel="1" x14ac:dyDescent="0.2">
      <c r="A1952" s="29"/>
      <c r="B1952" s="30" t="s">
        <v>637</v>
      </c>
      <c r="C1952" s="30" t="s">
        <v>1256</v>
      </c>
      <c r="D1952" s="34" t="s">
        <v>1819</v>
      </c>
      <c r="E1952" s="31">
        <v>34.723230000000008</v>
      </c>
      <c r="F1952" s="31">
        <v>35</v>
      </c>
      <c r="G1952" s="32">
        <f t="shared" si="300"/>
        <v>1215.3130500000002</v>
      </c>
      <c r="H1952" s="33">
        <f t="shared" si="295"/>
        <v>6.3014600183172979E-6</v>
      </c>
      <c r="K1952" t="str">
        <f xml:space="preserve"> B1944 &amp; B1952</f>
        <v>Z000166012Z030203008</v>
      </c>
    </row>
    <row r="1953" spans="1:11" outlineLevel="1" x14ac:dyDescent="0.2">
      <c r="A1953" s="29"/>
      <c r="B1953" s="30" t="s">
        <v>518</v>
      </c>
      <c r="C1953" s="30" t="s">
        <v>3457</v>
      </c>
      <c r="D1953" s="34" t="s">
        <v>1819</v>
      </c>
      <c r="E1953" s="31">
        <v>180.66757000000001</v>
      </c>
      <c r="F1953" s="31">
        <v>16.86</v>
      </c>
      <c r="G1953" s="32">
        <f t="shared" ref="G1953:G1956" si="301">F1953*E1953</f>
        <v>3046.0552302000001</v>
      </c>
      <c r="H1953" s="33">
        <f t="shared" ref="H1953:H1956" si="302">G1953/$F$2</f>
        <v>1.5793951399346525E-5</v>
      </c>
      <c r="K1953" t="str">
        <f xml:space="preserve"> $B$1944 &amp; B1953</f>
        <v>Z000166012Z030204001</v>
      </c>
    </row>
    <row r="1954" spans="1:11" outlineLevel="1" x14ac:dyDescent="0.2">
      <c r="A1954" s="29"/>
      <c r="B1954" s="30" t="s">
        <v>1038</v>
      </c>
      <c r="C1954" s="30" t="s">
        <v>3825</v>
      </c>
      <c r="D1954" s="34" t="s">
        <v>1819</v>
      </c>
      <c r="E1954" s="31">
        <v>27.1</v>
      </c>
      <c r="F1954" s="31">
        <v>400</v>
      </c>
      <c r="G1954" s="32">
        <f t="shared" si="301"/>
        <v>10840</v>
      </c>
      <c r="H1954" s="33">
        <f t="shared" si="302"/>
        <v>5.620595170812944E-5</v>
      </c>
      <c r="K1954" t="str">
        <f t="shared" ref="K1954:K1956" si="303" xml:space="preserve"> $B$1944 &amp; B1954</f>
        <v>Z000166012Z040308030</v>
      </c>
    </row>
    <row r="1955" spans="1:11" outlineLevel="1" x14ac:dyDescent="0.2">
      <c r="A1955" s="29"/>
      <c r="B1955" s="30" t="s">
        <v>946</v>
      </c>
      <c r="C1955" s="30" t="s">
        <v>1695</v>
      </c>
      <c r="D1955" s="34" t="s">
        <v>1819</v>
      </c>
      <c r="E1955" s="31">
        <v>28.455000000000002</v>
      </c>
      <c r="F1955" s="31">
        <v>40</v>
      </c>
      <c r="G1955" s="32">
        <f t="shared" si="301"/>
        <v>1138.2</v>
      </c>
      <c r="H1955" s="33">
        <f t="shared" si="302"/>
        <v>5.9016249293535919E-6</v>
      </c>
      <c r="K1955" t="str">
        <f t="shared" si="303"/>
        <v>Z000166012Z060101023</v>
      </c>
    </row>
    <row r="1956" spans="1:11" outlineLevel="1" x14ac:dyDescent="0.2">
      <c r="A1956" s="29"/>
      <c r="B1956" s="30" t="s">
        <v>5136</v>
      </c>
      <c r="C1956" s="30" t="s">
        <v>5137</v>
      </c>
      <c r="D1956" s="34" t="s">
        <v>1819</v>
      </c>
      <c r="E1956" s="31">
        <v>28.455000000000002</v>
      </c>
      <c r="F1956" s="31">
        <v>850</v>
      </c>
      <c r="G1956" s="32">
        <f t="shared" si="301"/>
        <v>24186.75</v>
      </c>
      <c r="H1956" s="33">
        <f t="shared" si="302"/>
        <v>1.2540952974876381E-4</v>
      </c>
      <c r="K1956" t="str">
        <f t="shared" si="303"/>
        <v>Z000166012Z020402010</v>
      </c>
    </row>
    <row r="1957" spans="1:11" outlineLevel="1" x14ac:dyDescent="0.2">
      <c r="A1957" s="11" t="s">
        <v>749</v>
      </c>
      <c r="B1957" s="11" t="s">
        <v>5166</v>
      </c>
      <c r="C1957" s="11" t="s">
        <v>5168</v>
      </c>
      <c r="D1957" s="12" t="s">
        <v>153</v>
      </c>
      <c r="E1957" s="13">
        <v>82.02</v>
      </c>
      <c r="F1957" s="14">
        <v>1431.0814999999998</v>
      </c>
      <c r="G1957" s="15">
        <f>SUM(G1958:G1965)</f>
        <v>117377.30462999998</v>
      </c>
      <c r="H1957" s="16">
        <f t="shared" si="295"/>
        <v>6.0860729849300532E-4</v>
      </c>
    </row>
    <row r="1958" spans="1:11" outlineLevel="1" x14ac:dyDescent="0.2">
      <c r="A1958" s="29"/>
      <c r="B1958" s="30" t="s">
        <v>946</v>
      </c>
      <c r="C1958" s="30" t="s">
        <v>1695</v>
      </c>
      <c r="D1958" s="34" t="s">
        <v>1052</v>
      </c>
      <c r="E1958" s="31">
        <v>86.120999999999995</v>
      </c>
      <c r="F1958" s="31">
        <v>40</v>
      </c>
      <c r="G1958" s="32">
        <f t="shared" ref="G1958:G1965" si="304">F1958*E1958</f>
        <v>3444.8399999999997</v>
      </c>
      <c r="H1958" s="33">
        <f t="shared" si="295"/>
        <v>1.786167072714323E-5</v>
      </c>
      <c r="K1958" t="str">
        <f xml:space="preserve"> B1957 &amp; B1958</f>
        <v>Z000169010Z060101023</v>
      </c>
    </row>
    <row r="1959" spans="1:11" outlineLevel="1" x14ac:dyDescent="0.2">
      <c r="A1959" s="29"/>
      <c r="B1959" s="30" t="s">
        <v>5169</v>
      </c>
      <c r="C1959" s="30" t="s">
        <v>5170</v>
      </c>
      <c r="D1959" s="34" t="s">
        <v>1152</v>
      </c>
      <c r="E1959" s="31">
        <v>86.120999999999995</v>
      </c>
      <c r="F1959" s="31">
        <v>850</v>
      </c>
      <c r="G1959" s="32">
        <f t="shared" si="304"/>
        <v>73202.849999999991</v>
      </c>
      <c r="H1959" s="33">
        <f t="shared" si="295"/>
        <v>3.7956050295179363E-4</v>
      </c>
      <c r="K1959" t="str">
        <f xml:space="preserve"> B1957 &amp; B1959</f>
        <v>Z000169010Z020409005</v>
      </c>
    </row>
    <row r="1960" spans="1:11" outlineLevel="1" x14ac:dyDescent="0.2">
      <c r="A1960" s="29"/>
      <c r="B1960" s="30" t="s">
        <v>975</v>
      </c>
      <c r="C1960" s="30" t="s">
        <v>3922</v>
      </c>
      <c r="D1960" s="34" t="s">
        <v>151</v>
      </c>
      <c r="E1960" s="31">
        <v>82.02</v>
      </c>
      <c r="F1960" s="31">
        <v>450</v>
      </c>
      <c r="G1960" s="32">
        <f t="shared" si="304"/>
        <v>36909</v>
      </c>
      <c r="H1960" s="33">
        <f t="shared" si="295"/>
        <v>1.9137504350510604E-4</v>
      </c>
      <c r="K1960" t="str">
        <f xml:space="preserve"> B1957 &amp; B1960</f>
        <v>Z000169010Z040308024</v>
      </c>
    </row>
    <row r="1961" spans="1:11" outlineLevel="1" x14ac:dyDescent="0.2">
      <c r="A1961" s="29"/>
      <c r="B1961" s="30" t="s">
        <v>637</v>
      </c>
      <c r="C1961" s="30" t="s">
        <v>1256</v>
      </c>
      <c r="D1961" s="34" t="s">
        <v>151</v>
      </c>
      <c r="E1961" s="31">
        <v>47.645417999999992</v>
      </c>
      <c r="F1961" s="31">
        <v>35</v>
      </c>
      <c r="G1961" s="32">
        <f t="shared" si="304"/>
        <v>1667.5896299999997</v>
      </c>
      <c r="H1961" s="33">
        <f t="shared" si="295"/>
        <v>8.6465371044979182E-6</v>
      </c>
      <c r="K1961" t="str">
        <f xml:space="preserve"> B1957 &amp; B1961</f>
        <v>Z000169010Z030203008</v>
      </c>
    </row>
    <row r="1962" spans="1:11" outlineLevel="1" x14ac:dyDescent="0.2">
      <c r="A1962" s="29"/>
      <c r="B1962" s="30" t="s">
        <v>1006</v>
      </c>
      <c r="C1962" s="30" t="s">
        <v>699</v>
      </c>
      <c r="D1962" s="34" t="s">
        <v>1152</v>
      </c>
      <c r="E1962" s="31">
        <v>0</v>
      </c>
      <c r="F1962" s="31">
        <v>28.988</v>
      </c>
      <c r="G1962" s="32">
        <f t="shared" si="304"/>
        <v>0</v>
      </c>
      <c r="H1962" s="33">
        <f t="shared" si="295"/>
        <v>0</v>
      </c>
      <c r="K1962" t="str">
        <f xml:space="preserve"> B1957 &amp; B1962</f>
        <v>Z000169010Z040201011</v>
      </c>
    </row>
    <row r="1963" spans="1:11" outlineLevel="1" x14ac:dyDescent="0.2">
      <c r="A1963" s="29"/>
      <c r="B1963" s="30" t="s">
        <v>498</v>
      </c>
      <c r="C1963" s="30" t="s">
        <v>773</v>
      </c>
      <c r="D1963" s="34" t="s">
        <v>153</v>
      </c>
      <c r="E1963" s="31">
        <v>98.423999999999992</v>
      </c>
      <c r="F1963" s="31">
        <v>0</v>
      </c>
      <c r="G1963" s="32">
        <f t="shared" si="304"/>
        <v>0</v>
      </c>
      <c r="H1963" s="33">
        <f t="shared" si="295"/>
        <v>0</v>
      </c>
      <c r="K1963" t="str">
        <f xml:space="preserve"> B1957 &amp; B1963</f>
        <v>Z000169010Z040401001</v>
      </c>
    </row>
    <row r="1964" spans="1:11" outlineLevel="1" x14ac:dyDescent="0.2">
      <c r="A1964" s="29"/>
      <c r="B1964" s="30" t="s">
        <v>824</v>
      </c>
      <c r="C1964" s="30" t="s">
        <v>3418</v>
      </c>
      <c r="D1964" s="34" t="s">
        <v>84</v>
      </c>
      <c r="E1964" s="31">
        <v>86.120999999999995</v>
      </c>
      <c r="F1964" s="31">
        <v>25</v>
      </c>
      <c r="G1964" s="32">
        <f t="shared" si="304"/>
        <v>2153.0250000000001</v>
      </c>
      <c r="H1964" s="33">
        <f t="shared" si="295"/>
        <v>1.116354420446452E-5</v>
      </c>
      <c r="K1964" t="str">
        <f xml:space="preserve"> B1957 &amp; B1964</f>
        <v>Z000169010Z040308001</v>
      </c>
    </row>
    <row r="1965" spans="1:11" outlineLevel="1" x14ac:dyDescent="0.2">
      <c r="A1965" s="29"/>
      <c r="B1965" s="30" t="s">
        <v>801</v>
      </c>
      <c r="C1965" s="30" t="s">
        <v>402</v>
      </c>
      <c r="D1965" s="34" t="s">
        <v>1819</v>
      </c>
      <c r="E1965" s="31">
        <v>0</v>
      </c>
      <c r="F1965" s="31">
        <v>10.3</v>
      </c>
      <c r="G1965" s="32">
        <f t="shared" si="304"/>
        <v>0</v>
      </c>
      <c r="H1965" s="33">
        <f t="shared" si="295"/>
        <v>0</v>
      </c>
      <c r="K1965" t="str">
        <f xml:space="preserve"> B1957 &amp; B1965</f>
        <v>Z000169010Z040202006</v>
      </c>
    </row>
    <row r="1966" spans="1:11" outlineLevel="1" x14ac:dyDescent="0.2">
      <c r="A1966" s="11" t="s">
        <v>753</v>
      </c>
      <c r="B1966" s="11" t="s">
        <v>5151</v>
      </c>
      <c r="C1966" s="11" t="s">
        <v>5153</v>
      </c>
      <c r="D1966" s="12" t="s">
        <v>1152</v>
      </c>
      <c r="E1966" s="13">
        <v>160.94999999999999</v>
      </c>
      <c r="F1966" s="14">
        <v>1562.8026000000002</v>
      </c>
      <c r="G1966" s="15">
        <f>SUM(G1967:G1977)</f>
        <v>251533.07847000001</v>
      </c>
      <c r="H1966" s="16">
        <f t="shared" si="295"/>
        <v>1.3042118137898482E-3</v>
      </c>
    </row>
    <row r="1967" spans="1:11" outlineLevel="1" x14ac:dyDescent="0.2">
      <c r="A1967" s="29"/>
      <c r="B1967" s="30" t="s">
        <v>900</v>
      </c>
      <c r="C1967" s="30" t="s">
        <v>3888</v>
      </c>
      <c r="D1967" s="34" t="s">
        <v>1052</v>
      </c>
      <c r="E1967" s="31">
        <v>160.94999999999999</v>
      </c>
      <c r="F1967" s="31">
        <v>30</v>
      </c>
      <c r="G1967" s="32">
        <f t="shared" ref="G1967:G1974" si="305">F1967*E1967</f>
        <v>4828.5</v>
      </c>
      <c r="H1967" s="33">
        <f t="shared" si="295"/>
        <v>2.5036018249326846E-5</v>
      </c>
      <c r="K1967" t="str">
        <f xml:space="preserve"> B1966 &amp; B1967</f>
        <v>Z000168009Z040308017</v>
      </c>
    </row>
    <row r="1968" spans="1:11" outlineLevel="1" x14ac:dyDescent="0.2">
      <c r="A1968" s="29"/>
      <c r="B1968" s="30" t="s">
        <v>853</v>
      </c>
      <c r="C1968" s="30" t="s">
        <v>980</v>
      </c>
      <c r="D1968" s="34" t="s">
        <v>1152</v>
      </c>
      <c r="E1968" s="31">
        <v>156.1215</v>
      </c>
      <c r="F1968" s="31">
        <v>0.9</v>
      </c>
      <c r="G1968" s="32">
        <f t="shared" si="305"/>
        <v>140.50935000000001</v>
      </c>
      <c r="H1968" s="33">
        <f t="shared" si="295"/>
        <v>7.285481310554113E-7</v>
      </c>
      <c r="K1968" t="str">
        <f xml:space="preserve"> B1966 &amp; B1968</f>
        <v>Z000168009Z020201001</v>
      </c>
    </row>
    <row r="1969" spans="1:11" outlineLevel="1" x14ac:dyDescent="0.2">
      <c r="A1969" s="29"/>
      <c r="B1969" s="30" t="s">
        <v>801</v>
      </c>
      <c r="C1969" s="30" t="s">
        <v>402</v>
      </c>
      <c r="D1969" s="34" t="s">
        <v>151</v>
      </c>
      <c r="E1969" s="31">
        <v>0</v>
      </c>
      <c r="F1969" s="31">
        <v>10.3</v>
      </c>
      <c r="G1969" s="32">
        <f t="shared" si="305"/>
        <v>0</v>
      </c>
      <c r="H1969" s="33">
        <f t="shared" si="295"/>
        <v>0</v>
      </c>
      <c r="K1969" t="str">
        <f xml:space="preserve"> B1966 &amp; B1969</f>
        <v>Z000168009Z040202006</v>
      </c>
    </row>
    <row r="1970" spans="1:11" outlineLevel="1" x14ac:dyDescent="0.2">
      <c r="A1970" s="29"/>
      <c r="B1970" s="30" t="s">
        <v>824</v>
      </c>
      <c r="C1970" s="30" t="s">
        <v>3418</v>
      </c>
      <c r="D1970" s="34" t="s">
        <v>151</v>
      </c>
      <c r="E1970" s="31">
        <v>168.9975</v>
      </c>
      <c r="F1970" s="31">
        <v>25</v>
      </c>
      <c r="G1970" s="32">
        <f t="shared" si="305"/>
        <v>4224.9375</v>
      </c>
      <c r="H1970" s="33">
        <f t="shared" si="295"/>
        <v>2.1906515968160988E-5</v>
      </c>
      <c r="K1970" t="str">
        <f xml:space="preserve"> B1966 &amp; B1970</f>
        <v>Z000168009Z040308001</v>
      </c>
    </row>
    <row r="1971" spans="1:11" outlineLevel="1" x14ac:dyDescent="0.2">
      <c r="A1971" s="29"/>
      <c r="B1971" s="30" t="s">
        <v>1970</v>
      </c>
      <c r="C1971" s="30" t="s">
        <v>1166</v>
      </c>
      <c r="D1971" s="34" t="s">
        <v>1152</v>
      </c>
      <c r="E1971" s="31">
        <v>0</v>
      </c>
      <c r="F1971" s="31">
        <v>30.29</v>
      </c>
      <c r="G1971" s="32">
        <f t="shared" si="305"/>
        <v>0</v>
      </c>
      <c r="H1971" s="33">
        <f t="shared" si="295"/>
        <v>0</v>
      </c>
      <c r="K1971" t="str">
        <f xml:space="preserve"> B1966 &amp; B1971</f>
        <v>Z000168009Z050103007</v>
      </c>
    </row>
    <row r="1972" spans="1:11" outlineLevel="1" x14ac:dyDescent="0.2">
      <c r="A1972" s="29"/>
      <c r="B1972" s="30" t="s">
        <v>498</v>
      </c>
      <c r="C1972" s="30" t="s">
        <v>773</v>
      </c>
      <c r="D1972" s="34" t="s">
        <v>1152</v>
      </c>
      <c r="E1972" s="31">
        <v>193.14</v>
      </c>
      <c r="F1972" s="31">
        <v>0</v>
      </c>
      <c r="G1972" s="32">
        <f t="shared" si="305"/>
        <v>0</v>
      </c>
      <c r="H1972" s="33">
        <f t="shared" si="295"/>
        <v>0</v>
      </c>
      <c r="K1972" t="str">
        <f xml:space="preserve"> B1966 &amp; B1972</f>
        <v>Z000168009Z040401001</v>
      </c>
    </row>
    <row r="1973" spans="1:11" outlineLevel="1" x14ac:dyDescent="0.2">
      <c r="A1973" s="29"/>
      <c r="B1973" s="30" t="s">
        <v>1006</v>
      </c>
      <c r="C1973" s="30" t="s">
        <v>699</v>
      </c>
      <c r="D1973" s="34" t="s">
        <v>84</v>
      </c>
      <c r="E1973" s="31">
        <v>0</v>
      </c>
      <c r="F1973" s="31">
        <v>28.988</v>
      </c>
      <c r="G1973" s="32">
        <f t="shared" si="305"/>
        <v>0</v>
      </c>
      <c r="H1973" s="33">
        <f t="shared" si="295"/>
        <v>0</v>
      </c>
      <c r="K1973" t="str">
        <f xml:space="preserve"> B1966 &amp; B1973</f>
        <v>Z000168009Z040201011</v>
      </c>
    </row>
    <row r="1974" spans="1:11" outlineLevel="1" x14ac:dyDescent="0.2">
      <c r="A1974" s="29"/>
      <c r="B1974" s="30" t="s">
        <v>628</v>
      </c>
      <c r="C1974" s="30" t="s">
        <v>821</v>
      </c>
      <c r="D1974" s="34" t="s">
        <v>1819</v>
      </c>
      <c r="E1974" s="31">
        <v>85.3035</v>
      </c>
      <c r="F1974" s="31">
        <v>67.319999999999993</v>
      </c>
      <c r="G1974" s="32">
        <f t="shared" si="305"/>
        <v>5742.6316199999992</v>
      </c>
      <c r="H1974" s="33">
        <f t="shared" si="295"/>
        <v>2.97758372242894E-5</v>
      </c>
      <c r="K1974" t="str">
        <f xml:space="preserve"> $B$1966 &amp; B1974</f>
        <v>Z000168009Z030203005</v>
      </c>
    </row>
    <row r="1975" spans="1:11" outlineLevel="1" x14ac:dyDescent="0.2">
      <c r="A1975" s="29"/>
      <c r="B1975" s="30" t="s">
        <v>5161</v>
      </c>
      <c r="C1975" s="30" t="s">
        <v>5162</v>
      </c>
      <c r="D1975" s="34" t="s">
        <v>1819</v>
      </c>
      <c r="E1975" s="31">
        <v>168.9975</v>
      </c>
      <c r="F1975" s="31">
        <v>1360</v>
      </c>
      <c r="G1975" s="32">
        <f t="shared" ref="G1975:G1977" si="306">F1975*E1975</f>
        <v>229836.6</v>
      </c>
      <c r="H1975" s="33">
        <f t="shared" ref="H1975:H1977" si="307">G1975/$F$2</f>
        <v>1.1917144686679579E-3</v>
      </c>
      <c r="K1975" t="str">
        <f t="shared" ref="K1975:K1977" si="308" xml:space="preserve"> $B$1966 &amp; B1975</f>
        <v>Z000168009Z020408008</v>
      </c>
    </row>
    <row r="1976" spans="1:11" outlineLevel="1" x14ac:dyDescent="0.2">
      <c r="A1976" s="29"/>
      <c r="B1976" s="30" t="s">
        <v>1971</v>
      </c>
      <c r="C1976" s="30" t="s">
        <v>1147</v>
      </c>
      <c r="D1976" s="34" t="s">
        <v>1819</v>
      </c>
      <c r="E1976" s="31">
        <v>0</v>
      </c>
      <c r="F1976" s="31">
        <v>28.81</v>
      </c>
      <c r="G1976" s="32">
        <f t="shared" si="306"/>
        <v>0</v>
      </c>
      <c r="H1976" s="33">
        <f t="shared" si="307"/>
        <v>0</v>
      </c>
      <c r="K1976" t="str">
        <f t="shared" si="308"/>
        <v>Z000168009Z050103008</v>
      </c>
    </row>
    <row r="1977" spans="1:11" outlineLevel="1" x14ac:dyDescent="0.2">
      <c r="A1977" s="29"/>
      <c r="B1977" s="30" t="s">
        <v>946</v>
      </c>
      <c r="C1977" s="30" t="s">
        <v>1695</v>
      </c>
      <c r="D1977" s="34" t="s">
        <v>1819</v>
      </c>
      <c r="E1977" s="31">
        <v>168.9975</v>
      </c>
      <c r="F1977" s="31">
        <v>40</v>
      </c>
      <c r="G1977" s="32">
        <f t="shared" si="306"/>
        <v>6759.9</v>
      </c>
      <c r="H1977" s="33">
        <f t="shared" si="307"/>
        <v>3.5050425549057579E-5</v>
      </c>
      <c r="K1977" t="str">
        <f t="shared" si="308"/>
        <v>Z000168009Z060101023</v>
      </c>
    </row>
    <row r="1978" spans="1:11" outlineLevel="1" x14ac:dyDescent="0.2">
      <c r="A1978" s="11" t="s">
        <v>811</v>
      </c>
      <c r="B1978" s="11" t="s">
        <v>618</v>
      </c>
      <c r="C1978" s="11" t="s">
        <v>3857</v>
      </c>
      <c r="D1978" s="12" t="s">
        <v>153</v>
      </c>
      <c r="E1978" s="13">
        <v>1022.67</v>
      </c>
      <c r="F1978" s="14">
        <v>195.44799999999998</v>
      </c>
      <c r="G1978" s="15">
        <f>SUM(G1979:G1986)</f>
        <v>199878.80615999998</v>
      </c>
      <c r="H1978" s="16">
        <f t="shared" si="295"/>
        <v>1.036381782888148E-3</v>
      </c>
    </row>
    <row r="1979" spans="1:11" outlineLevel="1" x14ac:dyDescent="0.2">
      <c r="A1979" s="29"/>
      <c r="B1979" s="30" t="s">
        <v>853</v>
      </c>
      <c r="C1979" s="30" t="s">
        <v>980</v>
      </c>
      <c r="D1979" s="34" t="s">
        <v>1052</v>
      </c>
      <c r="E1979" s="31">
        <v>1758.9923999999999</v>
      </c>
      <c r="F1979" s="31">
        <v>0.9</v>
      </c>
      <c r="G1979" s="32">
        <f t="shared" ref="G1979:G1986" si="309">F1979*E1979</f>
        <v>1583.0931599999999</v>
      </c>
      <c r="H1979" s="33">
        <f t="shared" si="295"/>
        <v>8.208418607050741E-6</v>
      </c>
      <c r="K1979" t="str">
        <f xml:space="preserve"> B1978 &amp; B1979</f>
        <v>Z000167055Z020201001</v>
      </c>
    </row>
    <row r="1980" spans="1:11" outlineLevel="1" x14ac:dyDescent="0.2">
      <c r="A1980" s="29"/>
      <c r="B1980" s="30" t="s">
        <v>310</v>
      </c>
      <c r="C1980" s="30" t="s">
        <v>3858</v>
      </c>
      <c r="D1980" s="34" t="s">
        <v>1152</v>
      </c>
      <c r="E1980" s="31">
        <v>224.98739999999998</v>
      </c>
      <c r="F1980" s="31">
        <v>680</v>
      </c>
      <c r="G1980" s="32">
        <f t="shared" si="309"/>
        <v>152991.43199999997</v>
      </c>
      <c r="H1980" s="33">
        <f t="shared" si="295"/>
        <v>7.9326836150826275E-4</v>
      </c>
      <c r="K1980" t="str">
        <f xml:space="preserve"> B1978 &amp; B1980</f>
        <v>Z000167055Z020403017</v>
      </c>
    </row>
    <row r="1981" spans="1:11" outlineLevel="1" x14ac:dyDescent="0.2">
      <c r="A1981" s="29"/>
      <c r="B1981" s="30" t="s">
        <v>1006</v>
      </c>
      <c r="C1981" s="30" t="s">
        <v>699</v>
      </c>
      <c r="D1981" s="34" t="s">
        <v>151</v>
      </c>
      <c r="E1981" s="31">
        <v>0</v>
      </c>
      <c r="F1981" s="31">
        <v>28.988</v>
      </c>
      <c r="G1981" s="32">
        <f t="shared" si="309"/>
        <v>0</v>
      </c>
      <c r="H1981" s="33">
        <f t="shared" si="295"/>
        <v>0</v>
      </c>
      <c r="K1981" t="str">
        <f xml:space="preserve"> B1978 &amp; B1981</f>
        <v>Z000167055Z040201011</v>
      </c>
    </row>
    <row r="1982" spans="1:11" outlineLevel="1" x14ac:dyDescent="0.2">
      <c r="A1982" s="29"/>
      <c r="B1982" s="30" t="s">
        <v>801</v>
      </c>
      <c r="C1982" s="30" t="s">
        <v>402</v>
      </c>
      <c r="D1982" s="34" t="s">
        <v>151</v>
      </c>
      <c r="E1982" s="31">
        <v>0</v>
      </c>
      <c r="F1982" s="31">
        <v>10.3</v>
      </c>
      <c r="G1982" s="32">
        <f t="shared" si="309"/>
        <v>0</v>
      </c>
      <c r="H1982" s="33">
        <f t="shared" si="295"/>
        <v>0</v>
      </c>
      <c r="K1982" t="str">
        <f xml:space="preserve"> B1978 &amp; B1982</f>
        <v>Z000167055Z040202006</v>
      </c>
    </row>
    <row r="1983" spans="1:11" outlineLevel="1" x14ac:dyDescent="0.2">
      <c r="A1983" s="29"/>
      <c r="B1983" s="30" t="s">
        <v>824</v>
      </c>
      <c r="C1983" s="30" t="s">
        <v>3418</v>
      </c>
      <c r="D1983" s="34" t="s">
        <v>1152</v>
      </c>
      <c r="E1983" s="31">
        <v>224.98739999999998</v>
      </c>
      <c r="F1983" s="31">
        <v>25</v>
      </c>
      <c r="G1983" s="32">
        <f t="shared" si="309"/>
        <v>5624.6849999999995</v>
      </c>
      <c r="H1983" s="33">
        <f t="shared" si="295"/>
        <v>2.9164277996627309E-5</v>
      </c>
      <c r="K1983" t="str">
        <f xml:space="preserve"> B1978 &amp; B1983</f>
        <v>Z000167055Z040308001</v>
      </c>
    </row>
    <row r="1984" spans="1:11" outlineLevel="1" x14ac:dyDescent="0.2">
      <c r="A1984" s="29"/>
      <c r="B1984" s="30" t="s">
        <v>991</v>
      </c>
      <c r="C1984" s="30" t="s">
        <v>3508</v>
      </c>
      <c r="D1984" s="34" t="s">
        <v>153</v>
      </c>
      <c r="E1984" s="31">
        <v>1022.67</v>
      </c>
      <c r="F1984" s="31">
        <v>30</v>
      </c>
      <c r="G1984" s="32">
        <f t="shared" si="309"/>
        <v>30680.1</v>
      </c>
      <c r="H1984" s="33">
        <f t="shared" si="295"/>
        <v>1.5907787998160352E-4</v>
      </c>
      <c r="K1984" t="str">
        <f xml:space="preserve"> B1978 &amp; B1984</f>
        <v>Z000167055Z040308029</v>
      </c>
    </row>
    <row r="1985" spans="1:11" outlineLevel="1" x14ac:dyDescent="0.2">
      <c r="A1985" s="29"/>
      <c r="B1985" s="30" t="s">
        <v>498</v>
      </c>
      <c r="C1985" s="30" t="s">
        <v>773</v>
      </c>
      <c r="D1985" s="34" t="s">
        <v>84</v>
      </c>
      <c r="E1985" s="31">
        <v>1227.204</v>
      </c>
      <c r="F1985" s="31">
        <v>0</v>
      </c>
      <c r="G1985" s="32">
        <f t="shared" si="309"/>
        <v>0</v>
      </c>
      <c r="H1985" s="33">
        <f t="shared" si="295"/>
        <v>0</v>
      </c>
      <c r="K1985" t="str">
        <f xml:space="preserve"> B1978 &amp; B1985</f>
        <v>Z000167055Z040401001</v>
      </c>
    </row>
    <row r="1986" spans="1:11" outlineLevel="1" x14ac:dyDescent="0.2">
      <c r="A1986" s="29"/>
      <c r="B1986" s="30" t="s">
        <v>946</v>
      </c>
      <c r="C1986" s="30" t="s">
        <v>1695</v>
      </c>
      <c r="D1986" s="34" t="s">
        <v>1819</v>
      </c>
      <c r="E1986" s="31">
        <v>224.98739999999998</v>
      </c>
      <c r="F1986" s="31">
        <v>40</v>
      </c>
      <c r="G1986" s="32">
        <f t="shared" si="309"/>
        <v>8999.4959999999992</v>
      </c>
      <c r="H1986" s="33">
        <f t="shared" si="295"/>
        <v>4.6662844794603692E-5</v>
      </c>
      <c r="K1986" t="str">
        <f xml:space="preserve"> B1978 &amp; B1986</f>
        <v>Z000167055Z060101023</v>
      </c>
    </row>
    <row r="1987" spans="1:11" outlineLevel="1" x14ac:dyDescent="0.2">
      <c r="A1987" s="11" t="s">
        <v>816</v>
      </c>
      <c r="B1987" s="11" t="s">
        <v>568</v>
      </c>
      <c r="C1987" s="11" t="s">
        <v>3837</v>
      </c>
      <c r="D1987" s="12" t="s">
        <v>153</v>
      </c>
      <c r="E1987" s="13">
        <v>7.1</v>
      </c>
      <c r="F1987" s="14">
        <v>296.64799999999997</v>
      </c>
      <c r="G1987" s="15">
        <f>SUM(G1988:G1995)</f>
        <v>2106.2007999999996</v>
      </c>
      <c r="H1987" s="16">
        <f t="shared" si="295"/>
        <v>1.0920758344319517E-5</v>
      </c>
    </row>
    <row r="1988" spans="1:11" outlineLevel="1" x14ac:dyDescent="0.2">
      <c r="A1988" s="29"/>
      <c r="B1988" s="30" t="s">
        <v>853</v>
      </c>
      <c r="C1988" s="30" t="s">
        <v>980</v>
      </c>
      <c r="D1988" s="34" t="s">
        <v>1052</v>
      </c>
      <c r="E1988" s="31">
        <v>12.212</v>
      </c>
      <c r="F1988" s="31">
        <v>0.9</v>
      </c>
      <c r="G1988" s="32">
        <f t="shared" ref="G1988:G1995" si="310">F1988*E1988</f>
        <v>10.9908</v>
      </c>
      <c r="H1988" s="33">
        <f t="shared" si="295"/>
        <v>5.6987857383183496E-8</v>
      </c>
      <c r="K1988" t="str">
        <f xml:space="preserve"> B1987 &amp; B1988</f>
        <v>Z000167048Z020201001</v>
      </c>
    </row>
    <row r="1989" spans="1:11" outlineLevel="1" x14ac:dyDescent="0.2">
      <c r="A1989" s="29"/>
      <c r="B1989" s="30" t="s">
        <v>297</v>
      </c>
      <c r="C1989" s="30" t="s">
        <v>3838</v>
      </c>
      <c r="D1989" s="34" t="s">
        <v>1152</v>
      </c>
      <c r="E1989" s="31">
        <v>1.5619999999999998</v>
      </c>
      <c r="F1989" s="31">
        <v>1140</v>
      </c>
      <c r="G1989" s="32">
        <f t="shared" si="310"/>
        <v>1780.6799999999998</v>
      </c>
      <c r="H1989" s="33">
        <f t="shared" si="295"/>
        <v>9.2329164287483333E-6</v>
      </c>
      <c r="K1989" t="str">
        <f xml:space="preserve"> B1987 &amp; B1989</f>
        <v>Z000167048Z020403013</v>
      </c>
    </row>
    <row r="1990" spans="1:11" outlineLevel="1" x14ac:dyDescent="0.2">
      <c r="A1990" s="29"/>
      <c r="B1990" s="30" t="s">
        <v>1006</v>
      </c>
      <c r="C1990" s="30" t="s">
        <v>699</v>
      </c>
      <c r="D1990" s="34" t="s">
        <v>151</v>
      </c>
      <c r="E1990" s="31">
        <v>0</v>
      </c>
      <c r="F1990" s="31">
        <v>28.988</v>
      </c>
      <c r="G1990" s="32">
        <f t="shared" si="310"/>
        <v>0</v>
      </c>
      <c r="H1990" s="33">
        <f t="shared" si="295"/>
        <v>0</v>
      </c>
      <c r="K1990" t="str">
        <f xml:space="preserve"> B1987 &amp; B1990</f>
        <v>Z000167048Z040201011</v>
      </c>
    </row>
    <row r="1991" spans="1:11" outlineLevel="1" x14ac:dyDescent="0.2">
      <c r="A1991" s="29"/>
      <c r="B1991" s="30" t="s">
        <v>801</v>
      </c>
      <c r="C1991" s="30" t="s">
        <v>402</v>
      </c>
      <c r="D1991" s="34" t="s">
        <v>151</v>
      </c>
      <c r="E1991" s="31">
        <v>0</v>
      </c>
      <c r="F1991" s="31">
        <v>10.3</v>
      </c>
      <c r="G1991" s="32">
        <f t="shared" si="310"/>
        <v>0</v>
      </c>
      <c r="H1991" s="33">
        <f t="shared" si="295"/>
        <v>0</v>
      </c>
      <c r="K1991" t="str">
        <f xml:space="preserve"> B1987 &amp; B1991</f>
        <v>Z000167048Z040202006</v>
      </c>
    </row>
    <row r="1992" spans="1:11" outlineLevel="1" x14ac:dyDescent="0.2">
      <c r="A1992" s="29"/>
      <c r="B1992" s="30" t="s">
        <v>824</v>
      </c>
      <c r="C1992" s="30" t="s">
        <v>3418</v>
      </c>
      <c r="D1992" s="34" t="s">
        <v>1152</v>
      </c>
      <c r="E1992" s="31">
        <v>1.5619999999999998</v>
      </c>
      <c r="F1992" s="31">
        <v>25</v>
      </c>
      <c r="G1992" s="32">
        <f t="shared" si="310"/>
        <v>39.049999999999997</v>
      </c>
      <c r="H1992" s="33">
        <f t="shared" si="295"/>
        <v>2.0247623747255116E-7</v>
      </c>
      <c r="K1992" t="str">
        <f xml:space="preserve"> B1987 &amp; B1992</f>
        <v>Z000167048Z040308001</v>
      </c>
    </row>
    <row r="1993" spans="1:11" outlineLevel="1" x14ac:dyDescent="0.2">
      <c r="A1993" s="29"/>
      <c r="B1993" s="30" t="s">
        <v>991</v>
      </c>
      <c r="C1993" s="30" t="s">
        <v>3508</v>
      </c>
      <c r="D1993" s="34" t="s">
        <v>153</v>
      </c>
      <c r="E1993" s="31">
        <v>7.1</v>
      </c>
      <c r="F1993" s="31">
        <v>30</v>
      </c>
      <c r="G1993" s="32">
        <f t="shared" si="310"/>
        <v>213</v>
      </c>
      <c r="H1993" s="33">
        <f t="shared" si="295"/>
        <v>1.1044158407593699E-6</v>
      </c>
      <c r="K1993" t="str">
        <f xml:space="preserve"> B1987 &amp; B1993</f>
        <v>Z000167048Z040308029</v>
      </c>
    </row>
    <row r="1994" spans="1:11" outlineLevel="1" x14ac:dyDescent="0.2">
      <c r="A1994" s="29"/>
      <c r="B1994" s="30" t="s">
        <v>498</v>
      </c>
      <c r="C1994" s="30" t="s">
        <v>773</v>
      </c>
      <c r="D1994" s="34" t="s">
        <v>84</v>
      </c>
      <c r="E1994" s="31">
        <v>8.52</v>
      </c>
      <c r="F1994" s="31">
        <v>0</v>
      </c>
      <c r="G1994" s="32">
        <f t="shared" si="310"/>
        <v>0</v>
      </c>
      <c r="H1994" s="33">
        <f t="shared" si="295"/>
        <v>0</v>
      </c>
      <c r="K1994" t="str">
        <f xml:space="preserve"> B1987 &amp; B1994</f>
        <v>Z000167048Z040401001</v>
      </c>
    </row>
    <row r="1995" spans="1:11" outlineLevel="1" x14ac:dyDescent="0.2">
      <c r="A1995" s="29"/>
      <c r="B1995" s="30" t="s">
        <v>946</v>
      </c>
      <c r="C1995" s="30" t="s">
        <v>1695</v>
      </c>
      <c r="D1995" s="34" t="s">
        <v>1819</v>
      </c>
      <c r="E1995" s="31">
        <v>1.5619999999999998</v>
      </c>
      <c r="F1995" s="31">
        <v>40</v>
      </c>
      <c r="G1995" s="32">
        <f t="shared" si="310"/>
        <v>62.47999999999999</v>
      </c>
      <c r="H1995" s="33">
        <f t="shared" ref="H1995:H2028" si="311">G1995/$F$2</f>
        <v>3.239619799560818E-7</v>
      </c>
      <c r="K1995" t="str">
        <f xml:space="preserve"> B1987 &amp; B1995</f>
        <v>Z000167048Z060101023</v>
      </c>
    </row>
    <row r="1996" spans="1:11" outlineLevel="1" x14ac:dyDescent="0.2">
      <c r="A1996" s="11" t="s">
        <v>819</v>
      </c>
      <c r="B1996" s="11" t="s">
        <v>680</v>
      </c>
      <c r="C1996" s="11" t="s">
        <v>3813</v>
      </c>
      <c r="D1996" s="12" t="s">
        <v>1152</v>
      </c>
      <c r="E1996" s="13">
        <v>6.42</v>
      </c>
      <c r="F1996" s="14">
        <v>1258.413188</v>
      </c>
      <c r="G1996" s="15">
        <f>SUM(G1997:G2007)</f>
        <v>8079.0126669600004</v>
      </c>
      <c r="H1996" s="16">
        <f t="shared" si="311"/>
        <v>4.1890091864254593E-5</v>
      </c>
    </row>
    <row r="1997" spans="1:11" outlineLevel="1" x14ac:dyDescent="0.2">
      <c r="A1997" s="29"/>
      <c r="B1997" s="30" t="s">
        <v>708</v>
      </c>
      <c r="C1997" s="30" t="s">
        <v>865</v>
      </c>
      <c r="D1997" s="34" t="s">
        <v>1052</v>
      </c>
      <c r="E1997" s="31">
        <v>0.150228</v>
      </c>
      <c r="F1997" s="31">
        <v>13.32</v>
      </c>
      <c r="G1997" s="32">
        <f t="shared" ref="G1997:G2007" si="312">F1997*E1997</f>
        <v>2.00103696</v>
      </c>
      <c r="H1997" s="33">
        <f t="shared" si="311"/>
        <v>1.0375478481544478E-8</v>
      </c>
      <c r="K1997" t="str">
        <f xml:space="preserve"> B1996 &amp; B1997</f>
        <v>Z000165029Z020202002</v>
      </c>
    </row>
    <row r="1998" spans="1:11" outlineLevel="1" x14ac:dyDescent="0.2">
      <c r="A1998" s="29"/>
      <c r="B1998" s="30" t="s">
        <v>499</v>
      </c>
      <c r="C1998" s="30" t="s">
        <v>3814</v>
      </c>
      <c r="D1998" s="34" t="s">
        <v>1152</v>
      </c>
      <c r="E1998" s="31">
        <v>6.7410000000000005</v>
      </c>
      <c r="F1998" s="31">
        <v>650</v>
      </c>
      <c r="G1998" s="32">
        <f t="shared" si="312"/>
        <v>4381.6500000000005</v>
      </c>
      <c r="H1998" s="33">
        <f t="shared" si="311"/>
        <v>2.2719078256635185E-5</v>
      </c>
      <c r="K1998" t="str">
        <f xml:space="preserve"> B1996 &amp; B1998</f>
        <v>Z000165029Z020401013</v>
      </c>
    </row>
    <row r="1999" spans="1:11" outlineLevel="1" x14ac:dyDescent="0.2">
      <c r="A1999" s="29"/>
      <c r="B1999" s="30" t="s">
        <v>877</v>
      </c>
      <c r="C1999" s="30" t="s">
        <v>2332</v>
      </c>
      <c r="D1999" s="34" t="s">
        <v>1781</v>
      </c>
      <c r="E1999" s="31">
        <v>38.519999999999996</v>
      </c>
      <c r="F1999" s="31">
        <v>0.55000000000000004</v>
      </c>
      <c r="G1999" s="32">
        <f t="shared" si="312"/>
        <v>21.186</v>
      </c>
      <c r="H1999" s="33">
        <f t="shared" si="311"/>
        <v>1.0985048827384044E-7</v>
      </c>
      <c r="K1999" t="str">
        <f xml:space="preserve"> B1996 &amp; B1999</f>
        <v>Z000165029Z030201001</v>
      </c>
    </row>
    <row r="2000" spans="1:11" outlineLevel="1" x14ac:dyDescent="0.2">
      <c r="A2000" s="29"/>
      <c r="B2000" s="30" t="s">
        <v>637</v>
      </c>
      <c r="C2000" s="30" t="s">
        <v>1256</v>
      </c>
      <c r="D2000" s="34" t="s">
        <v>1052</v>
      </c>
      <c r="E2000" s="31">
        <v>3.7293779999999996</v>
      </c>
      <c r="F2000" s="31">
        <v>35</v>
      </c>
      <c r="G2000" s="32">
        <f t="shared" si="312"/>
        <v>130.52822999999998</v>
      </c>
      <c r="H2000" s="33">
        <f t="shared" si="311"/>
        <v>6.7679551586048072E-7</v>
      </c>
      <c r="K2000" t="str">
        <f xml:space="preserve"> B1996 &amp; B2000</f>
        <v>Z000165029Z030203008</v>
      </c>
    </row>
    <row r="2001" spans="1:11" outlineLevel="1" x14ac:dyDescent="0.2">
      <c r="A2001" s="29"/>
      <c r="B2001" s="30" t="s">
        <v>518</v>
      </c>
      <c r="C2001" s="30" t="s">
        <v>3457</v>
      </c>
      <c r="D2001" s="34" t="s">
        <v>1781</v>
      </c>
      <c r="E2001" s="31">
        <v>12.84</v>
      </c>
      <c r="F2001" s="31">
        <v>16.86</v>
      </c>
      <c r="G2001" s="32">
        <f t="shared" si="312"/>
        <v>216.48239999999998</v>
      </c>
      <c r="H2001" s="33">
        <f t="shared" si="311"/>
        <v>1.1224722619981514E-6</v>
      </c>
      <c r="K2001" t="str">
        <f xml:space="preserve"> B1996 &amp; B2001</f>
        <v>Z000165029Z030204001</v>
      </c>
    </row>
    <row r="2002" spans="1:11" outlineLevel="1" x14ac:dyDescent="0.2">
      <c r="A2002" s="29"/>
      <c r="B2002" s="30" t="s">
        <v>1006</v>
      </c>
      <c r="C2002" s="30" t="s">
        <v>699</v>
      </c>
      <c r="D2002" s="34" t="s">
        <v>151</v>
      </c>
      <c r="E2002" s="31">
        <v>0</v>
      </c>
      <c r="F2002" s="31">
        <v>28.988</v>
      </c>
      <c r="G2002" s="32">
        <f t="shared" si="312"/>
        <v>0</v>
      </c>
      <c r="H2002" s="33">
        <f t="shared" si="311"/>
        <v>0</v>
      </c>
      <c r="K2002" t="str">
        <f xml:space="preserve"> B1996 &amp; B2002</f>
        <v>Z000165029Z040201011</v>
      </c>
    </row>
    <row r="2003" spans="1:11" outlineLevel="1" x14ac:dyDescent="0.2">
      <c r="A2003" s="29"/>
      <c r="B2003" s="30" t="s">
        <v>801</v>
      </c>
      <c r="C2003" s="30" t="s">
        <v>402</v>
      </c>
      <c r="D2003" s="34" t="s">
        <v>151</v>
      </c>
      <c r="E2003" s="31">
        <v>0</v>
      </c>
      <c r="F2003" s="31">
        <v>10.3</v>
      </c>
      <c r="G2003" s="32">
        <f t="shared" si="312"/>
        <v>0</v>
      </c>
      <c r="H2003" s="33">
        <f t="shared" si="311"/>
        <v>0</v>
      </c>
      <c r="K2003" t="str">
        <f xml:space="preserve"> B1996 &amp; B2003</f>
        <v>Z000165029Z040202006</v>
      </c>
    </row>
    <row r="2004" spans="1:11" outlineLevel="1" x14ac:dyDescent="0.2">
      <c r="A2004" s="29"/>
      <c r="B2004" s="30" t="s">
        <v>824</v>
      </c>
      <c r="C2004" s="30" t="s">
        <v>3418</v>
      </c>
      <c r="D2004" s="34" t="s">
        <v>1152</v>
      </c>
      <c r="E2004" s="31">
        <v>6.7410000000000005</v>
      </c>
      <c r="F2004" s="31">
        <v>25</v>
      </c>
      <c r="G2004" s="32">
        <f t="shared" si="312"/>
        <v>168.52500000000001</v>
      </c>
      <c r="H2004" s="33">
        <f t="shared" si="311"/>
        <v>8.7381070217827626E-7</v>
      </c>
      <c r="K2004" t="str">
        <f xml:space="preserve"> B1996 &amp; B2004</f>
        <v>Z000165029Z040308001</v>
      </c>
    </row>
    <row r="2005" spans="1:11" outlineLevel="1" x14ac:dyDescent="0.2">
      <c r="A2005" s="29"/>
      <c r="B2005" s="30" t="s">
        <v>842</v>
      </c>
      <c r="C2005" s="30" t="s">
        <v>3477</v>
      </c>
      <c r="D2005" s="34" t="s">
        <v>1152</v>
      </c>
      <c r="E2005" s="31">
        <v>6.42</v>
      </c>
      <c r="F2005" s="31">
        <v>450</v>
      </c>
      <c r="G2005" s="32">
        <f t="shared" si="312"/>
        <v>2889</v>
      </c>
      <c r="H2005" s="33">
        <f t="shared" si="311"/>
        <v>1.4979612037341879E-5</v>
      </c>
      <c r="K2005" t="str">
        <f xml:space="preserve"> B1996 &amp; B2005</f>
        <v>Z000165029Z040308007</v>
      </c>
    </row>
    <row r="2006" spans="1:11" outlineLevel="1" x14ac:dyDescent="0.2">
      <c r="A2006" s="29"/>
      <c r="B2006" s="30" t="s">
        <v>498</v>
      </c>
      <c r="C2006" s="30" t="s">
        <v>773</v>
      </c>
      <c r="D2006" s="34" t="s">
        <v>84</v>
      </c>
      <c r="E2006" s="31">
        <v>7.7039999999999997</v>
      </c>
      <c r="F2006" s="31">
        <v>0</v>
      </c>
      <c r="G2006" s="32">
        <f t="shared" si="312"/>
        <v>0</v>
      </c>
      <c r="H2006" s="33">
        <f t="shared" si="311"/>
        <v>0</v>
      </c>
      <c r="K2006" t="str">
        <f xml:space="preserve"> B1996 &amp; B2006</f>
        <v>Z000165029Z040401001</v>
      </c>
    </row>
    <row r="2007" spans="1:11" outlineLevel="1" x14ac:dyDescent="0.2">
      <c r="A2007" s="29"/>
      <c r="B2007" s="30" t="s">
        <v>946</v>
      </c>
      <c r="C2007" s="30" t="s">
        <v>1695</v>
      </c>
      <c r="D2007" s="34" t="s">
        <v>1819</v>
      </c>
      <c r="E2007" s="31">
        <v>6.7410000000000005</v>
      </c>
      <c r="F2007" s="31">
        <v>40</v>
      </c>
      <c r="G2007" s="32">
        <f t="shared" si="312"/>
        <v>269.64000000000004</v>
      </c>
      <c r="H2007" s="33">
        <f t="shared" si="311"/>
        <v>1.3980971234852421E-6</v>
      </c>
      <c r="K2007" t="str">
        <f xml:space="preserve"> B1996 &amp; B2007</f>
        <v>Z000165029Z060101023</v>
      </c>
    </row>
    <row r="2008" spans="1:11" outlineLevel="1" x14ac:dyDescent="0.2">
      <c r="A2008" s="11" t="s">
        <v>822</v>
      </c>
      <c r="B2008" s="11" t="s">
        <v>614</v>
      </c>
      <c r="C2008" s="11" t="s">
        <v>3787</v>
      </c>
      <c r="D2008" s="12" t="s">
        <v>1152</v>
      </c>
      <c r="E2008" s="13">
        <v>14.51</v>
      </c>
      <c r="F2008" s="14">
        <v>1993.413188</v>
      </c>
      <c r="G2008" s="15">
        <f>SUM(G2009:G2019)</f>
        <v>28924.425357879998</v>
      </c>
      <c r="H2008" s="16">
        <f t="shared" si="311"/>
        <v>1.4997461760612527E-4</v>
      </c>
    </row>
    <row r="2009" spans="1:11" outlineLevel="1" x14ac:dyDescent="0.2">
      <c r="A2009" s="29"/>
      <c r="B2009" s="30" t="s">
        <v>708</v>
      </c>
      <c r="C2009" s="30" t="s">
        <v>865</v>
      </c>
      <c r="D2009" s="34" t="s">
        <v>1052</v>
      </c>
      <c r="E2009" s="31">
        <v>0.339534</v>
      </c>
      <c r="F2009" s="31">
        <v>13.32</v>
      </c>
      <c r="G2009" s="32">
        <f t="shared" ref="G2009:G2019" si="313">F2009*E2009</f>
        <v>4.5225928800000004</v>
      </c>
      <c r="H2009" s="33">
        <f t="shared" si="311"/>
        <v>2.3449874262805357E-8</v>
      </c>
      <c r="K2009" t="str">
        <f xml:space="preserve"> B2008 &amp; B2009</f>
        <v>Z000165019Z020202002</v>
      </c>
    </row>
    <row r="2010" spans="1:11" outlineLevel="1" x14ac:dyDescent="0.2">
      <c r="A2010" s="29"/>
      <c r="B2010" s="30" t="s">
        <v>554</v>
      </c>
      <c r="C2010" s="30" t="s">
        <v>3788</v>
      </c>
      <c r="D2010" s="34" t="s">
        <v>1152</v>
      </c>
      <c r="E2010" s="31">
        <v>15.2355</v>
      </c>
      <c r="F2010" s="31">
        <v>1350</v>
      </c>
      <c r="G2010" s="32">
        <f t="shared" si="313"/>
        <v>20567.924999999999</v>
      </c>
      <c r="H2010" s="33">
        <f t="shared" si="311"/>
        <v>1.0664573794155242E-4</v>
      </c>
      <c r="K2010" t="str">
        <f xml:space="preserve"> B2008 &amp; B2010</f>
        <v>Z000165019Z020401020</v>
      </c>
    </row>
    <row r="2011" spans="1:11" outlineLevel="1" x14ac:dyDescent="0.2">
      <c r="A2011" s="29"/>
      <c r="B2011" s="30" t="s">
        <v>877</v>
      </c>
      <c r="C2011" s="30" t="s">
        <v>2332</v>
      </c>
      <c r="D2011" s="34" t="s">
        <v>1781</v>
      </c>
      <c r="E2011" s="31">
        <v>87.06</v>
      </c>
      <c r="F2011" s="31">
        <v>0.55000000000000004</v>
      </c>
      <c r="G2011" s="32">
        <f t="shared" si="313"/>
        <v>47.883000000000003</v>
      </c>
      <c r="H2011" s="33">
        <f t="shared" si="311"/>
        <v>2.4827579203324375E-7</v>
      </c>
      <c r="K2011" t="str">
        <f xml:space="preserve"> B2008 &amp; B2011</f>
        <v>Z000165019Z030201001</v>
      </c>
    </row>
    <row r="2012" spans="1:11" outlineLevel="1" x14ac:dyDescent="0.2">
      <c r="A2012" s="29"/>
      <c r="B2012" s="30" t="s">
        <v>637</v>
      </c>
      <c r="C2012" s="30" t="s">
        <v>1256</v>
      </c>
      <c r="D2012" s="34" t="s">
        <v>1052</v>
      </c>
      <c r="E2012" s="31">
        <v>8.4288589999999992</v>
      </c>
      <c r="F2012" s="31">
        <v>35</v>
      </c>
      <c r="G2012" s="32">
        <f t="shared" si="313"/>
        <v>295.010065</v>
      </c>
      <c r="H2012" s="33">
        <f t="shared" si="311"/>
        <v>1.5296422017345135E-6</v>
      </c>
      <c r="K2012" t="str">
        <f xml:space="preserve"> B2008 &amp; B2012</f>
        <v>Z000165019Z030203008</v>
      </c>
    </row>
    <row r="2013" spans="1:11" outlineLevel="1" x14ac:dyDescent="0.2">
      <c r="A2013" s="29"/>
      <c r="B2013" s="30" t="s">
        <v>518</v>
      </c>
      <c r="C2013" s="30" t="s">
        <v>3457</v>
      </c>
      <c r="D2013" s="34" t="s">
        <v>1781</v>
      </c>
      <c r="E2013" s="31">
        <v>29.02</v>
      </c>
      <c r="F2013" s="31">
        <v>16.86</v>
      </c>
      <c r="G2013" s="32">
        <f t="shared" si="313"/>
        <v>489.27719999999999</v>
      </c>
      <c r="H2013" s="33">
        <f t="shared" si="311"/>
        <v>2.5369271840487812E-6</v>
      </c>
      <c r="K2013" t="str">
        <f xml:space="preserve"> B2008 &amp; B2013</f>
        <v>Z000165019Z030204001</v>
      </c>
    </row>
    <row r="2014" spans="1:11" outlineLevel="1" x14ac:dyDescent="0.2">
      <c r="A2014" s="29"/>
      <c r="B2014" s="30" t="s">
        <v>1006</v>
      </c>
      <c r="C2014" s="30" t="s">
        <v>699</v>
      </c>
      <c r="D2014" s="34" t="s">
        <v>151</v>
      </c>
      <c r="E2014" s="31">
        <v>0</v>
      </c>
      <c r="F2014" s="31">
        <v>28.988</v>
      </c>
      <c r="G2014" s="32">
        <f t="shared" si="313"/>
        <v>0</v>
      </c>
      <c r="H2014" s="33">
        <f t="shared" si="311"/>
        <v>0</v>
      </c>
      <c r="K2014" t="str">
        <f xml:space="preserve"> B2008 &amp; B2014</f>
        <v>Z000165019Z040201011</v>
      </c>
    </row>
    <row r="2015" spans="1:11" outlineLevel="1" x14ac:dyDescent="0.2">
      <c r="A2015" s="29"/>
      <c r="B2015" s="30" t="s">
        <v>801</v>
      </c>
      <c r="C2015" s="30" t="s">
        <v>402</v>
      </c>
      <c r="D2015" s="34" t="s">
        <v>151</v>
      </c>
      <c r="E2015" s="31">
        <v>0</v>
      </c>
      <c r="F2015" s="31">
        <v>10.3</v>
      </c>
      <c r="G2015" s="32">
        <f t="shared" si="313"/>
        <v>0</v>
      </c>
      <c r="H2015" s="33">
        <f t="shared" si="311"/>
        <v>0</v>
      </c>
      <c r="K2015" t="str">
        <f xml:space="preserve"> B2008 &amp; B2015</f>
        <v>Z000165019Z040202006</v>
      </c>
    </row>
    <row r="2016" spans="1:11" outlineLevel="1" x14ac:dyDescent="0.2">
      <c r="A2016" s="29"/>
      <c r="B2016" s="30" t="s">
        <v>824</v>
      </c>
      <c r="C2016" s="30" t="s">
        <v>3418</v>
      </c>
      <c r="D2016" s="34" t="s">
        <v>1152</v>
      </c>
      <c r="E2016" s="31">
        <v>15.2355</v>
      </c>
      <c r="F2016" s="31">
        <v>25</v>
      </c>
      <c r="G2016" s="32">
        <f t="shared" si="313"/>
        <v>380.88749999999999</v>
      </c>
      <c r="H2016" s="33">
        <f t="shared" si="311"/>
        <v>1.9749210729917114E-6</v>
      </c>
      <c r="K2016" t="str">
        <f xml:space="preserve"> B2008 &amp; B2016</f>
        <v>Z000165019Z040308001</v>
      </c>
    </row>
    <row r="2017" spans="1:11" outlineLevel="1" x14ac:dyDescent="0.2">
      <c r="A2017" s="29"/>
      <c r="B2017" s="30" t="s">
        <v>842</v>
      </c>
      <c r="C2017" s="30" t="s">
        <v>3477</v>
      </c>
      <c r="D2017" s="34" t="s">
        <v>1152</v>
      </c>
      <c r="E2017" s="31">
        <v>14.51</v>
      </c>
      <c r="F2017" s="31">
        <v>450</v>
      </c>
      <c r="G2017" s="32">
        <f t="shared" si="313"/>
        <v>6529.5</v>
      </c>
      <c r="H2017" s="33">
        <f t="shared" si="311"/>
        <v>3.3855789822715057E-5</v>
      </c>
      <c r="K2017" t="str">
        <f xml:space="preserve"> B2008 &amp; B2017</f>
        <v>Z000165019Z040308007</v>
      </c>
    </row>
    <row r="2018" spans="1:11" outlineLevel="1" x14ac:dyDescent="0.2">
      <c r="A2018" s="29"/>
      <c r="B2018" s="30" t="s">
        <v>498</v>
      </c>
      <c r="C2018" s="30" t="s">
        <v>773</v>
      </c>
      <c r="D2018" s="34" t="s">
        <v>84</v>
      </c>
      <c r="E2018" s="31">
        <v>17.411999999999999</v>
      </c>
      <c r="F2018" s="31">
        <v>0</v>
      </c>
      <c r="G2018" s="32">
        <f t="shared" si="313"/>
        <v>0</v>
      </c>
      <c r="H2018" s="33">
        <f t="shared" si="311"/>
        <v>0</v>
      </c>
      <c r="K2018" t="str">
        <f xml:space="preserve"> B2008 &amp; B2018</f>
        <v>Z000165019Z040401001</v>
      </c>
    </row>
    <row r="2019" spans="1:11" outlineLevel="1" x14ac:dyDescent="0.2">
      <c r="A2019" s="29"/>
      <c r="B2019" s="30" t="s">
        <v>946</v>
      </c>
      <c r="C2019" s="30" t="s">
        <v>1695</v>
      </c>
      <c r="D2019" s="34" t="s">
        <v>1819</v>
      </c>
      <c r="E2019" s="31">
        <v>15.2355</v>
      </c>
      <c r="F2019" s="31">
        <v>40</v>
      </c>
      <c r="G2019" s="32">
        <f t="shared" si="313"/>
        <v>609.41999999999996</v>
      </c>
      <c r="H2019" s="33">
        <f t="shared" si="311"/>
        <v>3.1598737167867381E-6</v>
      </c>
      <c r="K2019" t="str">
        <f xml:space="preserve"> B2008 &amp; B2019</f>
        <v>Z000165019Z060101023</v>
      </c>
    </row>
    <row r="2020" spans="1:11" outlineLevel="1" x14ac:dyDescent="0.2">
      <c r="A2020" s="11" t="s">
        <v>827</v>
      </c>
      <c r="B2020" s="11" t="s">
        <v>551</v>
      </c>
      <c r="C2020" s="11" t="s">
        <v>3774</v>
      </c>
      <c r="D2020" s="12" t="s">
        <v>1152</v>
      </c>
      <c r="E2020" s="13">
        <v>20.21</v>
      </c>
      <c r="F2020" s="14">
        <v>1148.163188</v>
      </c>
      <c r="G2020" s="15">
        <f>SUM(G2021:G2031)</f>
        <v>23204.378029480002</v>
      </c>
      <c r="H2020" s="16">
        <f t="shared" si="311"/>
        <v>1.2031588108322258E-4</v>
      </c>
    </row>
    <row r="2021" spans="1:11" outlineLevel="1" x14ac:dyDescent="0.2">
      <c r="A2021" s="29"/>
      <c r="B2021" s="30" t="s">
        <v>708</v>
      </c>
      <c r="C2021" s="30" t="s">
        <v>865</v>
      </c>
      <c r="D2021" s="34" t="s">
        <v>1052</v>
      </c>
      <c r="E2021" s="31">
        <v>0.47291400000000006</v>
      </c>
      <c r="F2021" s="31">
        <v>13.32</v>
      </c>
      <c r="G2021" s="32">
        <f t="shared" ref="G2021:G2031" si="314">F2021*E2021</f>
        <v>6.2992144800000007</v>
      </c>
      <c r="H2021" s="33">
        <f t="shared" si="311"/>
        <v>3.2661747680999051E-8</v>
      </c>
      <c r="K2021" t="str">
        <f xml:space="preserve"> B2020 &amp; B2021</f>
        <v>Z000165003Z020202002</v>
      </c>
    </row>
    <row r="2022" spans="1:11" outlineLevel="1" x14ac:dyDescent="0.2">
      <c r="A2022" s="29"/>
      <c r="B2022" s="30" t="s">
        <v>493</v>
      </c>
      <c r="C2022" s="30" t="s">
        <v>3775</v>
      </c>
      <c r="D2022" s="34" t="s">
        <v>1152</v>
      </c>
      <c r="E2022" s="31">
        <v>21.220500000000001</v>
      </c>
      <c r="F2022" s="31">
        <v>545</v>
      </c>
      <c r="G2022" s="32">
        <f t="shared" si="314"/>
        <v>11565.172500000001</v>
      </c>
      <c r="H2022" s="33">
        <f t="shared" si="311"/>
        <v>5.9966008028707258E-5</v>
      </c>
      <c r="K2022" t="str">
        <f xml:space="preserve"> B2020 &amp; B2022</f>
        <v>Z000165003Z020401011</v>
      </c>
    </row>
    <row r="2023" spans="1:11" outlineLevel="1" x14ac:dyDescent="0.2">
      <c r="A2023" s="29"/>
      <c r="B2023" s="30" t="s">
        <v>877</v>
      </c>
      <c r="C2023" s="30" t="s">
        <v>2332</v>
      </c>
      <c r="D2023" s="34" t="s">
        <v>1781</v>
      </c>
      <c r="E2023" s="31">
        <v>121.26</v>
      </c>
      <c r="F2023" s="31">
        <v>0.55000000000000004</v>
      </c>
      <c r="G2023" s="32">
        <f t="shared" si="314"/>
        <v>66.693000000000012</v>
      </c>
      <c r="H2023" s="33">
        <f t="shared" si="311"/>
        <v>3.4580659937917689E-7</v>
      </c>
      <c r="K2023" t="str">
        <f xml:space="preserve"> B2020 &amp; B2023</f>
        <v>Z000165003Z030201001</v>
      </c>
    </row>
    <row r="2024" spans="1:11" outlineLevel="1" x14ac:dyDescent="0.2">
      <c r="A2024" s="29"/>
      <c r="B2024" s="30" t="s">
        <v>637</v>
      </c>
      <c r="C2024" s="30" t="s">
        <v>1256</v>
      </c>
      <c r="D2024" s="34" t="s">
        <v>1052</v>
      </c>
      <c r="E2024" s="31">
        <v>11.739989</v>
      </c>
      <c r="F2024" s="31">
        <v>35</v>
      </c>
      <c r="G2024" s="32">
        <f t="shared" si="314"/>
        <v>410.89961499999998</v>
      </c>
      <c r="H2024" s="33">
        <f t="shared" si="311"/>
        <v>2.1305354167508281E-6</v>
      </c>
      <c r="K2024" t="str">
        <f xml:space="preserve"> B2020 &amp; B2024</f>
        <v>Z000165003Z030203008</v>
      </c>
    </row>
    <row r="2025" spans="1:11" outlineLevel="1" x14ac:dyDescent="0.2">
      <c r="A2025" s="29"/>
      <c r="B2025" s="30" t="s">
        <v>518</v>
      </c>
      <c r="C2025" s="30" t="s">
        <v>3457</v>
      </c>
      <c r="D2025" s="34" t="s">
        <v>1781</v>
      </c>
      <c r="E2025" s="31">
        <v>40.42</v>
      </c>
      <c r="F2025" s="31">
        <v>16.86</v>
      </c>
      <c r="G2025" s="32">
        <f t="shared" si="314"/>
        <v>681.48120000000006</v>
      </c>
      <c r="H2025" s="33">
        <f t="shared" si="311"/>
        <v>3.5335147063835889E-6</v>
      </c>
      <c r="K2025" t="str">
        <f xml:space="preserve"> B2020 &amp; B2025</f>
        <v>Z000165003Z030204001</v>
      </c>
    </row>
    <row r="2026" spans="1:11" outlineLevel="1" x14ac:dyDescent="0.2">
      <c r="A2026" s="29"/>
      <c r="B2026" s="30" t="s">
        <v>1006</v>
      </c>
      <c r="C2026" s="30" t="s">
        <v>699</v>
      </c>
      <c r="D2026" s="34" t="s">
        <v>151</v>
      </c>
      <c r="E2026" s="31">
        <v>0</v>
      </c>
      <c r="F2026" s="31">
        <v>28.988</v>
      </c>
      <c r="G2026" s="32">
        <f t="shared" si="314"/>
        <v>0</v>
      </c>
      <c r="H2026" s="33">
        <f t="shared" si="311"/>
        <v>0</v>
      </c>
      <c r="K2026" t="str">
        <f xml:space="preserve"> B2020 &amp; B2026</f>
        <v>Z000165003Z040201011</v>
      </c>
    </row>
    <row r="2027" spans="1:11" outlineLevel="1" x14ac:dyDescent="0.2">
      <c r="A2027" s="29"/>
      <c r="B2027" s="30" t="s">
        <v>801</v>
      </c>
      <c r="C2027" s="30" t="s">
        <v>402</v>
      </c>
      <c r="D2027" s="34" t="s">
        <v>151</v>
      </c>
      <c r="E2027" s="31">
        <v>0</v>
      </c>
      <c r="F2027" s="31">
        <v>10.3</v>
      </c>
      <c r="G2027" s="32">
        <f t="shared" si="314"/>
        <v>0</v>
      </c>
      <c r="H2027" s="33">
        <f t="shared" si="311"/>
        <v>0</v>
      </c>
      <c r="K2027" t="str">
        <f xml:space="preserve"> B2020 &amp; B2027</f>
        <v>Z000165003Z040202006</v>
      </c>
    </row>
    <row r="2028" spans="1:11" outlineLevel="1" x14ac:dyDescent="0.2">
      <c r="A2028" s="29"/>
      <c r="B2028" s="30" t="s">
        <v>824</v>
      </c>
      <c r="C2028" s="30" t="s">
        <v>3418</v>
      </c>
      <c r="D2028" s="34" t="s">
        <v>1152</v>
      </c>
      <c r="E2028" s="31">
        <v>21.220500000000001</v>
      </c>
      <c r="F2028" s="31">
        <v>25</v>
      </c>
      <c r="G2028" s="32">
        <f t="shared" si="314"/>
        <v>530.51250000000005</v>
      </c>
      <c r="H2028" s="33">
        <f t="shared" si="311"/>
        <v>2.7507343132434521E-6</v>
      </c>
      <c r="K2028" t="str">
        <f xml:space="preserve"> B2020 &amp; B2028</f>
        <v>Z000165003Z040308001</v>
      </c>
    </row>
    <row r="2029" spans="1:11" outlineLevel="1" x14ac:dyDescent="0.2">
      <c r="A2029" s="29"/>
      <c r="B2029" s="30" t="s">
        <v>842</v>
      </c>
      <c r="C2029" s="30" t="s">
        <v>3477</v>
      </c>
      <c r="D2029" s="34" t="s">
        <v>1152</v>
      </c>
      <c r="E2029" s="31">
        <v>20.21</v>
      </c>
      <c r="F2029" s="31">
        <v>450</v>
      </c>
      <c r="G2029" s="32">
        <f t="shared" si="314"/>
        <v>9094.5</v>
      </c>
      <c r="H2029" s="33">
        <f t="shared" ref="H2029:H2056" si="315">G2029/$F$2</f>
        <v>4.715544536988775E-5</v>
      </c>
      <c r="K2029" t="str">
        <f xml:space="preserve"> B2020 &amp; B2029</f>
        <v>Z000165003Z040308007</v>
      </c>
    </row>
    <row r="2030" spans="1:11" outlineLevel="1" x14ac:dyDescent="0.2">
      <c r="A2030" s="29"/>
      <c r="B2030" s="30" t="s">
        <v>498</v>
      </c>
      <c r="C2030" s="30" t="s">
        <v>773</v>
      </c>
      <c r="D2030" s="34" t="s">
        <v>84</v>
      </c>
      <c r="E2030" s="31">
        <v>24.251999999999999</v>
      </c>
      <c r="F2030" s="31">
        <v>0</v>
      </c>
      <c r="G2030" s="32">
        <f t="shared" si="314"/>
        <v>0</v>
      </c>
      <c r="H2030" s="33">
        <f t="shared" si="315"/>
        <v>0</v>
      </c>
      <c r="K2030" t="str">
        <f xml:space="preserve"> B2020 &amp; B2030</f>
        <v>Z000165003Z040401001</v>
      </c>
    </row>
    <row r="2031" spans="1:11" outlineLevel="1" x14ac:dyDescent="0.2">
      <c r="A2031" s="29"/>
      <c r="B2031" s="30" t="s">
        <v>946</v>
      </c>
      <c r="C2031" s="30" t="s">
        <v>1695</v>
      </c>
      <c r="D2031" s="34" t="s">
        <v>1819</v>
      </c>
      <c r="E2031" s="31">
        <v>21.220500000000001</v>
      </c>
      <c r="F2031" s="31">
        <v>40</v>
      </c>
      <c r="G2031" s="32">
        <f t="shared" si="314"/>
        <v>848.82</v>
      </c>
      <c r="H2031" s="33">
        <f t="shared" si="315"/>
        <v>4.4011749011895234E-6</v>
      </c>
      <c r="K2031" t="str">
        <f xml:space="preserve"> B2020 &amp; B2031</f>
        <v>Z000165003Z060101023</v>
      </c>
    </row>
    <row r="2032" spans="1:11" outlineLevel="1" x14ac:dyDescent="0.2">
      <c r="A2032" s="11" t="s">
        <v>830</v>
      </c>
      <c r="B2032" s="11" t="s">
        <v>673</v>
      </c>
      <c r="C2032" s="11" t="s">
        <v>3800</v>
      </c>
      <c r="D2032" s="12" t="s">
        <v>1152</v>
      </c>
      <c r="E2032" s="13">
        <v>21.93</v>
      </c>
      <c r="F2032" s="14">
        <v>1468.4131879999998</v>
      </c>
      <c r="G2032" s="15">
        <f>SUM(G2033:G2043)</f>
        <v>32202.301212839997</v>
      </c>
      <c r="H2032" s="16">
        <f t="shared" si="315"/>
        <v>1.6697057074349842E-4</v>
      </c>
    </row>
    <row r="2033" spans="1:11" outlineLevel="1" x14ac:dyDescent="0.2">
      <c r="A2033" s="29"/>
      <c r="B2033" s="30" t="s">
        <v>708</v>
      </c>
      <c r="C2033" s="30" t="s">
        <v>865</v>
      </c>
      <c r="D2033" s="34" t="s">
        <v>1052</v>
      </c>
      <c r="E2033" s="31">
        <v>0.51316200000000001</v>
      </c>
      <c r="F2033" s="31">
        <v>13.32</v>
      </c>
      <c r="G2033" s="32">
        <f t="shared" ref="G2033:G2043" si="316">F2033*E2033</f>
        <v>6.8353178400000001</v>
      </c>
      <c r="H2033" s="33">
        <f t="shared" si="315"/>
        <v>3.544147088789259E-8</v>
      </c>
      <c r="K2033" t="str">
        <f xml:space="preserve"> B2032 &amp; B2033</f>
        <v>Z000165022Z020202002</v>
      </c>
    </row>
    <row r="2034" spans="1:11" outlineLevel="1" x14ac:dyDescent="0.2">
      <c r="A2034" s="29"/>
      <c r="B2034" s="30" t="s">
        <v>557</v>
      </c>
      <c r="C2034" s="30" t="s">
        <v>3801</v>
      </c>
      <c r="D2034" s="34" t="s">
        <v>1152</v>
      </c>
      <c r="E2034" s="31">
        <v>23.026500000000002</v>
      </c>
      <c r="F2034" s="31">
        <v>850</v>
      </c>
      <c r="G2034" s="32">
        <f t="shared" si="316"/>
        <v>19572.525000000001</v>
      </c>
      <c r="H2034" s="33">
        <f t="shared" si="315"/>
        <v>1.0148453828008822E-4</v>
      </c>
      <c r="K2034" t="str">
        <f xml:space="preserve"> B2032 &amp; B2034</f>
        <v>Z000165022Z020401021</v>
      </c>
    </row>
    <row r="2035" spans="1:11" outlineLevel="1" x14ac:dyDescent="0.2">
      <c r="A2035" s="29"/>
      <c r="B2035" s="30" t="s">
        <v>877</v>
      </c>
      <c r="C2035" s="30" t="s">
        <v>2332</v>
      </c>
      <c r="D2035" s="34" t="s">
        <v>1781</v>
      </c>
      <c r="E2035" s="31">
        <v>131.57999999999998</v>
      </c>
      <c r="F2035" s="31">
        <v>0.55000000000000004</v>
      </c>
      <c r="G2035" s="32">
        <f t="shared" si="316"/>
        <v>72.369</v>
      </c>
      <c r="H2035" s="33">
        <f t="shared" si="315"/>
        <v>3.7523694826251103E-7</v>
      </c>
      <c r="K2035" t="str">
        <f xml:space="preserve"> B2032 &amp; B2035</f>
        <v>Z000165022Z030201001</v>
      </c>
    </row>
    <row r="2036" spans="1:11" outlineLevel="1" x14ac:dyDescent="0.2">
      <c r="A2036" s="29"/>
      <c r="B2036" s="30" t="s">
        <v>637</v>
      </c>
      <c r="C2036" s="30" t="s">
        <v>1256</v>
      </c>
      <c r="D2036" s="34" t="s">
        <v>1052</v>
      </c>
      <c r="E2036" s="31">
        <v>12.739136999999999</v>
      </c>
      <c r="F2036" s="31">
        <v>35</v>
      </c>
      <c r="G2036" s="32">
        <f t="shared" si="316"/>
        <v>445.86979499999995</v>
      </c>
      <c r="H2036" s="33">
        <f t="shared" si="315"/>
        <v>2.311857579878558E-6</v>
      </c>
      <c r="K2036" t="str">
        <f xml:space="preserve"> B2032 &amp; B2036</f>
        <v>Z000165022Z030203008</v>
      </c>
    </row>
    <row r="2037" spans="1:11" outlineLevel="1" x14ac:dyDescent="0.2">
      <c r="A2037" s="29"/>
      <c r="B2037" s="30" t="s">
        <v>518</v>
      </c>
      <c r="C2037" s="30" t="s">
        <v>3457</v>
      </c>
      <c r="D2037" s="34" t="s">
        <v>1781</v>
      </c>
      <c r="E2037" s="31">
        <v>43.86</v>
      </c>
      <c r="F2037" s="31">
        <v>16.86</v>
      </c>
      <c r="G2037" s="32">
        <f t="shared" si="316"/>
        <v>739.4796</v>
      </c>
      <c r="H2037" s="33">
        <f t="shared" si="315"/>
        <v>3.8342393622460215E-6</v>
      </c>
      <c r="K2037" t="str">
        <f xml:space="preserve"> B2032 &amp; B2037</f>
        <v>Z000165022Z030204001</v>
      </c>
    </row>
    <row r="2038" spans="1:11" outlineLevel="1" x14ac:dyDescent="0.2">
      <c r="A2038" s="29"/>
      <c r="B2038" s="30" t="s">
        <v>1006</v>
      </c>
      <c r="C2038" s="30" t="s">
        <v>699</v>
      </c>
      <c r="D2038" s="34" t="s">
        <v>151</v>
      </c>
      <c r="E2038" s="31">
        <v>0</v>
      </c>
      <c r="F2038" s="31">
        <v>28.988</v>
      </c>
      <c r="G2038" s="32">
        <f t="shared" si="316"/>
        <v>0</v>
      </c>
      <c r="H2038" s="33">
        <f t="shared" si="315"/>
        <v>0</v>
      </c>
      <c r="K2038" t="str">
        <f xml:space="preserve"> B2032 &amp; B2038</f>
        <v>Z000165022Z040201011</v>
      </c>
    </row>
    <row r="2039" spans="1:11" outlineLevel="1" x14ac:dyDescent="0.2">
      <c r="A2039" s="29"/>
      <c r="B2039" s="30" t="s">
        <v>801</v>
      </c>
      <c r="C2039" s="30" t="s">
        <v>402</v>
      </c>
      <c r="D2039" s="34" t="s">
        <v>151</v>
      </c>
      <c r="E2039" s="31">
        <v>0</v>
      </c>
      <c r="F2039" s="31">
        <v>10.3</v>
      </c>
      <c r="G2039" s="32">
        <f t="shared" si="316"/>
        <v>0</v>
      </c>
      <c r="H2039" s="33">
        <f t="shared" si="315"/>
        <v>0</v>
      </c>
      <c r="K2039" t="str">
        <f xml:space="preserve"> B2032 &amp; B2039</f>
        <v>Z000165022Z040202006</v>
      </c>
    </row>
    <row r="2040" spans="1:11" outlineLevel="1" x14ac:dyDescent="0.2">
      <c r="A2040" s="29"/>
      <c r="B2040" s="30" t="s">
        <v>824</v>
      </c>
      <c r="C2040" s="30" t="s">
        <v>3418</v>
      </c>
      <c r="D2040" s="34" t="s">
        <v>1152</v>
      </c>
      <c r="E2040" s="31">
        <v>23.026500000000002</v>
      </c>
      <c r="F2040" s="31">
        <v>25</v>
      </c>
      <c r="G2040" s="32">
        <f t="shared" si="316"/>
        <v>575.66250000000002</v>
      </c>
      <c r="H2040" s="33">
        <f t="shared" si="315"/>
        <v>2.984839361179065E-6</v>
      </c>
      <c r="K2040" t="str">
        <f xml:space="preserve"> B2032 &amp; B2040</f>
        <v>Z000165022Z040308001</v>
      </c>
    </row>
    <row r="2041" spans="1:11" outlineLevel="1" x14ac:dyDescent="0.2">
      <c r="A2041" s="29"/>
      <c r="B2041" s="30" t="s">
        <v>842</v>
      </c>
      <c r="C2041" s="30" t="s">
        <v>3477</v>
      </c>
      <c r="D2041" s="34" t="s">
        <v>1152</v>
      </c>
      <c r="E2041" s="31">
        <v>21.93</v>
      </c>
      <c r="F2041" s="31">
        <v>450</v>
      </c>
      <c r="G2041" s="32">
        <f t="shared" si="316"/>
        <v>9868.5</v>
      </c>
      <c r="H2041" s="33">
        <f t="shared" si="315"/>
        <v>5.1168674763069687E-5</v>
      </c>
      <c r="K2041" t="str">
        <f xml:space="preserve"> B2032 &amp; B2041</f>
        <v>Z000165022Z040308007</v>
      </c>
    </row>
    <row r="2042" spans="1:11" outlineLevel="1" x14ac:dyDescent="0.2">
      <c r="A2042" s="29"/>
      <c r="B2042" s="30" t="s">
        <v>498</v>
      </c>
      <c r="C2042" s="30" t="s">
        <v>773</v>
      </c>
      <c r="D2042" s="34" t="s">
        <v>84</v>
      </c>
      <c r="E2042" s="31">
        <v>26.315999999999999</v>
      </c>
      <c r="F2042" s="31">
        <v>0</v>
      </c>
      <c r="G2042" s="32">
        <f t="shared" si="316"/>
        <v>0</v>
      </c>
      <c r="H2042" s="33">
        <f t="shared" si="315"/>
        <v>0</v>
      </c>
      <c r="K2042" t="str">
        <f xml:space="preserve"> B2032 &amp; B2042</f>
        <v>Z000165022Z040401001</v>
      </c>
    </row>
    <row r="2043" spans="1:11" outlineLevel="1" x14ac:dyDescent="0.2">
      <c r="A2043" s="29"/>
      <c r="B2043" s="30" t="s">
        <v>946</v>
      </c>
      <c r="C2043" s="30" t="s">
        <v>1695</v>
      </c>
      <c r="D2043" s="34" t="s">
        <v>1819</v>
      </c>
      <c r="E2043" s="31">
        <v>23.026500000000002</v>
      </c>
      <c r="F2043" s="31">
        <v>40</v>
      </c>
      <c r="G2043" s="32">
        <f t="shared" si="316"/>
        <v>921.06000000000006</v>
      </c>
      <c r="H2043" s="33">
        <f t="shared" si="315"/>
        <v>4.7757429778865041E-6</v>
      </c>
      <c r="K2043" t="str">
        <f xml:space="preserve"> B2032 &amp; B2043</f>
        <v>Z000165022Z060101023</v>
      </c>
    </row>
    <row r="2044" spans="1:11" outlineLevel="1" x14ac:dyDescent="0.2">
      <c r="A2044" s="11" t="s">
        <v>831</v>
      </c>
      <c r="B2044" s="11" t="s">
        <v>307</v>
      </c>
      <c r="C2044" s="11" t="s">
        <v>3945</v>
      </c>
      <c r="D2044" s="12" t="s">
        <v>1152</v>
      </c>
      <c r="E2044" s="13">
        <v>7.1</v>
      </c>
      <c r="F2044" s="14">
        <v>1137.0815</v>
      </c>
      <c r="G2044" s="15">
        <f>SUM(G2045:G2052)</f>
        <v>8073.2786500000002</v>
      </c>
      <c r="H2044" s="16">
        <f t="shared" si="315"/>
        <v>4.1860360694480857E-5</v>
      </c>
    </row>
    <row r="2045" spans="1:11" outlineLevel="1" x14ac:dyDescent="0.2">
      <c r="A2045" s="29"/>
      <c r="B2045" s="30" t="s">
        <v>1524</v>
      </c>
      <c r="C2045" s="30" t="s">
        <v>1373</v>
      </c>
      <c r="D2045" s="34" t="s">
        <v>1152</v>
      </c>
      <c r="E2045" s="31">
        <v>7.4550000000000001</v>
      </c>
      <c r="F2045" s="31">
        <v>570</v>
      </c>
      <c r="G2045" s="32">
        <f t="shared" ref="G2045:G2052" si="317">F2045*E2045</f>
        <v>4249.3500000000004</v>
      </c>
      <c r="H2045" s="33">
        <f t="shared" si="315"/>
        <v>2.2033096023149434E-5</v>
      </c>
      <c r="K2045" t="str">
        <f xml:space="preserve"> B2044 &amp; B2045</f>
        <v>Z000169035Z020409016</v>
      </c>
    </row>
    <row r="2046" spans="1:11" outlineLevel="1" x14ac:dyDescent="0.2">
      <c r="A2046" s="29"/>
      <c r="B2046" s="30" t="s">
        <v>637</v>
      </c>
      <c r="C2046" s="30" t="s">
        <v>1256</v>
      </c>
      <c r="D2046" s="34" t="s">
        <v>1052</v>
      </c>
      <c r="E2046" s="31">
        <v>4.12439</v>
      </c>
      <c r="F2046" s="31">
        <v>35</v>
      </c>
      <c r="G2046" s="32">
        <f t="shared" si="317"/>
        <v>144.35364999999999</v>
      </c>
      <c r="H2046" s="33">
        <f t="shared" si="315"/>
        <v>7.4848102221330427E-7</v>
      </c>
      <c r="K2046" t="str">
        <f xml:space="preserve"> B2044 &amp; B2046</f>
        <v>Z000169035Z030203008</v>
      </c>
    </row>
    <row r="2047" spans="1:11" outlineLevel="1" x14ac:dyDescent="0.2">
      <c r="A2047" s="29"/>
      <c r="B2047" s="30" t="s">
        <v>1006</v>
      </c>
      <c r="C2047" s="30" t="s">
        <v>699</v>
      </c>
      <c r="D2047" s="34" t="s">
        <v>151</v>
      </c>
      <c r="E2047" s="31">
        <v>0</v>
      </c>
      <c r="F2047" s="31">
        <v>28.988</v>
      </c>
      <c r="G2047" s="32">
        <f t="shared" si="317"/>
        <v>0</v>
      </c>
      <c r="H2047" s="33">
        <f t="shared" si="315"/>
        <v>0</v>
      </c>
      <c r="K2047" t="str">
        <f xml:space="preserve"> B2044 &amp; B2047</f>
        <v>Z000169035Z040201011</v>
      </c>
    </row>
    <row r="2048" spans="1:11" outlineLevel="1" x14ac:dyDescent="0.2">
      <c r="A2048" s="29"/>
      <c r="B2048" s="30" t="s">
        <v>801</v>
      </c>
      <c r="C2048" s="30" t="s">
        <v>402</v>
      </c>
      <c r="D2048" s="34" t="s">
        <v>151</v>
      </c>
      <c r="E2048" s="31">
        <v>0</v>
      </c>
      <c r="F2048" s="31">
        <v>10.3</v>
      </c>
      <c r="G2048" s="32">
        <f t="shared" si="317"/>
        <v>0</v>
      </c>
      <c r="H2048" s="33">
        <f t="shared" si="315"/>
        <v>0</v>
      </c>
      <c r="K2048" t="str">
        <f xml:space="preserve"> B2044 &amp; B2048</f>
        <v>Z000169035Z040202006</v>
      </c>
    </row>
    <row r="2049" spans="1:11" outlineLevel="1" x14ac:dyDescent="0.2">
      <c r="A2049" s="29"/>
      <c r="B2049" s="30" t="s">
        <v>824</v>
      </c>
      <c r="C2049" s="30" t="s">
        <v>3418</v>
      </c>
      <c r="D2049" s="34" t="s">
        <v>1152</v>
      </c>
      <c r="E2049" s="31">
        <v>7.4550000000000001</v>
      </c>
      <c r="F2049" s="31">
        <v>25</v>
      </c>
      <c r="G2049" s="32">
        <f t="shared" si="317"/>
        <v>186.375</v>
      </c>
      <c r="H2049" s="33">
        <f t="shared" si="315"/>
        <v>9.6636386066444881E-7</v>
      </c>
      <c r="K2049" t="str">
        <f xml:space="preserve"> B2044 &amp; B2049</f>
        <v>Z000169035Z040308001</v>
      </c>
    </row>
    <row r="2050" spans="1:11" outlineLevel="1" x14ac:dyDescent="0.2">
      <c r="A2050" s="29"/>
      <c r="B2050" s="30" t="s">
        <v>975</v>
      </c>
      <c r="C2050" s="30" t="s">
        <v>3922</v>
      </c>
      <c r="D2050" s="34" t="s">
        <v>1152</v>
      </c>
      <c r="E2050" s="31">
        <v>7.1</v>
      </c>
      <c r="F2050" s="31">
        <v>450</v>
      </c>
      <c r="G2050" s="32">
        <f t="shared" si="317"/>
        <v>3195</v>
      </c>
      <c r="H2050" s="33">
        <f t="shared" si="315"/>
        <v>1.6566237611390552E-5</v>
      </c>
      <c r="K2050" t="str">
        <f xml:space="preserve"> B2044 &amp; B2050</f>
        <v>Z000169035Z040308024</v>
      </c>
    </row>
    <row r="2051" spans="1:11" outlineLevel="1" x14ac:dyDescent="0.2">
      <c r="A2051" s="29"/>
      <c r="B2051" s="30" t="s">
        <v>498</v>
      </c>
      <c r="C2051" s="30" t="s">
        <v>773</v>
      </c>
      <c r="D2051" s="34" t="s">
        <v>84</v>
      </c>
      <c r="E2051" s="31">
        <v>8.52</v>
      </c>
      <c r="F2051" s="31">
        <v>0</v>
      </c>
      <c r="G2051" s="32">
        <f t="shared" si="317"/>
        <v>0</v>
      </c>
      <c r="H2051" s="33">
        <f t="shared" si="315"/>
        <v>0</v>
      </c>
      <c r="K2051" t="str">
        <f xml:space="preserve"> B2044 &amp; B2051</f>
        <v>Z000169035Z040401001</v>
      </c>
    </row>
    <row r="2052" spans="1:11" outlineLevel="1" x14ac:dyDescent="0.2">
      <c r="A2052" s="29"/>
      <c r="B2052" s="30" t="s">
        <v>946</v>
      </c>
      <c r="C2052" s="30" t="s">
        <v>1695</v>
      </c>
      <c r="D2052" s="34" t="s">
        <v>1819</v>
      </c>
      <c r="E2052" s="31">
        <v>7.4550000000000001</v>
      </c>
      <c r="F2052" s="31">
        <v>40</v>
      </c>
      <c r="G2052" s="32">
        <f t="shared" si="317"/>
        <v>298.2</v>
      </c>
      <c r="H2052" s="33">
        <f t="shared" si="315"/>
        <v>1.5461821770631179E-6</v>
      </c>
      <c r="K2052" t="str">
        <f xml:space="preserve"> B2044 &amp; B2052</f>
        <v>Z000169035Z060101023</v>
      </c>
    </row>
    <row r="2053" spans="1:11" outlineLevel="1" x14ac:dyDescent="0.2">
      <c r="A2053" s="11" t="s">
        <v>834</v>
      </c>
      <c r="B2053" s="11" t="s">
        <v>294</v>
      </c>
      <c r="C2053" s="11" t="s">
        <v>3936</v>
      </c>
      <c r="D2053" s="12" t="s">
        <v>1152</v>
      </c>
      <c r="E2053" s="13">
        <v>7.5</v>
      </c>
      <c r="F2053" s="14">
        <v>3268.5815000000002</v>
      </c>
      <c r="G2053" s="15">
        <f>SUM(G2054:G2061)</f>
        <v>24514.361250000002</v>
      </c>
      <c r="H2053" s="16">
        <f t="shared" si="315"/>
        <v>1.2710821075397969E-4</v>
      </c>
    </row>
    <row r="2054" spans="1:11" outlineLevel="1" x14ac:dyDescent="0.2">
      <c r="A2054" s="29"/>
      <c r="B2054" s="30" t="s">
        <v>1513</v>
      </c>
      <c r="C2054" s="30" t="s">
        <v>1390</v>
      </c>
      <c r="D2054" s="34" t="s">
        <v>1152</v>
      </c>
      <c r="E2054" s="31">
        <v>7.875</v>
      </c>
      <c r="F2054" s="31">
        <v>2600</v>
      </c>
      <c r="G2054" s="32">
        <f t="shared" ref="G2054:G2061" si="318">F2054*E2054</f>
        <v>20475</v>
      </c>
      <c r="H2054" s="33">
        <f t="shared" si="315"/>
        <v>1.0616391708708029E-4</v>
      </c>
      <c r="K2054" t="str">
        <f xml:space="preserve"> B2053 &amp; B2054</f>
        <v>Z000169031Z020409010</v>
      </c>
    </row>
    <row r="2055" spans="1:11" outlineLevel="1" x14ac:dyDescent="0.2">
      <c r="A2055" s="29"/>
      <c r="B2055" s="30" t="s">
        <v>637</v>
      </c>
      <c r="C2055" s="30" t="s">
        <v>1256</v>
      </c>
      <c r="D2055" s="34" t="s">
        <v>1052</v>
      </c>
      <c r="E2055" s="31">
        <v>4.3567499999999999</v>
      </c>
      <c r="F2055" s="31">
        <v>35</v>
      </c>
      <c r="G2055" s="32">
        <f t="shared" si="318"/>
        <v>152.48624999999998</v>
      </c>
      <c r="H2055" s="33">
        <f t="shared" si="315"/>
        <v>7.9064896712672985E-7</v>
      </c>
      <c r="K2055" t="str">
        <f xml:space="preserve"> B2053 &amp; B2055</f>
        <v>Z000169031Z030203008</v>
      </c>
    </row>
    <row r="2056" spans="1:11" outlineLevel="1" x14ac:dyDescent="0.2">
      <c r="A2056" s="29"/>
      <c r="B2056" s="30" t="s">
        <v>1006</v>
      </c>
      <c r="C2056" s="30" t="s">
        <v>699</v>
      </c>
      <c r="D2056" s="34" t="s">
        <v>151</v>
      </c>
      <c r="E2056" s="31">
        <v>0</v>
      </c>
      <c r="F2056" s="31">
        <v>28.988</v>
      </c>
      <c r="G2056" s="32">
        <f t="shared" si="318"/>
        <v>0</v>
      </c>
      <c r="H2056" s="33">
        <f t="shared" si="315"/>
        <v>0</v>
      </c>
      <c r="K2056" t="str">
        <f xml:space="preserve"> B2053 &amp; B2056</f>
        <v>Z000169031Z040201011</v>
      </c>
    </row>
    <row r="2057" spans="1:11" outlineLevel="1" x14ac:dyDescent="0.2">
      <c r="A2057" s="29"/>
      <c r="B2057" s="30" t="s">
        <v>801</v>
      </c>
      <c r="C2057" s="30" t="s">
        <v>402</v>
      </c>
      <c r="D2057" s="34" t="s">
        <v>151</v>
      </c>
      <c r="E2057" s="31">
        <v>0</v>
      </c>
      <c r="F2057" s="31">
        <v>10.3</v>
      </c>
      <c r="G2057" s="32">
        <f t="shared" si="318"/>
        <v>0</v>
      </c>
      <c r="H2057" s="33">
        <f t="shared" ref="H2057:H2099" si="319">G2057/$F$2</f>
        <v>0</v>
      </c>
      <c r="K2057" t="str">
        <f xml:space="preserve"> B2053 &amp; B2057</f>
        <v>Z000169031Z040202006</v>
      </c>
    </row>
    <row r="2058" spans="1:11" outlineLevel="1" x14ac:dyDescent="0.2">
      <c r="A2058" s="29"/>
      <c r="B2058" s="30" t="s">
        <v>824</v>
      </c>
      <c r="C2058" s="30" t="s">
        <v>3418</v>
      </c>
      <c r="D2058" s="34" t="s">
        <v>1152</v>
      </c>
      <c r="E2058" s="31">
        <v>7.875</v>
      </c>
      <c r="F2058" s="31">
        <v>25</v>
      </c>
      <c r="G2058" s="32">
        <f t="shared" si="318"/>
        <v>196.875</v>
      </c>
      <c r="H2058" s="33">
        <f t="shared" si="319"/>
        <v>1.0208068950680796E-6</v>
      </c>
      <c r="K2058" t="str">
        <f xml:space="preserve"> B2053 &amp; B2058</f>
        <v>Z000169031Z040308001</v>
      </c>
    </row>
    <row r="2059" spans="1:11" outlineLevel="1" x14ac:dyDescent="0.2">
      <c r="A2059" s="29"/>
      <c r="B2059" s="30" t="s">
        <v>975</v>
      </c>
      <c r="C2059" s="30" t="s">
        <v>3922</v>
      </c>
      <c r="D2059" s="34" t="s">
        <v>1152</v>
      </c>
      <c r="E2059" s="31">
        <v>7.5</v>
      </c>
      <c r="F2059" s="31">
        <v>450</v>
      </c>
      <c r="G2059" s="32">
        <f t="shared" si="318"/>
        <v>3375</v>
      </c>
      <c r="H2059" s="33">
        <f t="shared" si="319"/>
        <v>1.7499546772595651E-5</v>
      </c>
      <c r="K2059" t="str">
        <f xml:space="preserve"> B2053 &amp; B2059</f>
        <v>Z000169031Z040308024</v>
      </c>
    </row>
    <row r="2060" spans="1:11" outlineLevel="1" x14ac:dyDescent="0.2">
      <c r="A2060" s="29"/>
      <c r="B2060" s="30" t="s">
        <v>498</v>
      </c>
      <c r="C2060" s="30" t="s">
        <v>773</v>
      </c>
      <c r="D2060" s="34" t="s">
        <v>84</v>
      </c>
      <c r="E2060" s="31">
        <v>9</v>
      </c>
      <c r="F2060" s="31">
        <v>0</v>
      </c>
      <c r="G2060" s="32">
        <f t="shared" si="318"/>
        <v>0</v>
      </c>
      <c r="H2060" s="33">
        <f t="shared" si="319"/>
        <v>0</v>
      </c>
      <c r="K2060" t="str">
        <f xml:space="preserve"> B2053 &amp; B2060</f>
        <v>Z000169031Z040401001</v>
      </c>
    </row>
    <row r="2061" spans="1:11" outlineLevel="1" x14ac:dyDescent="0.2">
      <c r="A2061" s="29"/>
      <c r="B2061" s="30" t="s">
        <v>946</v>
      </c>
      <c r="C2061" s="30" t="s">
        <v>1695</v>
      </c>
      <c r="D2061" s="34" t="s">
        <v>1819</v>
      </c>
      <c r="E2061" s="31">
        <v>7.875</v>
      </c>
      <c r="F2061" s="31">
        <v>40</v>
      </c>
      <c r="G2061" s="32">
        <f t="shared" si="318"/>
        <v>315</v>
      </c>
      <c r="H2061" s="33">
        <f t="shared" si="319"/>
        <v>1.6332910321089276E-6</v>
      </c>
      <c r="K2061" t="str">
        <f xml:space="preserve"> B2053 &amp; B2061</f>
        <v>Z000169031Z060101023</v>
      </c>
    </row>
    <row r="2062" spans="1:11" outlineLevel="1" x14ac:dyDescent="0.2">
      <c r="A2062" s="11" t="s">
        <v>837</v>
      </c>
      <c r="B2062" s="11" t="s">
        <v>174</v>
      </c>
      <c r="C2062" s="11" t="s">
        <v>3910</v>
      </c>
      <c r="D2062" s="12" t="s">
        <v>1152</v>
      </c>
      <c r="E2062" s="13">
        <v>13.6</v>
      </c>
      <c r="F2062" s="14">
        <v>448.87799999999999</v>
      </c>
      <c r="G2062" s="15">
        <f>SUM(G2063:G2072)</f>
        <v>6104.7407999999996</v>
      </c>
      <c r="H2062" s="16">
        <f t="shared" si="319"/>
        <v>3.1653391752347552E-5</v>
      </c>
    </row>
    <row r="2063" spans="1:11" outlineLevel="1" x14ac:dyDescent="0.2">
      <c r="A2063" s="29"/>
      <c r="B2063" s="30" t="s">
        <v>853</v>
      </c>
      <c r="C2063" s="30" t="s">
        <v>980</v>
      </c>
      <c r="D2063" s="34" t="s">
        <v>1052</v>
      </c>
      <c r="E2063" s="31">
        <v>117.23199999999999</v>
      </c>
      <c r="F2063" s="31">
        <v>0.9</v>
      </c>
      <c r="G2063" s="32">
        <f t="shared" ref="G2063:G2072" si="320">F2063*E2063</f>
        <v>105.50879999999999</v>
      </c>
      <c r="H2063" s="33">
        <f t="shared" si="319"/>
        <v>5.4706849793198219E-7</v>
      </c>
      <c r="K2063" t="str">
        <f xml:space="preserve"> B2062 &amp; B2063</f>
        <v>Z000169016Z020201001</v>
      </c>
    </row>
    <row r="2064" spans="1:11" outlineLevel="1" x14ac:dyDescent="0.2">
      <c r="A2064" s="29"/>
      <c r="B2064" s="30" t="s">
        <v>706</v>
      </c>
      <c r="C2064" s="30" t="s">
        <v>130</v>
      </c>
      <c r="D2064" s="34" t="s">
        <v>1052</v>
      </c>
      <c r="E2064" s="31">
        <v>1.9040000000000001</v>
      </c>
      <c r="F2064" s="31">
        <v>8</v>
      </c>
      <c r="G2064" s="32">
        <f t="shared" si="320"/>
        <v>15.232000000000001</v>
      </c>
      <c r="H2064" s="33">
        <f t="shared" si="319"/>
        <v>7.8978695241533921E-8</v>
      </c>
      <c r="K2064" t="str">
        <f xml:space="preserve"> B2062 &amp; B2064</f>
        <v>Z000169016Z020202001</v>
      </c>
    </row>
    <row r="2065" spans="1:11" outlineLevel="1" x14ac:dyDescent="0.2">
      <c r="A2065" s="29"/>
      <c r="B2065" s="30" t="s">
        <v>431</v>
      </c>
      <c r="C2065" s="30" t="s">
        <v>3912</v>
      </c>
      <c r="D2065" s="34" t="s">
        <v>1152</v>
      </c>
      <c r="E2065" s="31">
        <v>14.96</v>
      </c>
      <c r="F2065" s="31">
        <v>250</v>
      </c>
      <c r="G2065" s="32">
        <f t="shared" si="320"/>
        <v>3740</v>
      </c>
      <c r="H2065" s="33">
        <f t="shared" si="319"/>
        <v>1.9392090349483774E-5</v>
      </c>
      <c r="K2065" t="str">
        <f xml:space="preserve"> B2062 &amp; B2065</f>
        <v>Z000169016Z020410003</v>
      </c>
    </row>
    <row r="2066" spans="1:11" outlineLevel="1" x14ac:dyDescent="0.2">
      <c r="A2066" s="29"/>
      <c r="B2066" s="30" t="s">
        <v>1006</v>
      </c>
      <c r="C2066" s="30" t="s">
        <v>699</v>
      </c>
      <c r="D2066" s="34" t="s">
        <v>151</v>
      </c>
      <c r="E2066" s="31">
        <v>0</v>
      </c>
      <c r="F2066" s="31">
        <v>28.988</v>
      </c>
      <c r="G2066" s="32">
        <f t="shared" si="320"/>
        <v>0</v>
      </c>
      <c r="H2066" s="33">
        <f t="shared" si="319"/>
        <v>0</v>
      </c>
      <c r="K2066" t="str">
        <f xml:space="preserve"> B2062 &amp; B2066</f>
        <v>Z000169016Z040201011</v>
      </c>
    </row>
    <row r="2067" spans="1:11" outlineLevel="1" x14ac:dyDescent="0.2">
      <c r="A2067" s="29"/>
      <c r="B2067" s="30" t="s">
        <v>801</v>
      </c>
      <c r="C2067" s="30" t="s">
        <v>402</v>
      </c>
      <c r="D2067" s="34" t="s">
        <v>151</v>
      </c>
      <c r="E2067" s="31">
        <v>0</v>
      </c>
      <c r="F2067" s="31">
        <v>10.3</v>
      </c>
      <c r="G2067" s="32">
        <f t="shared" si="320"/>
        <v>0</v>
      </c>
      <c r="H2067" s="33">
        <f t="shared" si="319"/>
        <v>0</v>
      </c>
      <c r="K2067" t="str">
        <f xml:space="preserve"> B2062 &amp; B2067</f>
        <v>Z000169016Z040202006</v>
      </c>
    </row>
    <row r="2068" spans="1:11" outlineLevel="1" x14ac:dyDescent="0.2">
      <c r="A2068" s="29"/>
      <c r="B2068" s="30" t="s">
        <v>824</v>
      </c>
      <c r="C2068" s="30" t="s">
        <v>3418</v>
      </c>
      <c r="D2068" s="34" t="s">
        <v>1152</v>
      </c>
      <c r="E2068" s="31">
        <v>14.96</v>
      </c>
      <c r="F2068" s="31">
        <v>25</v>
      </c>
      <c r="G2068" s="32">
        <f t="shared" si="320"/>
        <v>374</v>
      </c>
      <c r="H2068" s="33">
        <f t="shared" si="319"/>
        <v>1.9392090349483774E-6</v>
      </c>
      <c r="K2068" t="str">
        <f xml:space="preserve"> B2062 &amp; B2068</f>
        <v>Z000169016Z040308001</v>
      </c>
    </row>
    <row r="2069" spans="1:11" outlineLevel="1" x14ac:dyDescent="0.2">
      <c r="A2069" s="29"/>
      <c r="B2069" s="30" t="s">
        <v>903</v>
      </c>
      <c r="C2069" s="30" t="s">
        <v>864</v>
      </c>
      <c r="D2069" s="34" t="s">
        <v>1152</v>
      </c>
      <c r="E2069" s="31">
        <v>13.6</v>
      </c>
      <c r="F2069" s="31">
        <v>3.5</v>
      </c>
      <c r="G2069" s="32">
        <f t="shared" si="320"/>
        <v>47.6</v>
      </c>
      <c r="H2069" s="33">
        <f t="shared" si="319"/>
        <v>2.4680842262979347E-7</v>
      </c>
      <c r="K2069" t="str">
        <f xml:space="preserve"> B2062 &amp; B2069</f>
        <v>Z000169016Z040308018</v>
      </c>
    </row>
    <row r="2070" spans="1:11" outlineLevel="1" x14ac:dyDescent="0.2">
      <c r="A2070" s="29"/>
      <c r="B2070" s="30" t="s">
        <v>976</v>
      </c>
      <c r="C2070" s="30" t="s">
        <v>3918</v>
      </c>
      <c r="D2070" s="34" t="s">
        <v>1152</v>
      </c>
      <c r="E2070" s="31">
        <v>13.6</v>
      </c>
      <c r="F2070" s="31">
        <v>90</v>
      </c>
      <c r="G2070" s="32">
        <f t="shared" si="320"/>
        <v>1224</v>
      </c>
      <c r="H2070" s="33">
        <f t="shared" si="319"/>
        <v>6.3465022961946897E-6</v>
      </c>
      <c r="K2070" t="str">
        <f xml:space="preserve"> B2062 &amp; B2070</f>
        <v>Z000169016Z040308025</v>
      </c>
    </row>
    <row r="2071" spans="1:11" outlineLevel="1" x14ac:dyDescent="0.2">
      <c r="A2071" s="29"/>
      <c r="B2071" s="30" t="s">
        <v>498</v>
      </c>
      <c r="C2071" s="30" t="s">
        <v>773</v>
      </c>
      <c r="D2071" s="34" t="s">
        <v>84</v>
      </c>
      <c r="E2071" s="31">
        <v>16.32</v>
      </c>
      <c r="F2071" s="31">
        <v>0</v>
      </c>
      <c r="G2071" s="32">
        <f t="shared" si="320"/>
        <v>0</v>
      </c>
      <c r="H2071" s="33">
        <f t="shared" si="319"/>
        <v>0</v>
      </c>
      <c r="K2071" t="str">
        <f xml:space="preserve"> B2062 &amp; B2071</f>
        <v>Z000169016Z040401001</v>
      </c>
    </row>
    <row r="2072" spans="1:11" outlineLevel="1" x14ac:dyDescent="0.2">
      <c r="A2072" s="29"/>
      <c r="B2072" s="30" t="s">
        <v>946</v>
      </c>
      <c r="C2072" s="30" t="s">
        <v>1695</v>
      </c>
      <c r="D2072" s="34" t="s">
        <v>1819</v>
      </c>
      <c r="E2072" s="31">
        <v>14.96</v>
      </c>
      <c r="F2072" s="31">
        <v>40</v>
      </c>
      <c r="G2072" s="32">
        <f t="shared" si="320"/>
        <v>598.40000000000009</v>
      </c>
      <c r="H2072" s="33">
        <f t="shared" si="319"/>
        <v>3.1027344559174041E-6</v>
      </c>
      <c r="K2072" t="str">
        <f xml:space="preserve"> B2062 &amp; B2072</f>
        <v>Z000169016Z060101023</v>
      </c>
    </row>
    <row r="2073" spans="1:11" outlineLevel="1" x14ac:dyDescent="0.2">
      <c r="A2073" s="11" t="s">
        <v>841</v>
      </c>
      <c r="B2073" s="11" t="s">
        <v>249</v>
      </c>
      <c r="C2073" s="11" t="s">
        <v>3924</v>
      </c>
      <c r="D2073" s="12" t="s">
        <v>1152</v>
      </c>
      <c r="E2073" s="13">
        <v>35.36</v>
      </c>
      <c r="F2073" s="14">
        <v>1768.8860000000002</v>
      </c>
      <c r="G2073" s="15">
        <f>SUM(G2074:G2083)</f>
        <v>62547.808960000009</v>
      </c>
      <c r="H2073" s="16">
        <f t="shared" si="319"/>
        <v>3.2431357286485853E-4</v>
      </c>
    </row>
    <row r="2074" spans="1:11" outlineLevel="1" x14ac:dyDescent="0.2">
      <c r="A2074" s="29"/>
      <c r="B2074" s="30" t="s">
        <v>853</v>
      </c>
      <c r="C2074" s="30" t="s">
        <v>980</v>
      </c>
      <c r="D2074" s="34" t="s">
        <v>1052</v>
      </c>
      <c r="E2074" s="31">
        <v>304.80319999999995</v>
      </c>
      <c r="F2074" s="31">
        <v>0.9</v>
      </c>
      <c r="G2074" s="32">
        <f t="shared" ref="G2074:G2083" si="321">F2074*E2074</f>
        <v>274.32287999999994</v>
      </c>
      <c r="H2074" s="33">
        <f t="shared" si="319"/>
        <v>1.4223780946231535E-6</v>
      </c>
      <c r="K2074" t="str">
        <f xml:space="preserve"> B2073 &amp; B2074</f>
        <v>Z000169028Z020201001</v>
      </c>
    </row>
    <row r="2075" spans="1:11" outlineLevel="1" x14ac:dyDescent="0.2">
      <c r="A2075" s="29"/>
      <c r="B2075" s="30" t="s">
        <v>706</v>
      </c>
      <c r="C2075" s="30" t="s">
        <v>130</v>
      </c>
      <c r="D2075" s="34" t="s">
        <v>1052</v>
      </c>
      <c r="E2075" s="31">
        <v>4.9857599999999991</v>
      </c>
      <c r="F2075" s="31">
        <v>8</v>
      </c>
      <c r="G2075" s="32">
        <f t="shared" si="321"/>
        <v>39.886079999999993</v>
      </c>
      <c r="H2075" s="33">
        <f t="shared" si="319"/>
        <v>2.068113548253309E-7</v>
      </c>
      <c r="K2075" t="str">
        <f xml:space="preserve"> B2073 &amp; B2075</f>
        <v>Z000169028Z020202001</v>
      </c>
    </row>
    <row r="2076" spans="1:11" outlineLevel="1" x14ac:dyDescent="0.2">
      <c r="A2076" s="29"/>
      <c r="B2076" s="30" t="s">
        <v>435</v>
      </c>
      <c r="C2076" s="30" t="s">
        <v>3929</v>
      </c>
      <c r="D2076" s="34" t="s">
        <v>1152</v>
      </c>
      <c r="E2076" s="31">
        <v>38.896000000000001</v>
      </c>
      <c r="F2076" s="31">
        <v>1450</v>
      </c>
      <c r="G2076" s="32">
        <f t="shared" si="321"/>
        <v>56399.200000000004</v>
      </c>
      <c r="H2076" s="33">
        <f t="shared" si="319"/>
        <v>2.9243272247021535E-4</v>
      </c>
      <c r="K2076" t="str">
        <f xml:space="preserve"> B2073 &amp; B2076</f>
        <v>Z000169028Z020410005</v>
      </c>
    </row>
    <row r="2077" spans="1:11" outlineLevel="1" x14ac:dyDescent="0.2">
      <c r="A2077" s="29"/>
      <c r="B2077" s="30" t="s">
        <v>1006</v>
      </c>
      <c r="C2077" s="30" t="s">
        <v>699</v>
      </c>
      <c r="D2077" s="34" t="s">
        <v>151</v>
      </c>
      <c r="E2077" s="31">
        <v>0</v>
      </c>
      <c r="F2077" s="31">
        <v>28.988</v>
      </c>
      <c r="G2077" s="32">
        <f t="shared" si="321"/>
        <v>0</v>
      </c>
      <c r="H2077" s="33">
        <f t="shared" si="319"/>
        <v>0</v>
      </c>
      <c r="K2077" t="str">
        <f xml:space="preserve"> B2073 &amp; B2077</f>
        <v>Z000169028Z040201011</v>
      </c>
    </row>
    <row r="2078" spans="1:11" outlineLevel="1" x14ac:dyDescent="0.2">
      <c r="A2078" s="29"/>
      <c r="B2078" s="30" t="s">
        <v>801</v>
      </c>
      <c r="C2078" s="30" t="s">
        <v>402</v>
      </c>
      <c r="D2078" s="34" t="s">
        <v>151</v>
      </c>
      <c r="E2078" s="31">
        <v>0</v>
      </c>
      <c r="F2078" s="31">
        <v>10.3</v>
      </c>
      <c r="G2078" s="32">
        <f t="shared" si="321"/>
        <v>0</v>
      </c>
      <c r="H2078" s="33">
        <f t="shared" si="319"/>
        <v>0</v>
      </c>
      <c r="K2078" t="str">
        <f xml:space="preserve"> B2073 &amp; B2078</f>
        <v>Z000169028Z040202006</v>
      </c>
    </row>
    <row r="2079" spans="1:11" outlineLevel="1" x14ac:dyDescent="0.2">
      <c r="A2079" s="29"/>
      <c r="B2079" s="30" t="s">
        <v>824</v>
      </c>
      <c r="C2079" s="30" t="s">
        <v>3418</v>
      </c>
      <c r="D2079" s="34" t="s">
        <v>1152</v>
      </c>
      <c r="E2079" s="31">
        <v>38.896000000000001</v>
      </c>
      <c r="F2079" s="31">
        <v>25</v>
      </c>
      <c r="G2079" s="32">
        <f t="shared" si="321"/>
        <v>972.4</v>
      </c>
      <c r="H2079" s="33">
        <f t="shared" si="319"/>
        <v>5.0419434908657811E-6</v>
      </c>
      <c r="K2079" t="str">
        <f xml:space="preserve"> B2073 &amp; B2079</f>
        <v>Z000169028Z040308001</v>
      </c>
    </row>
    <row r="2080" spans="1:11" outlineLevel="1" x14ac:dyDescent="0.2">
      <c r="A2080" s="29"/>
      <c r="B2080" s="30" t="s">
        <v>903</v>
      </c>
      <c r="C2080" s="30" t="s">
        <v>864</v>
      </c>
      <c r="D2080" s="34" t="s">
        <v>1152</v>
      </c>
      <c r="E2080" s="31">
        <v>35.36</v>
      </c>
      <c r="F2080" s="31">
        <v>3.5</v>
      </c>
      <c r="G2080" s="32">
        <f t="shared" si="321"/>
        <v>123.75999999999999</v>
      </c>
      <c r="H2080" s="33">
        <f t="shared" si="319"/>
        <v>6.41701898837463E-7</v>
      </c>
      <c r="K2080" t="str">
        <f xml:space="preserve"> B2073 &amp; B2080</f>
        <v>Z000169028Z040308018</v>
      </c>
    </row>
    <row r="2081" spans="1:11" outlineLevel="1" x14ac:dyDescent="0.2">
      <c r="A2081" s="29"/>
      <c r="B2081" s="30" t="s">
        <v>976</v>
      </c>
      <c r="C2081" s="30" t="s">
        <v>3918</v>
      </c>
      <c r="D2081" s="34" t="s">
        <v>1152</v>
      </c>
      <c r="E2081" s="31">
        <v>35.36</v>
      </c>
      <c r="F2081" s="31">
        <v>90</v>
      </c>
      <c r="G2081" s="32">
        <f t="shared" si="321"/>
        <v>3182.4</v>
      </c>
      <c r="H2081" s="33">
        <f t="shared" si="319"/>
        <v>1.6500905970106194E-5</v>
      </c>
      <c r="K2081" t="str">
        <f xml:space="preserve"> B2073 &amp; B2081</f>
        <v>Z000169028Z040308025</v>
      </c>
    </row>
    <row r="2082" spans="1:11" outlineLevel="1" x14ac:dyDescent="0.2">
      <c r="A2082" s="29"/>
      <c r="B2082" s="30" t="s">
        <v>498</v>
      </c>
      <c r="C2082" s="30" t="s">
        <v>773</v>
      </c>
      <c r="D2082" s="34" t="s">
        <v>84</v>
      </c>
      <c r="E2082" s="31">
        <v>42.431999999999995</v>
      </c>
      <c r="F2082" s="31">
        <v>0</v>
      </c>
      <c r="G2082" s="32">
        <f t="shared" si="321"/>
        <v>0</v>
      </c>
      <c r="H2082" s="33">
        <f t="shared" si="319"/>
        <v>0</v>
      </c>
      <c r="K2082" t="str">
        <f xml:space="preserve"> B2073 &amp; B2082</f>
        <v>Z000169028Z040401001</v>
      </c>
    </row>
    <row r="2083" spans="1:11" outlineLevel="1" x14ac:dyDescent="0.2">
      <c r="A2083" s="29"/>
      <c r="B2083" s="30" t="s">
        <v>946</v>
      </c>
      <c r="C2083" s="30" t="s">
        <v>1695</v>
      </c>
      <c r="D2083" s="34" t="s">
        <v>1819</v>
      </c>
      <c r="E2083" s="31">
        <v>38.896000000000001</v>
      </c>
      <c r="F2083" s="31">
        <v>40</v>
      </c>
      <c r="G2083" s="32">
        <f t="shared" si="321"/>
        <v>1555.8400000000001</v>
      </c>
      <c r="H2083" s="33">
        <f t="shared" si="319"/>
        <v>8.0671095853852515E-6</v>
      </c>
      <c r="K2083" t="str">
        <f xml:space="preserve"> B2073 &amp; B2083</f>
        <v>Z000169028Z060101023</v>
      </c>
    </row>
    <row r="2084" spans="1:11" outlineLevel="1" x14ac:dyDescent="0.2">
      <c r="A2084" s="11" t="s">
        <v>873</v>
      </c>
      <c r="B2084" s="11" t="s">
        <v>236</v>
      </c>
      <c r="C2084" s="11" t="s">
        <v>3877</v>
      </c>
      <c r="D2084" s="12" t="s">
        <v>1152</v>
      </c>
      <c r="E2084" s="13">
        <v>70.430000000000007</v>
      </c>
      <c r="F2084" s="14">
        <v>497.05259999999998</v>
      </c>
      <c r="G2084" s="15">
        <f>SUM(G2085:G2095)</f>
        <v>35007.414618000003</v>
      </c>
      <c r="H2084" s="16">
        <f t="shared" si="319"/>
        <v>1.8151522651713772E-4</v>
      </c>
    </row>
    <row r="2085" spans="1:11" outlineLevel="1" x14ac:dyDescent="0.2">
      <c r="A2085" s="29"/>
      <c r="B2085" s="30" t="s">
        <v>853</v>
      </c>
      <c r="C2085" s="30" t="s">
        <v>980</v>
      </c>
      <c r="D2085" s="34" t="s">
        <v>1052</v>
      </c>
      <c r="E2085" s="31">
        <v>68.317100000000011</v>
      </c>
      <c r="F2085" s="31">
        <v>0.9</v>
      </c>
      <c r="G2085" s="32">
        <f t="shared" ref="G2085:G2095" si="322">F2085*E2085</f>
        <v>61.48539000000001</v>
      </c>
      <c r="H2085" s="33">
        <f t="shared" si="319"/>
        <v>3.1880487648482522E-7</v>
      </c>
      <c r="K2085" t="str">
        <f xml:space="preserve"> B2084 &amp; B2085</f>
        <v>Z000168004Z020201001</v>
      </c>
    </row>
    <row r="2086" spans="1:11" outlineLevel="1" x14ac:dyDescent="0.2">
      <c r="A2086" s="29"/>
      <c r="B2086" s="30" t="s">
        <v>1598</v>
      </c>
      <c r="C2086" s="30" t="s">
        <v>3882</v>
      </c>
      <c r="D2086" s="34" t="s">
        <v>1152</v>
      </c>
      <c r="E2086" s="31">
        <v>73.95150000000001</v>
      </c>
      <c r="F2086" s="31">
        <v>345</v>
      </c>
      <c r="G2086" s="32">
        <f t="shared" si="322"/>
        <v>25513.267500000002</v>
      </c>
      <c r="H2086" s="33">
        <f t="shared" si="319"/>
        <v>1.3228759050014653E-4</v>
      </c>
      <c r="K2086" t="str">
        <f xml:space="preserve"> B2084 &amp; B2086</f>
        <v>Z000168004Z020408004</v>
      </c>
    </row>
    <row r="2087" spans="1:11" outlineLevel="1" x14ac:dyDescent="0.2">
      <c r="A2087" s="29"/>
      <c r="B2087" s="30" t="s">
        <v>628</v>
      </c>
      <c r="C2087" s="30" t="s">
        <v>821</v>
      </c>
      <c r="D2087" s="34" t="s">
        <v>1052</v>
      </c>
      <c r="E2087" s="31">
        <v>37.327900000000007</v>
      </c>
      <c r="F2087" s="31">
        <v>67.319999999999993</v>
      </c>
      <c r="G2087" s="32">
        <f t="shared" si="322"/>
        <v>2512.9142280000001</v>
      </c>
      <c r="H2087" s="33">
        <f t="shared" si="319"/>
        <v>1.3029588168416916E-5</v>
      </c>
      <c r="K2087" t="str">
        <f xml:space="preserve"> B2084 &amp; B2087</f>
        <v>Z000168004Z030203005</v>
      </c>
    </row>
    <row r="2088" spans="1:11" outlineLevel="1" x14ac:dyDescent="0.2">
      <c r="A2088" s="29"/>
      <c r="B2088" s="30" t="s">
        <v>1006</v>
      </c>
      <c r="C2088" s="30" t="s">
        <v>699</v>
      </c>
      <c r="D2088" s="34" t="s">
        <v>151</v>
      </c>
      <c r="E2088" s="31">
        <v>0</v>
      </c>
      <c r="F2088" s="31">
        <v>28.988</v>
      </c>
      <c r="G2088" s="32">
        <f t="shared" si="322"/>
        <v>0</v>
      </c>
      <c r="H2088" s="33">
        <f t="shared" si="319"/>
        <v>0</v>
      </c>
      <c r="K2088" t="str">
        <f xml:space="preserve"> B2084 &amp; B2088</f>
        <v>Z000168004Z040201011</v>
      </c>
    </row>
    <row r="2089" spans="1:11" outlineLevel="1" x14ac:dyDescent="0.2">
      <c r="A2089" s="29"/>
      <c r="B2089" s="30" t="s">
        <v>801</v>
      </c>
      <c r="C2089" s="30" t="s">
        <v>402</v>
      </c>
      <c r="D2089" s="34" t="s">
        <v>151</v>
      </c>
      <c r="E2089" s="31">
        <v>0</v>
      </c>
      <c r="F2089" s="31">
        <v>10.3</v>
      </c>
      <c r="G2089" s="32">
        <f t="shared" si="322"/>
        <v>0</v>
      </c>
      <c r="H2089" s="33">
        <f t="shared" si="319"/>
        <v>0</v>
      </c>
      <c r="K2089" t="str">
        <f xml:space="preserve"> B2084 &amp; B2089</f>
        <v>Z000168004Z040202006</v>
      </c>
    </row>
    <row r="2090" spans="1:11" outlineLevel="1" x14ac:dyDescent="0.2">
      <c r="A2090" s="29"/>
      <c r="B2090" s="30" t="s">
        <v>824</v>
      </c>
      <c r="C2090" s="30" t="s">
        <v>3418</v>
      </c>
      <c r="D2090" s="34" t="s">
        <v>1152</v>
      </c>
      <c r="E2090" s="31">
        <v>73.95150000000001</v>
      </c>
      <c r="F2090" s="31">
        <v>25</v>
      </c>
      <c r="G2090" s="32">
        <f t="shared" si="322"/>
        <v>1848.7875000000004</v>
      </c>
      <c r="H2090" s="33">
        <f t="shared" si="319"/>
        <v>9.586057282619316E-6</v>
      </c>
      <c r="K2090" t="str">
        <f xml:space="preserve"> B2084 &amp; B2090</f>
        <v>Z000168004Z040308001</v>
      </c>
    </row>
    <row r="2091" spans="1:11" outlineLevel="1" x14ac:dyDescent="0.2">
      <c r="A2091" s="29"/>
      <c r="B2091" s="30" t="s">
        <v>900</v>
      </c>
      <c r="C2091" s="30" t="s">
        <v>3888</v>
      </c>
      <c r="D2091" s="34" t="s">
        <v>153</v>
      </c>
      <c r="E2091" s="31">
        <v>70.430000000000007</v>
      </c>
      <c r="F2091" s="31">
        <v>30</v>
      </c>
      <c r="G2091" s="32">
        <f t="shared" si="322"/>
        <v>2112.9</v>
      </c>
      <c r="H2091" s="33">
        <f t="shared" si="319"/>
        <v>1.0955494037279217E-5</v>
      </c>
      <c r="K2091" t="str">
        <f xml:space="preserve"> B2084 &amp; B2091</f>
        <v>Z000168004Z040308017</v>
      </c>
    </row>
    <row r="2092" spans="1:11" outlineLevel="1" x14ac:dyDescent="0.2">
      <c r="A2092" s="29"/>
      <c r="B2092" s="30" t="s">
        <v>498</v>
      </c>
      <c r="C2092" s="30" t="s">
        <v>773</v>
      </c>
      <c r="D2092" s="34" t="s">
        <v>84</v>
      </c>
      <c r="E2092" s="31">
        <v>84.516000000000005</v>
      </c>
      <c r="F2092" s="31">
        <v>0</v>
      </c>
      <c r="G2092" s="32">
        <f t="shared" si="322"/>
        <v>0</v>
      </c>
      <c r="H2092" s="33">
        <f t="shared" si="319"/>
        <v>0</v>
      </c>
      <c r="K2092" t="str">
        <f xml:space="preserve"> B2084 &amp; B2092</f>
        <v>Z000168004Z040401001</v>
      </c>
    </row>
    <row r="2093" spans="1:11" outlineLevel="1" x14ac:dyDescent="0.2">
      <c r="A2093" s="29"/>
      <c r="B2093" s="30" t="s">
        <v>1970</v>
      </c>
      <c r="C2093" s="30" t="s">
        <v>1166</v>
      </c>
      <c r="D2093" s="34" t="s">
        <v>764</v>
      </c>
      <c r="E2093" s="31">
        <v>0</v>
      </c>
      <c r="F2093" s="31">
        <v>30.29</v>
      </c>
      <c r="G2093" s="32">
        <f t="shared" si="322"/>
        <v>0</v>
      </c>
      <c r="H2093" s="33">
        <f t="shared" si="319"/>
        <v>0</v>
      </c>
      <c r="K2093" t="str">
        <f xml:space="preserve"> B2084 &amp; B2093</f>
        <v>Z000168004Z050103007</v>
      </c>
    </row>
    <row r="2094" spans="1:11" outlineLevel="1" x14ac:dyDescent="0.2">
      <c r="A2094" s="29"/>
      <c r="B2094" s="30" t="s">
        <v>1971</v>
      </c>
      <c r="C2094" s="30" t="s">
        <v>1147</v>
      </c>
      <c r="D2094" s="34" t="s">
        <v>742</v>
      </c>
      <c r="E2094" s="31">
        <v>0</v>
      </c>
      <c r="F2094" s="31">
        <v>28.81</v>
      </c>
      <c r="G2094" s="32">
        <f t="shared" si="322"/>
        <v>0</v>
      </c>
      <c r="H2094" s="33">
        <f t="shared" si="319"/>
        <v>0</v>
      </c>
      <c r="K2094" t="str">
        <f xml:space="preserve"> B2084 &amp; B2094</f>
        <v>Z000168004Z050103008</v>
      </c>
    </row>
    <row r="2095" spans="1:11" outlineLevel="1" x14ac:dyDescent="0.2">
      <c r="A2095" s="29"/>
      <c r="B2095" s="30" t="s">
        <v>946</v>
      </c>
      <c r="C2095" s="30" t="s">
        <v>1695</v>
      </c>
      <c r="D2095" s="34" t="s">
        <v>1819</v>
      </c>
      <c r="E2095" s="31">
        <v>73.95150000000001</v>
      </c>
      <c r="F2095" s="31">
        <v>40</v>
      </c>
      <c r="G2095" s="32">
        <f t="shared" si="322"/>
        <v>2958.0600000000004</v>
      </c>
      <c r="H2095" s="33">
        <f t="shared" si="319"/>
        <v>1.5337691652190903E-5</v>
      </c>
      <c r="K2095" t="str">
        <f xml:space="preserve"> B2084 &amp; B2095</f>
        <v>Z000168004Z060101023</v>
      </c>
    </row>
    <row r="2096" spans="1:11" outlineLevel="1" x14ac:dyDescent="0.2">
      <c r="A2096" s="11" t="s">
        <v>875</v>
      </c>
      <c r="B2096" s="11" t="s">
        <v>166</v>
      </c>
      <c r="C2096" s="11" t="s">
        <v>3891</v>
      </c>
      <c r="D2096" s="12" t="s">
        <v>1152</v>
      </c>
      <c r="E2096" s="13">
        <v>3.64</v>
      </c>
      <c r="F2096" s="14">
        <v>1147.9000000000001</v>
      </c>
      <c r="G2096" s="15">
        <f>SUM(G2097:G2104)</f>
        <v>4178.3560000000007</v>
      </c>
      <c r="H2096" s="16">
        <f t="shared" si="319"/>
        <v>2.1664988519868352E-5</v>
      </c>
    </row>
    <row r="2097" spans="1:11" outlineLevel="1" x14ac:dyDescent="0.2">
      <c r="A2097" s="29"/>
      <c r="B2097" s="30" t="s">
        <v>319</v>
      </c>
      <c r="C2097" s="30" t="s">
        <v>925</v>
      </c>
      <c r="D2097" s="34" t="s">
        <v>1152</v>
      </c>
      <c r="E2097" s="31">
        <v>3.8220000000000005</v>
      </c>
      <c r="F2097" s="31">
        <v>570</v>
      </c>
      <c r="G2097" s="32">
        <f t="shared" ref="G2097:G2104" si="323">F2097*E2097</f>
        <v>2178.5400000000004</v>
      </c>
      <c r="H2097" s="33">
        <f t="shared" si="319"/>
        <v>1.1295840778065345E-5</v>
      </c>
      <c r="K2097" t="str">
        <f xml:space="preserve"> B2096 &amp; B2097</f>
        <v>Z000169011Z020411002</v>
      </c>
    </row>
    <row r="2098" spans="1:11" outlineLevel="1" x14ac:dyDescent="0.2">
      <c r="A2098" s="29"/>
      <c r="B2098" s="30" t="s">
        <v>637</v>
      </c>
      <c r="C2098" s="30" t="s">
        <v>1256</v>
      </c>
      <c r="D2098" s="34" t="s">
        <v>1052</v>
      </c>
      <c r="E2098" s="31">
        <v>3.2396000000000003</v>
      </c>
      <c r="F2098" s="31">
        <v>35</v>
      </c>
      <c r="G2098" s="32">
        <f t="shared" si="323"/>
        <v>113.38600000000001</v>
      </c>
      <c r="H2098" s="33">
        <f t="shared" si="319"/>
        <v>5.8791218084667576E-7</v>
      </c>
      <c r="K2098" t="str">
        <f xml:space="preserve"> B2096 &amp; B2098</f>
        <v>Z000169011Z030203008</v>
      </c>
    </row>
    <row r="2099" spans="1:11" outlineLevel="1" x14ac:dyDescent="0.2">
      <c r="A2099" s="29"/>
      <c r="B2099" s="30" t="s">
        <v>1006</v>
      </c>
      <c r="C2099" s="30" t="s">
        <v>699</v>
      </c>
      <c r="D2099" s="34" t="s">
        <v>151</v>
      </c>
      <c r="E2099" s="31">
        <v>0</v>
      </c>
      <c r="F2099" s="31">
        <v>28.988</v>
      </c>
      <c r="G2099" s="32">
        <f t="shared" si="323"/>
        <v>0</v>
      </c>
      <c r="H2099" s="33">
        <f t="shared" si="319"/>
        <v>0</v>
      </c>
      <c r="K2099" t="str">
        <f xml:space="preserve"> B2096 &amp; B2099</f>
        <v>Z000169011Z040201011</v>
      </c>
    </row>
    <row r="2100" spans="1:11" outlineLevel="1" x14ac:dyDescent="0.2">
      <c r="A2100" s="29"/>
      <c r="B2100" s="30" t="s">
        <v>801</v>
      </c>
      <c r="C2100" s="30" t="s">
        <v>402</v>
      </c>
      <c r="D2100" s="34" t="s">
        <v>151</v>
      </c>
      <c r="E2100" s="31">
        <v>0</v>
      </c>
      <c r="F2100" s="31">
        <v>10.3</v>
      </c>
      <c r="G2100" s="32">
        <f t="shared" si="323"/>
        <v>0</v>
      </c>
      <c r="H2100" s="33">
        <f t="shared" ref="H2100:H2147" si="324">G2100/$F$2</f>
        <v>0</v>
      </c>
      <c r="K2100" t="str">
        <f xml:space="preserve"> B2096 &amp; B2100</f>
        <v>Z000169011Z040202006</v>
      </c>
    </row>
    <row r="2101" spans="1:11" outlineLevel="1" x14ac:dyDescent="0.2">
      <c r="A2101" s="29"/>
      <c r="B2101" s="30" t="s">
        <v>824</v>
      </c>
      <c r="C2101" s="30" t="s">
        <v>3418</v>
      </c>
      <c r="D2101" s="34" t="s">
        <v>1152</v>
      </c>
      <c r="E2101" s="31">
        <v>3.8220000000000005</v>
      </c>
      <c r="F2101" s="31">
        <v>25</v>
      </c>
      <c r="G2101" s="32">
        <f t="shared" si="323"/>
        <v>95.550000000000011</v>
      </c>
      <c r="H2101" s="33">
        <f t="shared" si="324"/>
        <v>4.9543161307304141E-7</v>
      </c>
      <c r="K2101" t="str">
        <f xml:space="preserve"> B2096 &amp; B2101</f>
        <v>Z000169011Z040308001</v>
      </c>
    </row>
    <row r="2102" spans="1:11" outlineLevel="1" x14ac:dyDescent="0.2">
      <c r="A2102" s="29"/>
      <c r="B2102" s="30" t="s">
        <v>1054</v>
      </c>
      <c r="C2102" s="30" t="s">
        <v>3896</v>
      </c>
      <c r="D2102" s="34" t="s">
        <v>1152</v>
      </c>
      <c r="E2102" s="31">
        <v>3.64</v>
      </c>
      <c r="F2102" s="31">
        <v>450</v>
      </c>
      <c r="G2102" s="32">
        <f t="shared" si="323"/>
        <v>1638</v>
      </c>
      <c r="H2102" s="33">
        <f t="shared" si="324"/>
        <v>8.4931133669664236E-6</v>
      </c>
      <c r="K2102" t="str">
        <f xml:space="preserve"> B2096 &amp; B2102</f>
        <v>Z000169011Z040308037</v>
      </c>
    </row>
    <row r="2103" spans="1:11" outlineLevel="1" x14ac:dyDescent="0.2">
      <c r="A2103" s="29"/>
      <c r="B2103" s="30" t="s">
        <v>498</v>
      </c>
      <c r="C2103" s="30" t="s">
        <v>773</v>
      </c>
      <c r="D2103" s="34" t="s">
        <v>84</v>
      </c>
      <c r="E2103" s="31">
        <v>4.3680000000000003</v>
      </c>
      <c r="F2103" s="31">
        <v>0</v>
      </c>
      <c r="G2103" s="32">
        <f t="shared" si="323"/>
        <v>0</v>
      </c>
      <c r="H2103" s="33">
        <f t="shared" si="324"/>
        <v>0</v>
      </c>
      <c r="K2103" t="str">
        <f xml:space="preserve"> B2096 &amp; B2103</f>
        <v>Z000169011Z040401001</v>
      </c>
    </row>
    <row r="2104" spans="1:11" outlineLevel="1" x14ac:dyDescent="0.2">
      <c r="A2104" s="29"/>
      <c r="B2104" s="30" t="s">
        <v>946</v>
      </c>
      <c r="C2104" s="30" t="s">
        <v>1695</v>
      </c>
      <c r="D2104" s="34" t="s">
        <v>1819</v>
      </c>
      <c r="E2104" s="31">
        <v>3.8220000000000005</v>
      </c>
      <c r="F2104" s="31">
        <v>40</v>
      </c>
      <c r="G2104" s="32">
        <f t="shared" si="323"/>
        <v>152.88000000000002</v>
      </c>
      <c r="H2104" s="33">
        <f t="shared" si="324"/>
        <v>7.9269058091686623E-7</v>
      </c>
      <c r="K2104" t="str">
        <f xml:space="preserve"> B2096 &amp; B2104</f>
        <v>Z000169011Z060101023</v>
      </c>
    </row>
    <row r="2105" spans="1:11" outlineLevel="1" x14ac:dyDescent="0.2">
      <c r="A2105" s="11" t="s">
        <v>878</v>
      </c>
      <c r="B2105" s="11" t="s">
        <v>170</v>
      </c>
      <c r="C2105" s="11" t="s">
        <v>3901</v>
      </c>
      <c r="D2105" s="12" t="s">
        <v>1152</v>
      </c>
      <c r="E2105" s="13">
        <v>2.3199999999999998</v>
      </c>
      <c r="F2105" s="14">
        <v>2754.3999999999996</v>
      </c>
      <c r="G2105" s="15">
        <f>SUM(G2106:G2113)</f>
        <v>6390.2079999999987</v>
      </c>
      <c r="H2105" s="16">
        <f t="shared" si="324"/>
        <v>3.3133553713367376E-5</v>
      </c>
    </row>
    <row r="2106" spans="1:11" outlineLevel="1" x14ac:dyDescent="0.2">
      <c r="A2106" s="29"/>
      <c r="B2106" s="30" t="s">
        <v>325</v>
      </c>
      <c r="C2106" s="30" t="s">
        <v>1351</v>
      </c>
      <c r="D2106" s="34" t="s">
        <v>1152</v>
      </c>
      <c r="E2106" s="31">
        <v>2.4359999999999999</v>
      </c>
      <c r="F2106" s="31">
        <v>2100</v>
      </c>
      <c r="G2106" s="32">
        <f t="shared" ref="G2106:G2113" si="325">F2106*E2106</f>
        <v>5115.5999999999995</v>
      </c>
      <c r="H2106" s="33">
        <f t="shared" si="324"/>
        <v>2.6524646361448978E-5</v>
      </c>
      <c r="K2106" t="str">
        <f xml:space="preserve"> B2105 &amp; B2106</f>
        <v>Z000169013Z020411004</v>
      </c>
    </row>
    <row r="2107" spans="1:11" outlineLevel="1" x14ac:dyDescent="0.2">
      <c r="A2107" s="29"/>
      <c r="B2107" s="30" t="s">
        <v>637</v>
      </c>
      <c r="C2107" s="30" t="s">
        <v>1256</v>
      </c>
      <c r="D2107" s="34" t="s">
        <v>1052</v>
      </c>
      <c r="E2107" s="31">
        <v>2.0648</v>
      </c>
      <c r="F2107" s="31">
        <v>35</v>
      </c>
      <c r="G2107" s="32">
        <f t="shared" si="325"/>
        <v>72.268000000000001</v>
      </c>
      <c r="H2107" s="33">
        <f t="shared" si="324"/>
        <v>3.7471325812205704E-7</v>
      </c>
      <c r="K2107" t="str">
        <f xml:space="preserve"> B2105 &amp; B2107</f>
        <v>Z000169013Z030203008</v>
      </c>
    </row>
    <row r="2108" spans="1:11" outlineLevel="1" x14ac:dyDescent="0.2">
      <c r="A2108" s="29"/>
      <c r="B2108" s="30" t="s">
        <v>1006</v>
      </c>
      <c r="C2108" s="30" t="s">
        <v>699</v>
      </c>
      <c r="D2108" s="34" t="s">
        <v>151</v>
      </c>
      <c r="E2108" s="31">
        <v>0</v>
      </c>
      <c r="F2108" s="31">
        <v>28.988</v>
      </c>
      <c r="G2108" s="32">
        <f t="shared" si="325"/>
        <v>0</v>
      </c>
      <c r="H2108" s="33">
        <f t="shared" si="324"/>
        <v>0</v>
      </c>
      <c r="K2108" t="str">
        <f xml:space="preserve"> B2105 &amp; B2108</f>
        <v>Z000169013Z040201011</v>
      </c>
    </row>
    <row r="2109" spans="1:11" outlineLevel="1" x14ac:dyDescent="0.2">
      <c r="A2109" s="29"/>
      <c r="B2109" s="30" t="s">
        <v>801</v>
      </c>
      <c r="C2109" s="30" t="s">
        <v>402</v>
      </c>
      <c r="D2109" s="34" t="s">
        <v>151</v>
      </c>
      <c r="E2109" s="31">
        <v>0</v>
      </c>
      <c r="F2109" s="31">
        <v>10.3</v>
      </c>
      <c r="G2109" s="32">
        <f t="shared" si="325"/>
        <v>0</v>
      </c>
      <c r="H2109" s="33">
        <f t="shared" si="324"/>
        <v>0</v>
      </c>
      <c r="K2109" t="str">
        <f xml:space="preserve"> B2105 &amp; B2109</f>
        <v>Z000169013Z040202006</v>
      </c>
    </row>
    <row r="2110" spans="1:11" outlineLevel="1" x14ac:dyDescent="0.2">
      <c r="A2110" s="29"/>
      <c r="B2110" s="30" t="s">
        <v>824</v>
      </c>
      <c r="C2110" s="30" t="s">
        <v>3418</v>
      </c>
      <c r="D2110" s="34" t="s">
        <v>1152</v>
      </c>
      <c r="E2110" s="31">
        <v>2.4359999999999999</v>
      </c>
      <c r="F2110" s="31">
        <v>25</v>
      </c>
      <c r="G2110" s="32">
        <f t="shared" si="325"/>
        <v>60.9</v>
      </c>
      <c r="H2110" s="33">
        <f t="shared" si="324"/>
        <v>3.1576959954105929E-7</v>
      </c>
      <c r="K2110" t="str">
        <f xml:space="preserve"> B2105 &amp; B2110</f>
        <v>Z000169013Z040308001</v>
      </c>
    </row>
    <row r="2111" spans="1:11" outlineLevel="1" x14ac:dyDescent="0.2">
      <c r="A2111" s="29"/>
      <c r="B2111" s="30" t="s">
        <v>1054</v>
      </c>
      <c r="C2111" s="30" t="s">
        <v>3896</v>
      </c>
      <c r="D2111" s="34" t="s">
        <v>1152</v>
      </c>
      <c r="E2111" s="31">
        <v>2.3199999999999998</v>
      </c>
      <c r="F2111" s="31">
        <v>450</v>
      </c>
      <c r="G2111" s="32">
        <f t="shared" si="325"/>
        <v>1044</v>
      </c>
      <c r="H2111" s="33">
        <f t="shared" si="324"/>
        <v>5.4131931349895886E-6</v>
      </c>
      <c r="K2111" t="str">
        <f xml:space="preserve"> B2105 &amp; B2111</f>
        <v>Z000169013Z040308037</v>
      </c>
    </row>
    <row r="2112" spans="1:11" outlineLevel="1" x14ac:dyDescent="0.2">
      <c r="A2112" s="29"/>
      <c r="B2112" s="30" t="s">
        <v>498</v>
      </c>
      <c r="C2112" s="30" t="s">
        <v>773</v>
      </c>
      <c r="D2112" s="34" t="s">
        <v>84</v>
      </c>
      <c r="E2112" s="31">
        <v>2.7839999999999998</v>
      </c>
      <c r="F2112" s="31">
        <v>0</v>
      </c>
      <c r="G2112" s="32">
        <f t="shared" si="325"/>
        <v>0</v>
      </c>
      <c r="H2112" s="33">
        <f t="shared" si="324"/>
        <v>0</v>
      </c>
      <c r="K2112" t="str">
        <f xml:space="preserve"> B2105 &amp; B2112</f>
        <v>Z000169013Z040401001</v>
      </c>
    </row>
    <row r="2113" spans="1:11" outlineLevel="1" x14ac:dyDescent="0.2">
      <c r="A2113" s="29"/>
      <c r="B2113" s="30" t="s">
        <v>946</v>
      </c>
      <c r="C2113" s="30" t="s">
        <v>1695</v>
      </c>
      <c r="D2113" s="34" t="s">
        <v>1819</v>
      </c>
      <c r="E2113" s="31">
        <v>2.4359999999999999</v>
      </c>
      <c r="F2113" s="31">
        <v>40</v>
      </c>
      <c r="G2113" s="32">
        <f t="shared" si="325"/>
        <v>97.44</v>
      </c>
      <c r="H2113" s="33">
        <f t="shared" si="324"/>
        <v>5.0523135926569484E-7</v>
      </c>
      <c r="K2113" t="str">
        <f xml:space="preserve"> B2105 &amp; B2113</f>
        <v>Z000169013Z060101023</v>
      </c>
    </row>
    <row r="2114" spans="1:11" outlineLevel="1" x14ac:dyDescent="0.2">
      <c r="A2114" s="11" t="s">
        <v>879</v>
      </c>
      <c r="B2114" s="11" t="s">
        <v>1104</v>
      </c>
      <c r="C2114" s="11" t="s">
        <v>3620</v>
      </c>
      <c r="D2114" s="12" t="s">
        <v>1152</v>
      </c>
      <c r="E2114" s="13">
        <v>66.599999999999994</v>
      </c>
      <c r="F2114" s="14">
        <v>1153.3370000000002</v>
      </c>
      <c r="G2114" s="15">
        <f>SUM(G2115:G2124)</f>
        <v>76812.244200000001</v>
      </c>
      <c r="H2114" s="16">
        <f t="shared" si="324"/>
        <v>3.9827539558101897E-4</v>
      </c>
    </row>
    <row r="2115" spans="1:11" outlineLevel="1" x14ac:dyDescent="0.2">
      <c r="A2115" s="29"/>
      <c r="B2115" s="30" t="s">
        <v>853</v>
      </c>
      <c r="C2115" s="30" t="s">
        <v>980</v>
      </c>
      <c r="D2115" s="34" t="s">
        <v>1052</v>
      </c>
      <c r="E2115" s="31">
        <v>608.05799999999999</v>
      </c>
      <c r="F2115" s="31">
        <v>0.9</v>
      </c>
      <c r="G2115" s="32">
        <f t="shared" ref="G2115:G2124" si="326">F2115*E2115</f>
        <v>547.25220000000002</v>
      </c>
      <c r="H2115" s="33">
        <f t="shared" si="324"/>
        <v>2.8375305097202579E-6</v>
      </c>
      <c r="K2115" t="str">
        <f xml:space="preserve"> B2114 &amp; B2115</f>
        <v>Z000163045Z020201001</v>
      </c>
    </row>
    <row r="2116" spans="1:11" outlineLevel="1" x14ac:dyDescent="0.2">
      <c r="A2116" s="29"/>
      <c r="B2116" s="30" t="s">
        <v>706</v>
      </c>
      <c r="C2116" s="30" t="s">
        <v>130</v>
      </c>
      <c r="D2116" s="34" t="s">
        <v>1052</v>
      </c>
      <c r="E2116" s="31">
        <v>9.3239999999999998</v>
      </c>
      <c r="F2116" s="31">
        <v>8</v>
      </c>
      <c r="G2116" s="32">
        <f t="shared" si="326"/>
        <v>74.591999999999999</v>
      </c>
      <c r="H2116" s="33">
        <f t="shared" si="324"/>
        <v>3.86763316403394E-7</v>
      </c>
      <c r="K2116" t="str">
        <f xml:space="preserve"> B2114 &amp; B2116</f>
        <v>Z000163045Z020202001</v>
      </c>
    </row>
    <row r="2117" spans="1:11" outlineLevel="1" x14ac:dyDescent="0.2">
      <c r="A2117" s="29"/>
      <c r="B2117" s="30" t="s">
        <v>1700</v>
      </c>
      <c r="C2117" s="30" t="s">
        <v>223</v>
      </c>
      <c r="D2117" s="34" t="s">
        <v>1152</v>
      </c>
      <c r="E2117" s="31">
        <v>73.260000000000005</v>
      </c>
      <c r="F2117" s="31">
        <v>890</v>
      </c>
      <c r="G2117" s="32">
        <f t="shared" si="326"/>
        <v>65201.4</v>
      </c>
      <c r="H2117" s="33">
        <f t="shared" si="324"/>
        <v>3.3807257746332387E-4</v>
      </c>
      <c r="K2117" t="str">
        <f xml:space="preserve"> B2114 &amp; B2117</f>
        <v>Z000163045Z020301003</v>
      </c>
    </row>
    <row r="2118" spans="1:11" outlineLevel="1" x14ac:dyDescent="0.2">
      <c r="A2118" s="29"/>
      <c r="B2118" s="30" t="s">
        <v>1006</v>
      </c>
      <c r="C2118" s="30" t="s">
        <v>699</v>
      </c>
      <c r="D2118" s="34" t="s">
        <v>151</v>
      </c>
      <c r="E2118" s="31">
        <v>0</v>
      </c>
      <c r="F2118" s="31">
        <v>28.988</v>
      </c>
      <c r="G2118" s="32">
        <f t="shared" si="326"/>
        <v>0</v>
      </c>
      <c r="H2118" s="33">
        <f t="shared" si="324"/>
        <v>0</v>
      </c>
      <c r="K2118" t="str">
        <f xml:space="preserve"> B2114 &amp; B2118</f>
        <v>Z000163045Z040201011</v>
      </c>
    </row>
    <row r="2119" spans="1:11" outlineLevel="1" x14ac:dyDescent="0.2">
      <c r="A2119" s="29"/>
      <c r="B2119" s="30" t="s">
        <v>801</v>
      </c>
      <c r="C2119" s="30" t="s">
        <v>402</v>
      </c>
      <c r="D2119" s="34" t="s">
        <v>151</v>
      </c>
      <c r="E2119" s="31">
        <v>0</v>
      </c>
      <c r="F2119" s="31">
        <v>10.3</v>
      </c>
      <c r="G2119" s="32">
        <f t="shared" si="326"/>
        <v>0</v>
      </c>
      <c r="H2119" s="33">
        <f t="shared" si="324"/>
        <v>0</v>
      </c>
      <c r="K2119" t="str">
        <f xml:space="preserve"> B2114 &amp; B2119</f>
        <v>Z000163045Z040202006</v>
      </c>
    </row>
    <row r="2120" spans="1:11" outlineLevel="1" x14ac:dyDescent="0.2">
      <c r="A2120" s="29"/>
      <c r="B2120" s="30" t="s">
        <v>824</v>
      </c>
      <c r="C2120" s="30" t="s">
        <v>3418</v>
      </c>
      <c r="D2120" s="34" t="s">
        <v>1152</v>
      </c>
      <c r="E2120" s="31">
        <v>73.260000000000005</v>
      </c>
      <c r="F2120" s="31">
        <v>25</v>
      </c>
      <c r="G2120" s="32">
        <f t="shared" si="326"/>
        <v>1831.5000000000002</v>
      </c>
      <c r="H2120" s="33">
        <f t="shared" si="324"/>
        <v>9.4964207152619078E-6</v>
      </c>
      <c r="K2120" t="str">
        <f xml:space="preserve"> B2114 &amp; B2120</f>
        <v>Z000163045Z040308001</v>
      </c>
    </row>
    <row r="2121" spans="1:11" outlineLevel="1" x14ac:dyDescent="0.2">
      <c r="A2121" s="29"/>
      <c r="B2121" s="30" t="s">
        <v>903</v>
      </c>
      <c r="C2121" s="30" t="s">
        <v>864</v>
      </c>
      <c r="D2121" s="34" t="s">
        <v>1152</v>
      </c>
      <c r="E2121" s="31">
        <v>66.599999999999994</v>
      </c>
      <c r="F2121" s="31">
        <v>3.5</v>
      </c>
      <c r="G2121" s="32">
        <f t="shared" si="326"/>
        <v>233.09999999999997</v>
      </c>
      <c r="H2121" s="33">
        <f t="shared" si="324"/>
        <v>1.2086353637606062E-6</v>
      </c>
      <c r="K2121" t="str">
        <f xml:space="preserve"> B2114 &amp; B2121</f>
        <v>Z000163045Z040308018</v>
      </c>
    </row>
    <row r="2122" spans="1:11" outlineLevel="1" x14ac:dyDescent="0.2">
      <c r="A2122" s="29"/>
      <c r="B2122" s="30" t="s">
        <v>983</v>
      </c>
      <c r="C2122" s="30" t="s">
        <v>3621</v>
      </c>
      <c r="D2122" s="34" t="s">
        <v>1152</v>
      </c>
      <c r="E2122" s="31">
        <v>66.599999999999994</v>
      </c>
      <c r="F2122" s="31">
        <v>90</v>
      </c>
      <c r="G2122" s="32">
        <f t="shared" si="326"/>
        <v>5993.9999999999991</v>
      </c>
      <c r="H2122" s="33">
        <f t="shared" si="324"/>
        <v>3.1079195068129874E-5</v>
      </c>
      <c r="K2122" t="str">
        <f xml:space="preserve"> B2114 &amp; B2122</f>
        <v>Z000163045Z040308027</v>
      </c>
    </row>
    <row r="2123" spans="1:11" outlineLevel="1" x14ac:dyDescent="0.2">
      <c r="A2123" s="29"/>
      <c r="B2123" s="30" t="s">
        <v>498</v>
      </c>
      <c r="C2123" s="30" t="s">
        <v>773</v>
      </c>
      <c r="D2123" s="34" t="s">
        <v>84</v>
      </c>
      <c r="E2123" s="31">
        <v>79.919999999999987</v>
      </c>
      <c r="F2123" s="31">
        <v>0</v>
      </c>
      <c r="G2123" s="32">
        <f t="shared" si="326"/>
        <v>0</v>
      </c>
      <c r="H2123" s="33">
        <f t="shared" si="324"/>
        <v>0</v>
      </c>
      <c r="K2123" t="str">
        <f xml:space="preserve"> B2114 &amp; B2123</f>
        <v>Z000163045Z040401001</v>
      </c>
    </row>
    <row r="2124" spans="1:11" outlineLevel="1" x14ac:dyDescent="0.2">
      <c r="A2124" s="29"/>
      <c r="B2124" s="30" t="s">
        <v>946</v>
      </c>
      <c r="C2124" s="30" t="s">
        <v>1695</v>
      </c>
      <c r="D2124" s="34" t="s">
        <v>1819</v>
      </c>
      <c r="E2124" s="31">
        <v>73.260000000000005</v>
      </c>
      <c r="F2124" s="31">
        <v>40</v>
      </c>
      <c r="G2124" s="32">
        <f t="shared" si="326"/>
        <v>2930.4</v>
      </c>
      <c r="H2124" s="33">
        <f t="shared" si="324"/>
        <v>1.5194273144419052E-5</v>
      </c>
      <c r="K2124" t="str">
        <f xml:space="preserve"> B2114 &amp; B2124</f>
        <v>Z000163045Z060101023</v>
      </c>
    </row>
    <row r="2125" spans="1:11" outlineLevel="1" x14ac:dyDescent="0.2">
      <c r="A2125" s="11" t="s">
        <v>883</v>
      </c>
      <c r="B2125" s="11" t="s">
        <v>5110</v>
      </c>
      <c r="C2125" s="11" t="s">
        <v>5383</v>
      </c>
      <c r="D2125" s="12" t="s">
        <v>1152</v>
      </c>
      <c r="E2125" s="13">
        <v>26.27</v>
      </c>
      <c r="F2125" s="14">
        <v>1468.413188</v>
      </c>
      <c r="G2125" s="15">
        <f>SUM(G2126:G2136)</f>
        <v>38575.214448760002</v>
      </c>
      <c r="H2125" s="16">
        <f t="shared" ref="H2125:H2135" si="327">G2125/$F$2</f>
        <v>2.0001445022488392E-4</v>
      </c>
    </row>
    <row r="2126" spans="1:11" outlineLevel="1" x14ac:dyDescent="0.2">
      <c r="A2126" s="29"/>
      <c r="B2126" s="30" t="s">
        <v>842</v>
      </c>
      <c r="C2126" s="30" t="s">
        <v>3477</v>
      </c>
      <c r="D2126" s="34" t="s">
        <v>1052</v>
      </c>
      <c r="E2126" s="31">
        <v>26.27</v>
      </c>
      <c r="F2126" s="31">
        <v>450</v>
      </c>
      <c r="G2126" s="32">
        <f t="shared" ref="G2126:G2135" si="328">F2126*E2126</f>
        <v>11821.5</v>
      </c>
      <c r="H2126" s="33">
        <f t="shared" si="327"/>
        <v>6.1295079162145035E-5</v>
      </c>
      <c r="K2126" t="str">
        <f xml:space="preserve"> B2125 &amp; B2126</f>
        <v>Z000165026Z040308007</v>
      </c>
    </row>
    <row r="2127" spans="1:11" outlineLevel="1" x14ac:dyDescent="0.2">
      <c r="A2127" s="29"/>
      <c r="B2127" s="30" t="s">
        <v>801</v>
      </c>
      <c r="C2127" s="30" t="s">
        <v>402</v>
      </c>
      <c r="D2127" s="34" t="s">
        <v>1052</v>
      </c>
      <c r="E2127" s="31">
        <v>0</v>
      </c>
      <c r="F2127" s="31">
        <v>10.3</v>
      </c>
      <c r="G2127" s="32">
        <f t="shared" si="328"/>
        <v>0</v>
      </c>
      <c r="H2127" s="33">
        <f t="shared" si="327"/>
        <v>0</v>
      </c>
      <c r="K2127" t="str">
        <f xml:space="preserve"> B2125 &amp; B2127</f>
        <v>Z000165026Z040202006</v>
      </c>
    </row>
    <row r="2128" spans="1:11" outlineLevel="1" x14ac:dyDescent="0.2">
      <c r="A2128" s="29"/>
      <c r="B2128" s="30" t="s">
        <v>877</v>
      </c>
      <c r="C2128" s="30" t="s">
        <v>2332</v>
      </c>
      <c r="D2128" s="34" t="s">
        <v>1152</v>
      </c>
      <c r="E2128" s="31">
        <v>157.62</v>
      </c>
      <c r="F2128" s="31">
        <v>0.55000000000000004</v>
      </c>
      <c r="G2128" s="32">
        <f t="shared" si="328"/>
        <v>86.691000000000003</v>
      </c>
      <c r="H2128" s="33">
        <f t="shared" si="327"/>
        <v>4.4949724718906359E-7</v>
      </c>
      <c r="K2128" t="str">
        <f xml:space="preserve"> B2125 &amp; B2128</f>
        <v>Z000165026Z030201001</v>
      </c>
    </row>
    <row r="2129" spans="1:11" outlineLevel="1" x14ac:dyDescent="0.2">
      <c r="A2129" s="29"/>
      <c r="B2129" s="30" t="s">
        <v>824</v>
      </c>
      <c r="C2129" s="30" t="s">
        <v>3418</v>
      </c>
      <c r="D2129" s="34" t="s">
        <v>151</v>
      </c>
      <c r="E2129" s="31">
        <v>27.583500000000001</v>
      </c>
      <c r="F2129" s="31">
        <v>25</v>
      </c>
      <c r="G2129" s="32">
        <f t="shared" si="328"/>
        <v>689.58749999999998</v>
      </c>
      <c r="H2129" s="33">
        <f t="shared" si="327"/>
        <v>3.5755462844584605E-6</v>
      </c>
      <c r="K2129" t="str">
        <f xml:space="preserve"> B2125 &amp; B2129</f>
        <v>Z000165026Z040308001</v>
      </c>
    </row>
    <row r="2130" spans="1:11" outlineLevel="1" x14ac:dyDescent="0.2">
      <c r="A2130" s="29"/>
      <c r="B2130" s="30" t="s">
        <v>498</v>
      </c>
      <c r="C2130" s="30" t="s">
        <v>773</v>
      </c>
      <c r="D2130" s="34" t="s">
        <v>151</v>
      </c>
      <c r="E2130" s="31">
        <v>31.523999999999997</v>
      </c>
      <c r="F2130" s="31">
        <v>0</v>
      </c>
      <c r="G2130" s="32">
        <f t="shared" si="328"/>
        <v>0</v>
      </c>
      <c r="H2130" s="33">
        <f t="shared" si="327"/>
        <v>0</v>
      </c>
      <c r="K2130" t="str">
        <f xml:space="preserve"> B2125 &amp; B2130</f>
        <v>Z000165026Z040401001</v>
      </c>
    </row>
    <row r="2131" spans="1:11" outlineLevel="1" x14ac:dyDescent="0.2">
      <c r="A2131" s="29"/>
      <c r="B2131" s="30" t="s">
        <v>1006</v>
      </c>
      <c r="C2131" s="30" t="s">
        <v>699</v>
      </c>
      <c r="D2131" s="34" t="s">
        <v>1152</v>
      </c>
      <c r="E2131" s="31">
        <v>0</v>
      </c>
      <c r="F2131" s="31">
        <v>28.988</v>
      </c>
      <c r="G2131" s="32">
        <f t="shared" si="328"/>
        <v>0</v>
      </c>
      <c r="H2131" s="33">
        <f t="shared" si="327"/>
        <v>0</v>
      </c>
      <c r="K2131" t="str">
        <f xml:space="preserve"> B2125 &amp; B2131</f>
        <v>Z000165026Z040201011</v>
      </c>
    </row>
    <row r="2132" spans="1:11" outlineLevel="1" x14ac:dyDescent="0.2">
      <c r="A2132" s="29"/>
      <c r="B2132" s="30" t="s">
        <v>708</v>
      </c>
      <c r="C2132" s="30" t="s">
        <v>865</v>
      </c>
      <c r="D2132" s="34" t="s">
        <v>1152</v>
      </c>
      <c r="E2132" s="31">
        <v>0.61471799999999999</v>
      </c>
      <c r="F2132" s="31">
        <v>13.32</v>
      </c>
      <c r="G2132" s="32">
        <f t="shared" si="328"/>
        <v>8.1880437599999993</v>
      </c>
      <c r="H2132" s="33">
        <f t="shared" si="327"/>
        <v>4.2455423630868132E-8</v>
      </c>
      <c r="K2132" t="str">
        <f xml:space="preserve"> B2125 &amp; B2132</f>
        <v>Z000165026Z020202002</v>
      </c>
    </row>
    <row r="2133" spans="1:11" outlineLevel="1" x14ac:dyDescent="0.2">
      <c r="A2133" s="29"/>
      <c r="B2133" s="30" t="s">
        <v>637</v>
      </c>
      <c r="C2133" s="30" t="s">
        <v>1256</v>
      </c>
      <c r="D2133" s="34" t="s">
        <v>1152</v>
      </c>
      <c r="E2133" s="31">
        <v>15.260242999999999</v>
      </c>
      <c r="F2133" s="31">
        <v>35</v>
      </c>
      <c r="G2133" s="32">
        <f t="shared" si="328"/>
        <v>534.10850499999992</v>
      </c>
      <c r="H2133" s="33">
        <f t="shared" si="327"/>
        <v>2.7693797821892257E-6</v>
      </c>
      <c r="K2133" t="str">
        <f xml:space="preserve"> B2125 &amp; B2133</f>
        <v>Z000165026Z030203008</v>
      </c>
    </row>
    <row r="2134" spans="1:11" outlineLevel="1" x14ac:dyDescent="0.2">
      <c r="A2134" s="29"/>
      <c r="B2134" s="30" t="s">
        <v>557</v>
      </c>
      <c r="C2134" s="30" t="s">
        <v>3801</v>
      </c>
      <c r="D2134" s="34" t="s">
        <v>84</v>
      </c>
      <c r="E2134" s="31">
        <v>27.583500000000001</v>
      </c>
      <c r="F2134" s="31">
        <v>850</v>
      </c>
      <c r="G2134" s="32">
        <f t="shared" si="328"/>
        <v>23445.975000000002</v>
      </c>
      <c r="H2134" s="33">
        <f t="shared" si="327"/>
        <v>1.2156857367158766E-4</v>
      </c>
      <c r="K2134" t="str">
        <f xml:space="preserve"> B2125 &amp; B2134</f>
        <v>Z000165026Z020401021</v>
      </c>
    </row>
    <row r="2135" spans="1:11" outlineLevel="1" x14ac:dyDescent="0.2">
      <c r="A2135" s="29"/>
      <c r="B2135" s="30" t="s">
        <v>518</v>
      </c>
      <c r="C2135" s="30" t="s">
        <v>3457</v>
      </c>
      <c r="D2135" s="34" t="s">
        <v>1819</v>
      </c>
      <c r="E2135" s="31">
        <v>52.54</v>
      </c>
      <c r="F2135" s="31">
        <v>16.86</v>
      </c>
      <c r="G2135" s="32">
        <f t="shared" si="328"/>
        <v>885.82439999999997</v>
      </c>
      <c r="H2135" s="33">
        <f t="shared" si="327"/>
        <v>4.5930445985500675E-6</v>
      </c>
      <c r="K2135" t="str">
        <f xml:space="preserve"> B2125 &amp; B2135</f>
        <v>Z000165026Z030204001</v>
      </c>
    </row>
    <row r="2136" spans="1:11" outlineLevel="1" x14ac:dyDescent="0.2">
      <c r="A2136" s="29"/>
      <c r="B2136" s="30" t="s">
        <v>946</v>
      </c>
      <c r="C2136" s="30" t="s">
        <v>1695</v>
      </c>
      <c r="D2136" s="34" t="s">
        <v>1819</v>
      </c>
      <c r="E2136" s="31">
        <v>27.583500000000001</v>
      </c>
      <c r="F2136" s="31">
        <v>40</v>
      </c>
      <c r="G2136" s="32">
        <f t="shared" ref="G2136" si="329">F2136*E2136</f>
        <v>1103.3400000000001</v>
      </c>
      <c r="H2136" s="33">
        <f t="shared" ref="H2136" si="330">G2136/$F$2</f>
        <v>5.7208740551335374E-6</v>
      </c>
      <c r="K2136" t="str">
        <f xml:space="preserve"> B2125 &amp; B2136</f>
        <v>Z000165026Z060101023</v>
      </c>
    </row>
    <row r="2137" spans="1:11" ht="18.75" x14ac:dyDescent="0.2">
      <c r="A2137" s="5">
        <v>17</v>
      </c>
      <c r="B2137" s="5" t="s">
        <v>328</v>
      </c>
      <c r="C2137" s="5" t="s">
        <v>1962</v>
      </c>
      <c r="D2137" s="6"/>
      <c r="E2137" s="7"/>
      <c r="F2137" s="8"/>
      <c r="G2137" s="9">
        <f>SUM(G2138,G2208,G2246)</f>
        <v>2143429.4208163824</v>
      </c>
      <c r="H2137" s="10">
        <f t="shared" si="324"/>
        <v>1.1113790638024857E-2</v>
      </c>
    </row>
    <row r="2138" spans="1:11" ht="15" x14ac:dyDescent="0.2">
      <c r="A2138" s="17" t="s">
        <v>2047</v>
      </c>
      <c r="B2138" s="17" t="s">
        <v>328</v>
      </c>
      <c r="C2138" s="17" t="s">
        <v>872</v>
      </c>
      <c r="D2138" s="18"/>
      <c r="E2138" s="19"/>
      <c r="F2138" s="20"/>
      <c r="G2138" s="21">
        <f>SUM(G2139,G2145,G2151,G2158,G2164,G2170,G2176,G2182,G2188,G2195,G2201)</f>
        <v>1196143.5493340064</v>
      </c>
      <c r="H2138" s="22">
        <f t="shared" si="324"/>
        <v>6.2020651817211907E-3</v>
      </c>
    </row>
    <row r="2139" spans="1:11" outlineLevel="1" x14ac:dyDescent="0.2">
      <c r="A2139" s="11" t="s">
        <v>393</v>
      </c>
      <c r="B2139" s="11" t="s">
        <v>641</v>
      </c>
      <c r="C2139" s="11" t="s">
        <v>4016</v>
      </c>
      <c r="D2139" s="12" t="s">
        <v>1152</v>
      </c>
      <c r="E2139" s="13">
        <v>22680.45</v>
      </c>
      <c r="F2139" s="14">
        <v>22.447375000000001</v>
      </c>
      <c r="G2139" s="15">
        <f>SUM(G2140:G2144)</f>
        <v>509116.56631875003</v>
      </c>
      <c r="H2139" s="16">
        <f t="shared" si="324"/>
        <v>2.6397953081476332E-3</v>
      </c>
    </row>
    <row r="2140" spans="1:11" outlineLevel="1" x14ac:dyDescent="0.2">
      <c r="A2140" s="29"/>
      <c r="B2140" s="30" t="s">
        <v>849</v>
      </c>
      <c r="C2140" s="30" t="s">
        <v>4014</v>
      </c>
      <c r="D2140" s="34" t="s">
        <v>152</v>
      </c>
      <c r="E2140" s="31">
        <v>3544.9543349999999</v>
      </c>
      <c r="F2140" s="31">
        <v>41.25</v>
      </c>
      <c r="G2140" s="32">
        <f t="shared" ref="G2140:G2144" si="331">F2140*E2140</f>
        <v>146229.36631874999</v>
      </c>
      <c r="H2140" s="33">
        <f t="shared" si="324"/>
        <v>7.5820670679170035E-4</v>
      </c>
      <c r="K2140" t="str">
        <f xml:space="preserve"> B2139 &amp; B2140</f>
        <v>Z000173007Z020504009</v>
      </c>
    </row>
    <row r="2141" spans="1:11" outlineLevel="1" x14ac:dyDescent="0.2">
      <c r="A2141" s="29"/>
      <c r="B2141" s="30" t="s">
        <v>1010</v>
      </c>
      <c r="C2141" s="30" t="s">
        <v>1140</v>
      </c>
      <c r="D2141" s="34" t="s">
        <v>151</v>
      </c>
      <c r="E2141" s="31">
        <v>0</v>
      </c>
      <c r="F2141" s="31">
        <v>35</v>
      </c>
      <c r="G2141" s="32">
        <f t="shared" si="331"/>
        <v>0</v>
      </c>
      <c r="H2141" s="33">
        <f t="shared" si="324"/>
        <v>0</v>
      </c>
      <c r="K2141" t="str">
        <f xml:space="preserve"> B2139 &amp; B2141</f>
        <v>Z000173007Z040201014</v>
      </c>
    </row>
    <row r="2142" spans="1:11" outlineLevel="1" x14ac:dyDescent="0.2">
      <c r="A2142" s="29"/>
      <c r="B2142" s="30" t="s">
        <v>801</v>
      </c>
      <c r="C2142" s="30" t="s">
        <v>402</v>
      </c>
      <c r="D2142" s="34" t="s">
        <v>151</v>
      </c>
      <c r="E2142" s="31">
        <v>0</v>
      </c>
      <c r="F2142" s="31">
        <v>10.3</v>
      </c>
      <c r="G2142" s="32">
        <f t="shared" si="331"/>
        <v>0</v>
      </c>
      <c r="H2142" s="33">
        <f t="shared" si="324"/>
        <v>0</v>
      </c>
      <c r="K2142" t="str">
        <f xml:space="preserve"> B2139 &amp; B2142</f>
        <v>Z000173007Z040202006</v>
      </c>
    </row>
    <row r="2143" spans="1:11" outlineLevel="1" x14ac:dyDescent="0.2">
      <c r="A2143" s="29"/>
      <c r="B2143" s="30" t="s">
        <v>692</v>
      </c>
      <c r="C2143" s="30" t="s">
        <v>4004</v>
      </c>
      <c r="D2143" s="34" t="s">
        <v>1152</v>
      </c>
      <c r="E2143" s="31">
        <v>22680.45</v>
      </c>
      <c r="F2143" s="31">
        <v>16</v>
      </c>
      <c r="G2143" s="32">
        <f t="shared" si="331"/>
        <v>362887.2</v>
      </c>
      <c r="H2143" s="33">
        <f t="shared" si="324"/>
        <v>1.8815886013559327E-3</v>
      </c>
      <c r="K2143" t="str">
        <f xml:space="preserve"> B2139 &amp; B2143</f>
        <v>Z000173007Z040309004</v>
      </c>
    </row>
    <row r="2144" spans="1:11" outlineLevel="1" x14ac:dyDescent="0.2">
      <c r="A2144" s="29"/>
      <c r="B2144" s="30" t="s">
        <v>498</v>
      </c>
      <c r="C2144" s="30" t="s">
        <v>773</v>
      </c>
      <c r="D2144" s="34" t="s">
        <v>84</v>
      </c>
      <c r="E2144" s="31">
        <v>27216.54</v>
      </c>
      <c r="F2144" s="31">
        <v>0</v>
      </c>
      <c r="G2144" s="32">
        <f t="shared" si="331"/>
        <v>0</v>
      </c>
      <c r="H2144" s="33">
        <f t="shared" si="324"/>
        <v>0</v>
      </c>
      <c r="K2144" t="str">
        <f xml:space="preserve"> B2139 &amp; B2144</f>
        <v>Z000173007Z040401001</v>
      </c>
    </row>
    <row r="2145" spans="1:11" outlineLevel="1" x14ac:dyDescent="0.2">
      <c r="A2145" s="11" t="s">
        <v>394</v>
      </c>
      <c r="B2145" s="11" t="s">
        <v>426</v>
      </c>
      <c r="C2145" s="11" t="s">
        <v>4082</v>
      </c>
      <c r="D2145" s="12" t="s">
        <v>1152</v>
      </c>
      <c r="E2145" s="13">
        <v>5.6</v>
      </c>
      <c r="F2145" s="14">
        <v>51.971750000000007</v>
      </c>
      <c r="G2145" s="15">
        <f>SUM(G2146:G2150)</f>
        <v>291.04180000000002</v>
      </c>
      <c r="H2145" s="16">
        <f t="shared" si="324"/>
        <v>1.5090665457423496E-6</v>
      </c>
    </row>
    <row r="2146" spans="1:11" outlineLevel="1" x14ac:dyDescent="0.2">
      <c r="A2146" s="29"/>
      <c r="B2146" s="30" t="s">
        <v>703</v>
      </c>
      <c r="C2146" s="30" t="s">
        <v>4080</v>
      </c>
      <c r="D2146" s="34" t="s">
        <v>152</v>
      </c>
      <c r="E2146" s="31">
        <v>0.26767999999999997</v>
      </c>
      <c r="F2146" s="31">
        <v>41.25</v>
      </c>
      <c r="G2146" s="32">
        <f t="shared" ref="G2146:G2150" si="332">F2146*E2146</f>
        <v>11.041799999999999</v>
      </c>
      <c r="H2146" s="33">
        <f t="shared" si="324"/>
        <v>5.7252294978858263E-8</v>
      </c>
      <c r="K2146" t="str">
        <f xml:space="preserve"> B2145 &amp; B2146</f>
        <v>Z000175003Z020505005</v>
      </c>
    </row>
    <row r="2147" spans="1:11" outlineLevel="1" x14ac:dyDescent="0.2">
      <c r="A2147" s="29"/>
      <c r="B2147" s="30" t="s">
        <v>1010</v>
      </c>
      <c r="C2147" s="30" t="s">
        <v>1140</v>
      </c>
      <c r="D2147" s="34" t="s">
        <v>151</v>
      </c>
      <c r="E2147" s="31">
        <v>0</v>
      </c>
      <c r="F2147" s="31">
        <v>35</v>
      </c>
      <c r="G2147" s="32">
        <f t="shared" si="332"/>
        <v>0</v>
      </c>
      <c r="H2147" s="33">
        <f t="shared" si="324"/>
        <v>0</v>
      </c>
      <c r="K2147" t="str">
        <f xml:space="preserve"> B2145 &amp; B2147</f>
        <v>Z000175003Z040201014</v>
      </c>
    </row>
    <row r="2148" spans="1:11" outlineLevel="1" x14ac:dyDescent="0.2">
      <c r="A2148" s="29"/>
      <c r="B2148" s="30" t="s">
        <v>801</v>
      </c>
      <c r="C2148" s="30" t="s">
        <v>402</v>
      </c>
      <c r="D2148" s="34" t="s">
        <v>151</v>
      </c>
      <c r="E2148" s="31">
        <v>0</v>
      </c>
      <c r="F2148" s="31">
        <v>10.3</v>
      </c>
      <c r="G2148" s="32">
        <f t="shared" si="332"/>
        <v>0</v>
      </c>
      <c r="H2148" s="33">
        <f t="shared" ref="H2148:H2208" si="333">G2148/$F$2</f>
        <v>0</v>
      </c>
      <c r="K2148" t="str">
        <f xml:space="preserve"> B2145 &amp; B2148</f>
        <v>Z000175003Z040202006</v>
      </c>
    </row>
    <row r="2149" spans="1:11" outlineLevel="1" x14ac:dyDescent="0.2">
      <c r="A2149" s="29"/>
      <c r="B2149" s="30" t="s">
        <v>744</v>
      </c>
      <c r="C2149" s="30" t="s">
        <v>4085</v>
      </c>
      <c r="D2149" s="34" t="s">
        <v>1152</v>
      </c>
      <c r="E2149" s="31">
        <v>5.6</v>
      </c>
      <c r="F2149" s="31">
        <v>50</v>
      </c>
      <c r="G2149" s="32">
        <f t="shared" si="332"/>
        <v>280</v>
      </c>
      <c r="H2149" s="33">
        <f t="shared" si="333"/>
        <v>1.4518142507634912E-6</v>
      </c>
      <c r="K2149" t="str">
        <f xml:space="preserve"> B2145 &amp; B2149</f>
        <v>Z000175003Z040309012</v>
      </c>
    </row>
    <row r="2150" spans="1:11" outlineLevel="1" x14ac:dyDescent="0.2">
      <c r="A2150" s="29"/>
      <c r="B2150" s="30" t="s">
        <v>498</v>
      </c>
      <c r="C2150" s="30" t="s">
        <v>773</v>
      </c>
      <c r="D2150" s="34" t="s">
        <v>84</v>
      </c>
      <c r="E2150" s="31">
        <v>6.72</v>
      </c>
      <c r="F2150" s="31">
        <v>0</v>
      </c>
      <c r="G2150" s="32">
        <f t="shared" si="332"/>
        <v>0</v>
      </c>
      <c r="H2150" s="33">
        <f t="shared" si="333"/>
        <v>0</v>
      </c>
      <c r="K2150" t="str">
        <f xml:space="preserve"> B2145 &amp; B2150</f>
        <v>Z000175003Z040401001</v>
      </c>
    </row>
    <row r="2151" spans="1:11" outlineLevel="1" x14ac:dyDescent="0.2">
      <c r="A2151" s="11" t="s">
        <v>395</v>
      </c>
      <c r="B2151" s="11" t="s">
        <v>642</v>
      </c>
      <c r="C2151" s="11" t="s">
        <v>4023</v>
      </c>
      <c r="D2151" s="12" t="s">
        <v>1152</v>
      </c>
      <c r="E2151" s="13">
        <v>235.98</v>
      </c>
      <c r="F2151" s="14">
        <v>60.000578300000001</v>
      </c>
      <c r="G2151" s="15">
        <f>SUM(G2152:G2157)</f>
        <v>14158.936467234</v>
      </c>
      <c r="H2151" s="16">
        <f t="shared" si="333"/>
        <v>7.3414806209947149E-5</v>
      </c>
    </row>
    <row r="2152" spans="1:11" outlineLevel="1" x14ac:dyDescent="0.2">
      <c r="A2152" s="29"/>
      <c r="B2152" s="30" t="s">
        <v>1252</v>
      </c>
      <c r="C2152" s="30" t="s">
        <v>201</v>
      </c>
      <c r="D2152" s="34" t="s">
        <v>152</v>
      </c>
      <c r="E2152" s="31">
        <v>21.450581999999997</v>
      </c>
      <c r="F2152" s="31">
        <v>6.3869999999999996</v>
      </c>
      <c r="G2152" s="32">
        <f t="shared" ref="G2152:G2157" si="334">F2152*E2152</f>
        <v>137.00486723399996</v>
      </c>
      <c r="H2152" s="33">
        <f t="shared" si="333"/>
        <v>7.1037720955100438E-7</v>
      </c>
      <c r="K2152" t="str">
        <f xml:space="preserve"> B2151 &amp; B2152</f>
        <v>Z000173008Z020501006</v>
      </c>
    </row>
    <row r="2153" spans="1:11" outlineLevel="1" x14ac:dyDescent="0.2">
      <c r="A2153" s="29"/>
      <c r="B2153" s="30" t="s">
        <v>701</v>
      </c>
      <c r="C2153" s="30" t="s">
        <v>4026</v>
      </c>
      <c r="D2153" s="34" t="s">
        <v>1052</v>
      </c>
      <c r="E2153" s="31">
        <v>70.793999999999997</v>
      </c>
      <c r="F2153" s="31">
        <v>11.4</v>
      </c>
      <c r="G2153" s="32">
        <f t="shared" si="334"/>
        <v>807.05160000000001</v>
      </c>
      <c r="H2153" s="33">
        <f t="shared" si="333"/>
        <v>4.1846036213624166E-6</v>
      </c>
      <c r="K2153" t="str">
        <f xml:space="preserve"> B2151 &amp; B2153</f>
        <v>Z000173008Z020505004</v>
      </c>
    </row>
    <row r="2154" spans="1:11" outlineLevel="1" x14ac:dyDescent="0.2">
      <c r="A2154" s="29"/>
      <c r="B2154" s="30" t="s">
        <v>1010</v>
      </c>
      <c r="C2154" s="30" t="s">
        <v>1140</v>
      </c>
      <c r="D2154" s="34" t="s">
        <v>151</v>
      </c>
      <c r="E2154" s="31">
        <v>0</v>
      </c>
      <c r="F2154" s="31">
        <v>35</v>
      </c>
      <c r="G2154" s="32">
        <f t="shared" si="334"/>
        <v>0</v>
      </c>
      <c r="H2154" s="33">
        <f t="shared" si="333"/>
        <v>0</v>
      </c>
      <c r="K2154" t="str">
        <f xml:space="preserve"> B2151 &amp; B2154</f>
        <v>Z000173008Z040201014</v>
      </c>
    </row>
    <row r="2155" spans="1:11" outlineLevel="1" x14ac:dyDescent="0.2">
      <c r="A2155" s="29"/>
      <c r="B2155" s="30" t="s">
        <v>801</v>
      </c>
      <c r="C2155" s="30" t="s">
        <v>402</v>
      </c>
      <c r="D2155" s="34" t="s">
        <v>151</v>
      </c>
      <c r="E2155" s="31">
        <v>0</v>
      </c>
      <c r="F2155" s="31">
        <v>10.3</v>
      </c>
      <c r="G2155" s="32">
        <f t="shared" si="334"/>
        <v>0</v>
      </c>
      <c r="H2155" s="33">
        <f t="shared" si="333"/>
        <v>0</v>
      </c>
      <c r="K2155" t="str">
        <f xml:space="preserve"> B2151 &amp; B2155</f>
        <v>Z000173008Z040202006</v>
      </c>
    </row>
    <row r="2156" spans="1:11" outlineLevel="1" x14ac:dyDescent="0.2">
      <c r="A2156" s="29"/>
      <c r="B2156" s="30" t="s">
        <v>696</v>
      </c>
      <c r="C2156" s="30" t="s">
        <v>4021</v>
      </c>
      <c r="D2156" s="34" t="s">
        <v>1152</v>
      </c>
      <c r="E2156" s="31">
        <v>235.98</v>
      </c>
      <c r="F2156" s="31">
        <v>56</v>
      </c>
      <c r="G2156" s="32">
        <f t="shared" si="334"/>
        <v>13214.88</v>
      </c>
      <c r="H2156" s="33">
        <f t="shared" si="333"/>
        <v>6.8519825379033728E-5</v>
      </c>
      <c r="K2156" t="str">
        <f xml:space="preserve"> B2151 &amp; B2156</f>
        <v>Z000173008Z040309006</v>
      </c>
    </row>
    <row r="2157" spans="1:11" outlineLevel="1" x14ac:dyDescent="0.2">
      <c r="A2157" s="29"/>
      <c r="B2157" s="30" t="s">
        <v>498</v>
      </c>
      <c r="C2157" s="30" t="s">
        <v>773</v>
      </c>
      <c r="D2157" s="34" t="s">
        <v>84</v>
      </c>
      <c r="E2157" s="31">
        <v>283.17599999999999</v>
      </c>
      <c r="F2157" s="31">
        <v>0</v>
      </c>
      <c r="G2157" s="32">
        <f t="shared" si="334"/>
        <v>0</v>
      </c>
      <c r="H2157" s="33">
        <f t="shared" si="333"/>
        <v>0</v>
      </c>
      <c r="K2157" t="str">
        <f xml:space="preserve"> B2151 &amp; B2157</f>
        <v>Z000173008Z040401001</v>
      </c>
    </row>
    <row r="2158" spans="1:11" outlineLevel="1" x14ac:dyDescent="0.2">
      <c r="A2158" s="11" t="s">
        <v>398</v>
      </c>
      <c r="B2158" s="11" t="s">
        <v>571</v>
      </c>
      <c r="C2158" s="11" t="s">
        <v>4068</v>
      </c>
      <c r="D2158" s="12" t="s">
        <v>1152</v>
      </c>
      <c r="E2158" s="13">
        <v>3.98</v>
      </c>
      <c r="F2158" s="14">
        <v>42</v>
      </c>
      <c r="G2158" s="15">
        <f>SUM(G2159:G2163)</f>
        <v>167.16</v>
      </c>
      <c r="H2158" s="16">
        <f t="shared" si="333"/>
        <v>8.6673310770580421E-7</v>
      </c>
    </row>
    <row r="2159" spans="1:11" outlineLevel="1" x14ac:dyDescent="0.2">
      <c r="A2159" s="29"/>
      <c r="B2159" s="30" t="s">
        <v>979</v>
      </c>
      <c r="C2159" s="30" t="s">
        <v>4066</v>
      </c>
      <c r="D2159" s="34" t="s">
        <v>1052</v>
      </c>
      <c r="E2159" s="31">
        <v>7.96</v>
      </c>
      <c r="F2159" s="31">
        <v>7.75</v>
      </c>
      <c r="G2159" s="32">
        <f t="shared" ref="G2159:G2163" si="335">F2159*E2159</f>
        <v>61.69</v>
      </c>
      <c r="H2159" s="33">
        <f t="shared" si="333"/>
        <v>3.198657897485706E-7</v>
      </c>
      <c r="K2159" t="str">
        <f xml:space="preserve"> B2158 &amp; B2159</f>
        <v>Z000174010Z020503005</v>
      </c>
    </row>
    <row r="2160" spans="1:11" outlineLevel="1" x14ac:dyDescent="0.2">
      <c r="A2160" s="29"/>
      <c r="B2160" s="30" t="s">
        <v>1010</v>
      </c>
      <c r="C2160" s="30" t="s">
        <v>1140</v>
      </c>
      <c r="D2160" s="34" t="s">
        <v>151</v>
      </c>
      <c r="E2160" s="31">
        <v>0</v>
      </c>
      <c r="F2160" s="31">
        <v>35</v>
      </c>
      <c r="G2160" s="32">
        <f t="shared" si="335"/>
        <v>0</v>
      </c>
      <c r="H2160" s="33">
        <f t="shared" si="333"/>
        <v>0</v>
      </c>
      <c r="K2160" t="str">
        <f xml:space="preserve"> B2158 &amp; B2160</f>
        <v>Z000174010Z040201014</v>
      </c>
    </row>
    <row r="2161" spans="1:11" outlineLevel="1" x14ac:dyDescent="0.2">
      <c r="A2161" s="29"/>
      <c r="B2161" s="30" t="s">
        <v>801</v>
      </c>
      <c r="C2161" s="30" t="s">
        <v>402</v>
      </c>
      <c r="D2161" s="34" t="s">
        <v>151</v>
      </c>
      <c r="E2161" s="31">
        <v>0</v>
      </c>
      <c r="F2161" s="31">
        <v>10.3</v>
      </c>
      <c r="G2161" s="32">
        <f t="shared" si="335"/>
        <v>0</v>
      </c>
      <c r="H2161" s="33">
        <f t="shared" si="333"/>
        <v>0</v>
      </c>
      <c r="K2161" t="str">
        <f xml:space="preserve"> B2158 &amp; B2161</f>
        <v>Z000174010Z040202006</v>
      </c>
    </row>
    <row r="2162" spans="1:11" outlineLevel="1" x14ac:dyDescent="0.2">
      <c r="A2162" s="29"/>
      <c r="B2162" s="30" t="s">
        <v>694</v>
      </c>
      <c r="C2162" s="30" t="s">
        <v>4063</v>
      </c>
      <c r="D2162" s="34" t="s">
        <v>1152</v>
      </c>
      <c r="E2162" s="31">
        <v>3.98</v>
      </c>
      <c r="F2162" s="31">
        <v>26.5</v>
      </c>
      <c r="G2162" s="32">
        <f t="shared" si="335"/>
        <v>105.47</v>
      </c>
      <c r="H2162" s="33">
        <f t="shared" si="333"/>
        <v>5.4686731795723356E-7</v>
      </c>
      <c r="K2162" t="str">
        <f xml:space="preserve"> B2158 &amp; B2162</f>
        <v>Z000174010Z040309005</v>
      </c>
    </row>
    <row r="2163" spans="1:11" outlineLevel="1" x14ac:dyDescent="0.2">
      <c r="A2163" s="29"/>
      <c r="B2163" s="30" t="s">
        <v>498</v>
      </c>
      <c r="C2163" s="30" t="s">
        <v>773</v>
      </c>
      <c r="D2163" s="34" t="s">
        <v>84</v>
      </c>
      <c r="E2163" s="31">
        <v>4.7759999999999998</v>
      </c>
      <c r="F2163" s="31">
        <v>0</v>
      </c>
      <c r="G2163" s="32">
        <f t="shared" si="335"/>
        <v>0</v>
      </c>
      <c r="H2163" s="33">
        <f t="shared" si="333"/>
        <v>0</v>
      </c>
      <c r="K2163" t="str">
        <f xml:space="preserve"> B2158 &amp; B2163</f>
        <v>Z000174010Z040401001</v>
      </c>
    </row>
    <row r="2164" spans="1:11" outlineLevel="1" x14ac:dyDescent="0.2">
      <c r="A2164" s="11" t="s">
        <v>399</v>
      </c>
      <c r="B2164" s="11" t="s">
        <v>575</v>
      </c>
      <c r="C2164" s="11" t="s">
        <v>4075</v>
      </c>
      <c r="D2164" s="12" t="s">
        <v>1152</v>
      </c>
      <c r="E2164" s="13">
        <v>45.53</v>
      </c>
      <c r="F2164" s="14">
        <v>42.000000000000007</v>
      </c>
      <c r="G2164" s="15">
        <f>SUM(G2165:G2169)</f>
        <v>1912.2600000000002</v>
      </c>
      <c r="H2164" s="16">
        <f t="shared" si="333"/>
        <v>9.9151654255892637E-6</v>
      </c>
    </row>
    <row r="2165" spans="1:11" outlineLevel="1" x14ac:dyDescent="0.2">
      <c r="A2165" s="29"/>
      <c r="B2165" s="30" t="s">
        <v>982</v>
      </c>
      <c r="C2165" s="30" t="s">
        <v>4073</v>
      </c>
      <c r="D2165" s="34" t="s">
        <v>1052</v>
      </c>
      <c r="E2165" s="31">
        <v>91.06</v>
      </c>
      <c r="F2165" s="31">
        <v>7.75</v>
      </c>
      <c r="G2165" s="32">
        <f t="shared" ref="G2165:G2169" si="336">F2165*E2165</f>
        <v>705.71500000000003</v>
      </c>
      <c r="H2165" s="33">
        <f t="shared" si="333"/>
        <v>3.65916819277699E-6</v>
      </c>
      <c r="K2165" t="str">
        <f xml:space="preserve"> B2164 &amp; B2165</f>
        <v>Z000174011Z020503006</v>
      </c>
    </row>
    <row r="2166" spans="1:11" outlineLevel="1" x14ac:dyDescent="0.2">
      <c r="A2166" s="29"/>
      <c r="B2166" s="30" t="s">
        <v>1010</v>
      </c>
      <c r="C2166" s="30" t="s">
        <v>1140</v>
      </c>
      <c r="D2166" s="34" t="s">
        <v>151</v>
      </c>
      <c r="E2166" s="31">
        <v>0</v>
      </c>
      <c r="F2166" s="31">
        <v>35</v>
      </c>
      <c r="G2166" s="32">
        <f t="shared" si="336"/>
        <v>0</v>
      </c>
      <c r="H2166" s="33">
        <f t="shared" si="333"/>
        <v>0</v>
      </c>
      <c r="K2166" t="str">
        <f xml:space="preserve"> B2164 &amp; B2166</f>
        <v>Z000174011Z040201014</v>
      </c>
    </row>
    <row r="2167" spans="1:11" outlineLevel="1" x14ac:dyDescent="0.2">
      <c r="A2167" s="29"/>
      <c r="B2167" s="30" t="s">
        <v>801</v>
      </c>
      <c r="C2167" s="30" t="s">
        <v>402</v>
      </c>
      <c r="D2167" s="34" t="s">
        <v>151</v>
      </c>
      <c r="E2167" s="31">
        <v>0</v>
      </c>
      <c r="F2167" s="31">
        <v>10.3</v>
      </c>
      <c r="G2167" s="32">
        <f t="shared" si="336"/>
        <v>0</v>
      </c>
      <c r="H2167" s="33">
        <f t="shared" si="333"/>
        <v>0</v>
      </c>
      <c r="K2167" t="str">
        <f xml:space="preserve"> B2164 &amp; B2167</f>
        <v>Z000174011Z040202006</v>
      </c>
    </row>
    <row r="2168" spans="1:11" outlineLevel="1" x14ac:dyDescent="0.2">
      <c r="A2168" s="29"/>
      <c r="B2168" s="30" t="s">
        <v>694</v>
      </c>
      <c r="C2168" s="30" t="s">
        <v>4063</v>
      </c>
      <c r="D2168" s="34" t="s">
        <v>1152</v>
      </c>
      <c r="E2168" s="31">
        <v>45.53</v>
      </c>
      <c r="F2168" s="31">
        <v>26.5</v>
      </c>
      <c r="G2168" s="32">
        <f t="shared" si="336"/>
        <v>1206.5450000000001</v>
      </c>
      <c r="H2168" s="33">
        <f t="shared" si="333"/>
        <v>6.2559972328122733E-6</v>
      </c>
      <c r="K2168" t="str">
        <f xml:space="preserve"> B2164 &amp; B2168</f>
        <v>Z000174011Z040309005</v>
      </c>
    </row>
    <row r="2169" spans="1:11" outlineLevel="1" x14ac:dyDescent="0.2">
      <c r="A2169" s="29"/>
      <c r="B2169" s="30" t="s">
        <v>498</v>
      </c>
      <c r="C2169" s="30" t="s">
        <v>773</v>
      </c>
      <c r="D2169" s="34" t="s">
        <v>84</v>
      </c>
      <c r="E2169" s="31">
        <v>54.636000000000003</v>
      </c>
      <c r="F2169" s="31">
        <v>0</v>
      </c>
      <c r="G2169" s="32">
        <f t="shared" si="336"/>
        <v>0</v>
      </c>
      <c r="H2169" s="33">
        <f t="shared" si="333"/>
        <v>0</v>
      </c>
      <c r="K2169" t="str">
        <f xml:space="preserve"> B2164 &amp; B2169</f>
        <v>Z000174011Z040401001</v>
      </c>
    </row>
    <row r="2170" spans="1:11" outlineLevel="1" x14ac:dyDescent="0.2">
      <c r="A2170" s="11" t="s">
        <v>400</v>
      </c>
      <c r="B2170" s="11" t="s">
        <v>635</v>
      </c>
      <c r="C2170" s="11" t="s">
        <v>4009</v>
      </c>
      <c r="D2170" s="12" t="s">
        <v>1152</v>
      </c>
      <c r="E2170" s="13">
        <v>62.56</v>
      </c>
      <c r="F2170" s="14">
        <v>23.470632999999999</v>
      </c>
      <c r="G2170" s="15">
        <f>SUM(G2171:G2175)</f>
        <v>1468.3228004800001</v>
      </c>
      <c r="H2170" s="16">
        <f t="shared" si="333"/>
        <v>7.6133284516350795E-6</v>
      </c>
    </row>
    <row r="2171" spans="1:11" outlineLevel="1" x14ac:dyDescent="0.2">
      <c r="A2171" s="29"/>
      <c r="B2171" s="30" t="s">
        <v>893</v>
      </c>
      <c r="C2171" s="30" t="s">
        <v>4007</v>
      </c>
      <c r="D2171" s="34" t="s">
        <v>152</v>
      </c>
      <c r="E2171" s="31">
        <v>11.805072000000001</v>
      </c>
      <c r="F2171" s="31">
        <v>39.590000000000003</v>
      </c>
      <c r="G2171" s="32">
        <f t="shared" ref="G2171:G2175" si="337">F2171*E2171</f>
        <v>467.36280048000009</v>
      </c>
      <c r="H2171" s="33">
        <f t="shared" si="333"/>
        <v>2.4232999071914226E-6</v>
      </c>
      <c r="K2171" t="str">
        <f xml:space="preserve"> B2170 &amp; B2171</f>
        <v>Z000173004Z020504011</v>
      </c>
    </row>
    <row r="2172" spans="1:11" outlineLevel="1" x14ac:dyDescent="0.2">
      <c r="A2172" s="29"/>
      <c r="B2172" s="30" t="s">
        <v>1010</v>
      </c>
      <c r="C2172" s="30" t="s">
        <v>1140</v>
      </c>
      <c r="D2172" s="34" t="s">
        <v>151</v>
      </c>
      <c r="E2172" s="31">
        <v>0</v>
      </c>
      <c r="F2172" s="31">
        <v>35</v>
      </c>
      <c r="G2172" s="32">
        <f t="shared" si="337"/>
        <v>0</v>
      </c>
      <c r="H2172" s="33">
        <f t="shared" si="333"/>
        <v>0</v>
      </c>
      <c r="K2172" t="str">
        <f xml:space="preserve"> B2170 &amp; B2172</f>
        <v>Z000173004Z040201014</v>
      </c>
    </row>
    <row r="2173" spans="1:11" outlineLevel="1" x14ac:dyDescent="0.2">
      <c r="A2173" s="29"/>
      <c r="B2173" s="30" t="s">
        <v>801</v>
      </c>
      <c r="C2173" s="30" t="s">
        <v>402</v>
      </c>
      <c r="D2173" s="34" t="s">
        <v>151</v>
      </c>
      <c r="E2173" s="31">
        <v>0</v>
      </c>
      <c r="F2173" s="31">
        <v>10.3</v>
      </c>
      <c r="G2173" s="32">
        <f t="shared" si="337"/>
        <v>0</v>
      </c>
      <c r="H2173" s="33">
        <f t="shared" si="333"/>
        <v>0</v>
      </c>
      <c r="K2173" t="str">
        <f xml:space="preserve"> B2170 &amp; B2173</f>
        <v>Z000173004Z040202006</v>
      </c>
    </row>
    <row r="2174" spans="1:11" outlineLevel="1" x14ac:dyDescent="0.2">
      <c r="A2174" s="29"/>
      <c r="B2174" s="30" t="s">
        <v>692</v>
      </c>
      <c r="C2174" s="30" t="s">
        <v>4004</v>
      </c>
      <c r="D2174" s="34" t="s">
        <v>1152</v>
      </c>
      <c r="E2174" s="31">
        <v>62.56</v>
      </c>
      <c r="F2174" s="31">
        <v>16</v>
      </c>
      <c r="G2174" s="32">
        <f t="shared" si="337"/>
        <v>1000.96</v>
      </c>
      <c r="H2174" s="33">
        <f t="shared" si="333"/>
        <v>5.1900285444436577E-6</v>
      </c>
      <c r="K2174" t="str">
        <f xml:space="preserve"> B2170 &amp; B2174</f>
        <v>Z000173004Z040309004</v>
      </c>
    </row>
    <row r="2175" spans="1:11" outlineLevel="1" x14ac:dyDescent="0.2">
      <c r="A2175" s="29"/>
      <c r="B2175" s="30" t="s">
        <v>498</v>
      </c>
      <c r="C2175" s="30" t="s">
        <v>773</v>
      </c>
      <c r="D2175" s="34" t="s">
        <v>84</v>
      </c>
      <c r="E2175" s="31">
        <v>75.072000000000003</v>
      </c>
      <c r="F2175" s="31">
        <v>0</v>
      </c>
      <c r="G2175" s="32">
        <f t="shared" si="337"/>
        <v>0</v>
      </c>
      <c r="H2175" s="33">
        <f t="shared" si="333"/>
        <v>0</v>
      </c>
      <c r="K2175" t="str">
        <f xml:space="preserve"> B2170 &amp; B2175</f>
        <v>Z000173004Z040401001</v>
      </c>
    </row>
    <row r="2176" spans="1:11" outlineLevel="1" x14ac:dyDescent="0.2">
      <c r="A2176" s="11" t="s">
        <v>403</v>
      </c>
      <c r="B2176" s="11" t="s">
        <v>523</v>
      </c>
      <c r="C2176" s="11" t="s">
        <v>4060</v>
      </c>
      <c r="D2176" s="12" t="s">
        <v>1152</v>
      </c>
      <c r="E2176" s="13">
        <v>198.54</v>
      </c>
      <c r="F2176" s="14">
        <v>37.5</v>
      </c>
      <c r="G2176" s="15">
        <f>SUM(G2177:G2181)</f>
        <v>7445.25</v>
      </c>
      <c r="H2176" s="16">
        <f t="shared" si="333"/>
        <v>3.8604000180346005E-5</v>
      </c>
    </row>
    <row r="2177" spans="1:11" outlineLevel="1" x14ac:dyDescent="0.2">
      <c r="A2177" s="29"/>
      <c r="B2177" s="30" t="s">
        <v>986</v>
      </c>
      <c r="C2177" s="30" t="s">
        <v>4058</v>
      </c>
      <c r="D2177" s="34" t="s">
        <v>1052</v>
      </c>
      <c r="E2177" s="31">
        <v>198.54</v>
      </c>
      <c r="F2177" s="31">
        <v>11</v>
      </c>
      <c r="G2177" s="32">
        <f t="shared" ref="G2177:G2181" si="338">F2177*E2177</f>
        <v>2183.94</v>
      </c>
      <c r="H2177" s="33">
        <f t="shared" si="333"/>
        <v>1.1323840052901496E-5</v>
      </c>
      <c r="K2177" t="str">
        <f xml:space="preserve"> B2176 &amp; B2177</f>
        <v>Z000174001Z020503007</v>
      </c>
    </row>
    <row r="2178" spans="1:11" outlineLevel="1" x14ac:dyDescent="0.2">
      <c r="A2178" s="29"/>
      <c r="B2178" s="30" t="s">
        <v>1010</v>
      </c>
      <c r="C2178" s="30" t="s">
        <v>1140</v>
      </c>
      <c r="D2178" s="34" t="s">
        <v>151</v>
      </c>
      <c r="E2178" s="31">
        <v>0</v>
      </c>
      <c r="F2178" s="31">
        <v>35</v>
      </c>
      <c r="G2178" s="32">
        <f t="shared" si="338"/>
        <v>0</v>
      </c>
      <c r="H2178" s="33">
        <f t="shared" si="333"/>
        <v>0</v>
      </c>
      <c r="K2178" t="str">
        <f xml:space="preserve"> B2176 &amp; B2178</f>
        <v>Z000174001Z040201014</v>
      </c>
    </row>
    <row r="2179" spans="1:11" outlineLevel="1" x14ac:dyDescent="0.2">
      <c r="A2179" s="29"/>
      <c r="B2179" s="30" t="s">
        <v>801</v>
      </c>
      <c r="C2179" s="30" t="s">
        <v>402</v>
      </c>
      <c r="D2179" s="34" t="s">
        <v>151</v>
      </c>
      <c r="E2179" s="31">
        <v>0</v>
      </c>
      <c r="F2179" s="31">
        <v>10.3</v>
      </c>
      <c r="G2179" s="32">
        <f t="shared" si="338"/>
        <v>0</v>
      </c>
      <c r="H2179" s="33">
        <f t="shared" si="333"/>
        <v>0</v>
      </c>
      <c r="K2179" t="str">
        <f xml:space="preserve"> B2176 &amp; B2179</f>
        <v>Z000174001Z040202006</v>
      </c>
    </row>
    <row r="2180" spans="1:11" outlineLevel="1" x14ac:dyDescent="0.2">
      <c r="A2180" s="29"/>
      <c r="B2180" s="30" t="s">
        <v>694</v>
      </c>
      <c r="C2180" s="30" t="s">
        <v>4063</v>
      </c>
      <c r="D2180" s="34" t="s">
        <v>1152</v>
      </c>
      <c r="E2180" s="31">
        <v>198.54</v>
      </c>
      <c r="F2180" s="31">
        <v>26.5</v>
      </c>
      <c r="G2180" s="32">
        <f t="shared" si="338"/>
        <v>5261.3099999999995</v>
      </c>
      <c r="H2180" s="33">
        <f t="shared" si="333"/>
        <v>2.728016012744451E-5</v>
      </c>
      <c r="K2180" t="str">
        <f xml:space="preserve"> B2176 &amp; B2180</f>
        <v>Z000174001Z040309005</v>
      </c>
    </row>
    <row r="2181" spans="1:11" outlineLevel="1" x14ac:dyDescent="0.2">
      <c r="A2181" s="29"/>
      <c r="B2181" s="30" t="s">
        <v>498</v>
      </c>
      <c r="C2181" s="30" t="s">
        <v>773</v>
      </c>
      <c r="D2181" s="34" t="s">
        <v>84</v>
      </c>
      <c r="E2181" s="31">
        <v>238.24799999999999</v>
      </c>
      <c r="F2181" s="31">
        <v>0</v>
      </c>
      <c r="G2181" s="32">
        <f t="shared" si="338"/>
        <v>0</v>
      </c>
      <c r="H2181" s="33">
        <f t="shared" si="333"/>
        <v>0</v>
      </c>
      <c r="K2181" t="str">
        <f xml:space="preserve"> B2176 &amp; B2181</f>
        <v>Z000174001Z040401001</v>
      </c>
    </row>
    <row r="2182" spans="1:11" outlineLevel="1" x14ac:dyDescent="0.2">
      <c r="A2182" s="11" t="s">
        <v>405</v>
      </c>
      <c r="B2182" s="11" t="s">
        <v>886</v>
      </c>
      <c r="C2182" s="11" t="s">
        <v>3962</v>
      </c>
      <c r="D2182" s="12" t="s">
        <v>1152</v>
      </c>
      <c r="E2182" s="13">
        <v>22971.56</v>
      </c>
      <c r="F2182" s="14">
        <v>5.0492499999999998</v>
      </c>
      <c r="G2182" s="15">
        <f>SUM(G2183:G2187)</f>
        <v>115989.14933</v>
      </c>
      <c r="H2182" s="16">
        <f t="shared" si="333"/>
        <v>6.0140964261153084E-4</v>
      </c>
    </row>
    <row r="2183" spans="1:11" outlineLevel="1" x14ac:dyDescent="0.2">
      <c r="A2183" s="29"/>
      <c r="B2183" s="30" t="s">
        <v>1250</v>
      </c>
      <c r="C2183" s="30" t="s">
        <v>3953</v>
      </c>
      <c r="D2183" s="34" t="s">
        <v>152</v>
      </c>
      <c r="E2183" s="31">
        <v>3445.7339999999999</v>
      </c>
      <c r="F2183" s="31">
        <v>6.9950000000000001</v>
      </c>
      <c r="G2183" s="32">
        <f t="shared" ref="G2183:G2187" si="339">F2183*E2183</f>
        <v>24102.909329999999</v>
      </c>
      <c r="H2183" s="33">
        <f t="shared" si="333"/>
        <v>1.2497481160769395E-4</v>
      </c>
      <c r="K2183" t="str">
        <f xml:space="preserve"> B2182 &amp; B2183</f>
        <v>Z000171002Z020501005</v>
      </c>
    </row>
    <row r="2184" spans="1:11" outlineLevel="1" x14ac:dyDescent="0.2">
      <c r="A2184" s="29"/>
      <c r="B2184" s="30" t="s">
        <v>1010</v>
      </c>
      <c r="C2184" s="30" t="s">
        <v>1140</v>
      </c>
      <c r="D2184" s="34" t="s">
        <v>151</v>
      </c>
      <c r="E2184" s="31">
        <v>0</v>
      </c>
      <c r="F2184" s="31">
        <v>35</v>
      </c>
      <c r="G2184" s="32">
        <f t="shared" si="339"/>
        <v>0</v>
      </c>
      <c r="H2184" s="33">
        <f t="shared" si="333"/>
        <v>0</v>
      </c>
      <c r="K2184" t="str">
        <f xml:space="preserve"> B2182 &amp; B2184</f>
        <v>Z000171002Z040201014</v>
      </c>
    </row>
    <row r="2185" spans="1:11" outlineLevel="1" x14ac:dyDescent="0.2">
      <c r="A2185" s="29"/>
      <c r="B2185" s="30" t="s">
        <v>801</v>
      </c>
      <c r="C2185" s="30" t="s">
        <v>402</v>
      </c>
      <c r="D2185" s="34" t="s">
        <v>151</v>
      </c>
      <c r="E2185" s="31">
        <v>0</v>
      </c>
      <c r="F2185" s="31">
        <v>10.3</v>
      </c>
      <c r="G2185" s="32">
        <f t="shared" si="339"/>
        <v>0</v>
      </c>
      <c r="H2185" s="33">
        <f t="shared" si="333"/>
        <v>0</v>
      </c>
      <c r="K2185" t="str">
        <f xml:space="preserve"> B2182 &amp; B2185</f>
        <v>Z000171002Z040202006</v>
      </c>
    </row>
    <row r="2186" spans="1:11" outlineLevel="1" x14ac:dyDescent="0.2">
      <c r="A2186" s="29"/>
      <c r="B2186" s="30" t="s">
        <v>687</v>
      </c>
      <c r="C2186" s="30" t="s">
        <v>3958</v>
      </c>
      <c r="D2186" s="34" t="s">
        <v>1152</v>
      </c>
      <c r="E2186" s="31">
        <v>22971.56</v>
      </c>
      <c r="F2186" s="31">
        <v>4</v>
      </c>
      <c r="G2186" s="32">
        <f t="shared" si="339"/>
        <v>91886.24</v>
      </c>
      <c r="H2186" s="33">
        <f t="shared" si="333"/>
        <v>4.764348310038369E-4</v>
      </c>
      <c r="K2186" t="str">
        <f xml:space="preserve"> B2182 &amp; B2186</f>
        <v>Z000171002Z040309002</v>
      </c>
    </row>
    <row r="2187" spans="1:11" outlineLevel="1" x14ac:dyDescent="0.2">
      <c r="A2187" s="29"/>
      <c r="B2187" s="30" t="s">
        <v>498</v>
      </c>
      <c r="C2187" s="30" t="s">
        <v>773</v>
      </c>
      <c r="D2187" s="34" t="s">
        <v>84</v>
      </c>
      <c r="E2187" s="31">
        <v>27565.871999999999</v>
      </c>
      <c r="F2187" s="31">
        <v>0</v>
      </c>
      <c r="G2187" s="32">
        <f t="shared" si="339"/>
        <v>0</v>
      </c>
      <c r="H2187" s="33">
        <f t="shared" si="333"/>
        <v>0</v>
      </c>
      <c r="K2187" t="str">
        <f xml:space="preserve"> B2182 &amp; B2187</f>
        <v>Z000171002Z040401001</v>
      </c>
    </row>
    <row r="2188" spans="1:11" outlineLevel="1" x14ac:dyDescent="0.2">
      <c r="A2188" s="11" t="s">
        <v>406</v>
      </c>
      <c r="B2188" s="11" t="s">
        <v>748</v>
      </c>
      <c r="C2188" s="11" t="s">
        <v>3983</v>
      </c>
      <c r="D2188" s="12" t="s">
        <v>1152</v>
      </c>
      <c r="E2188" s="13">
        <v>22922.04</v>
      </c>
      <c r="F2188" s="14">
        <v>23.667151960000005</v>
      </c>
      <c r="G2188" s="15">
        <f>SUM(G2189:G2194)</f>
        <v>542499.4039131985</v>
      </c>
      <c r="H2188" s="16">
        <f t="shared" si="333"/>
        <v>2.8128870201138603E-3</v>
      </c>
    </row>
    <row r="2189" spans="1:11" outlineLevel="1" x14ac:dyDescent="0.2">
      <c r="A2189" s="29"/>
      <c r="B2189" s="30" t="s">
        <v>1114</v>
      </c>
      <c r="C2189" s="30" t="s">
        <v>1595</v>
      </c>
      <c r="D2189" s="34" t="s">
        <v>1052</v>
      </c>
      <c r="E2189" s="31">
        <v>30690.319356</v>
      </c>
      <c r="F2189" s="31">
        <v>2.6964000000000001</v>
      </c>
      <c r="G2189" s="32">
        <f t="shared" ref="G2189:G2194" si="340">F2189*E2189</f>
        <v>82753.377111518406</v>
      </c>
      <c r="H2189" s="33">
        <f t="shared" si="333"/>
        <v>4.2908047210467044E-4</v>
      </c>
      <c r="K2189" t="str">
        <f xml:space="preserve"> B2188 &amp; B2189</f>
        <v>Z000172002Z020502001</v>
      </c>
    </row>
    <row r="2190" spans="1:11" outlineLevel="1" x14ac:dyDescent="0.2">
      <c r="A2190" s="29"/>
      <c r="B2190" s="30" t="s">
        <v>157</v>
      </c>
      <c r="C2190" s="30" t="s">
        <v>3975</v>
      </c>
      <c r="D2190" s="34" t="s">
        <v>1781</v>
      </c>
      <c r="E2190" s="31">
        <v>1838.3476079999998</v>
      </c>
      <c r="F2190" s="31">
        <v>0.71</v>
      </c>
      <c r="G2190" s="32">
        <f t="shared" si="340"/>
        <v>1305.2268016799999</v>
      </c>
      <c r="H2190" s="33">
        <f t="shared" si="333"/>
        <v>6.7676673969909882E-6</v>
      </c>
      <c r="K2190" t="str">
        <f xml:space="preserve"> B2188 &amp; B2190</f>
        <v>Z000172002Z030101001</v>
      </c>
    </row>
    <row r="2191" spans="1:11" outlineLevel="1" x14ac:dyDescent="0.2">
      <c r="A2191" s="29"/>
      <c r="B2191" s="30" t="s">
        <v>1010</v>
      </c>
      <c r="C2191" s="30" t="s">
        <v>1140</v>
      </c>
      <c r="D2191" s="34" t="s">
        <v>151</v>
      </c>
      <c r="E2191" s="31">
        <v>0</v>
      </c>
      <c r="F2191" s="31">
        <v>35</v>
      </c>
      <c r="G2191" s="32">
        <f t="shared" si="340"/>
        <v>0</v>
      </c>
      <c r="H2191" s="33">
        <f t="shared" si="333"/>
        <v>0</v>
      </c>
      <c r="K2191" t="str">
        <f xml:space="preserve"> B2188 &amp; B2191</f>
        <v>Z000172002Z040201014</v>
      </c>
    </row>
    <row r="2192" spans="1:11" outlineLevel="1" x14ac:dyDescent="0.2">
      <c r="A2192" s="29"/>
      <c r="B2192" s="30" t="s">
        <v>801</v>
      </c>
      <c r="C2192" s="30" t="s">
        <v>402</v>
      </c>
      <c r="D2192" s="34" t="s">
        <v>151</v>
      </c>
      <c r="E2192" s="31">
        <v>0</v>
      </c>
      <c r="F2192" s="31">
        <v>10.3</v>
      </c>
      <c r="G2192" s="32">
        <f t="shared" si="340"/>
        <v>0</v>
      </c>
      <c r="H2192" s="33">
        <f t="shared" si="333"/>
        <v>0</v>
      </c>
      <c r="K2192" t="str">
        <f xml:space="preserve"> B2188 &amp; B2192</f>
        <v>Z000172002Z040202006</v>
      </c>
    </row>
    <row r="2193" spans="1:11" outlineLevel="1" x14ac:dyDescent="0.2">
      <c r="A2193" s="29"/>
      <c r="B2193" s="30" t="s">
        <v>689</v>
      </c>
      <c r="C2193" s="30" t="s">
        <v>3979</v>
      </c>
      <c r="D2193" s="34" t="s">
        <v>1152</v>
      </c>
      <c r="E2193" s="31">
        <v>22922.04</v>
      </c>
      <c r="F2193" s="31">
        <v>20</v>
      </c>
      <c r="G2193" s="32">
        <f t="shared" si="340"/>
        <v>458440.80000000005</v>
      </c>
      <c r="H2193" s="33">
        <f t="shared" si="333"/>
        <v>2.3770388806121983E-3</v>
      </c>
      <c r="K2193" t="str">
        <f xml:space="preserve"> B2188 &amp; B2193</f>
        <v>Z000172002Z040309003</v>
      </c>
    </row>
    <row r="2194" spans="1:11" outlineLevel="1" x14ac:dyDescent="0.2">
      <c r="A2194" s="29"/>
      <c r="B2194" s="30" t="s">
        <v>498</v>
      </c>
      <c r="C2194" s="30" t="s">
        <v>773</v>
      </c>
      <c r="D2194" s="34" t="s">
        <v>84</v>
      </c>
      <c r="E2194" s="31">
        <v>27506.448</v>
      </c>
      <c r="F2194" s="31">
        <v>0</v>
      </c>
      <c r="G2194" s="32">
        <f t="shared" si="340"/>
        <v>0</v>
      </c>
      <c r="H2194" s="33">
        <f t="shared" si="333"/>
        <v>0</v>
      </c>
      <c r="K2194" t="str">
        <f xml:space="preserve"> B2188 &amp; B2194</f>
        <v>Z000172002Z040401001</v>
      </c>
    </row>
    <row r="2195" spans="1:11" outlineLevel="1" x14ac:dyDescent="0.2">
      <c r="A2195" s="11" t="s">
        <v>449</v>
      </c>
      <c r="B2195" s="11" t="s">
        <v>882</v>
      </c>
      <c r="C2195" s="11" t="s">
        <v>3955</v>
      </c>
      <c r="D2195" s="12" t="s">
        <v>1152</v>
      </c>
      <c r="E2195" s="13">
        <v>261.10000000000002</v>
      </c>
      <c r="F2195" s="14">
        <v>5.0492499999999998</v>
      </c>
      <c r="G2195" s="15">
        <f>SUM(G2196:G2200)</f>
        <v>1318.3591750000001</v>
      </c>
      <c r="H2195" s="16">
        <f t="shared" si="333"/>
        <v>6.8357594210349976E-6</v>
      </c>
    </row>
    <row r="2196" spans="1:11" outlineLevel="1" x14ac:dyDescent="0.2">
      <c r="A2196" s="29"/>
      <c r="B2196" s="30" t="s">
        <v>1250</v>
      </c>
      <c r="C2196" s="30" t="s">
        <v>3953</v>
      </c>
      <c r="D2196" s="34" t="s">
        <v>152</v>
      </c>
      <c r="E2196" s="31">
        <v>39.164999999999999</v>
      </c>
      <c r="F2196" s="31">
        <v>6.9950000000000001</v>
      </c>
      <c r="G2196" s="32">
        <f t="shared" ref="G2196:G2200" si="341">F2196*E2196</f>
        <v>273.95917500000002</v>
      </c>
      <c r="H2196" s="33">
        <f t="shared" si="333"/>
        <v>1.4204922656871756E-6</v>
      </c>
      <c r="K2196" t="str">
        <f xml:space="preserve"> B2195 &amp; B2196</f>
        <v>Z000171001Z020501005</v>
      </c>
    </row>
    <row r="2197" spans="1:11" outlineLevel="1" x14ac:dyDescent="0.2">
      <c r="A2197" s="29"/>
      <c r="B2197" s="30" t="s">
        <v>1010</v>
      </c>
      <c r="C2197" s="30" t="s">
        <v>1140</v>
      </c>
      <c r="D2197" s="34" t="s">
        <v>151</v>
      </c>
      <c r="E2197" s="31">
        <v>0</v>
      </c>
      <c r="F2197" s="31">
        <v>35</v>
      </c>
      <c r="G2197" s="32">
        <f t="shared" si="341"/>
        <v>0</v>
      </c>
      <c r="H2197" s="33">
        <f t="shared" si="333"/>
        <v>0</v>
      </c>
      <c r="K2197" t="str">
        <f xml:space="preserve"> B2195 &amp; B2197</f>
        <v>Z000171001Z040201014</v>
      </c>
    </row>
    <row r="2198" spans="1:11" outlineLevel="1" x14ac:dyDescent="0.2">
      <c r="A2198" s="29"/>
      <c r="B2198" s="30" t="s">
        <v>801</v>
      </c>
      <c r="C2198" s="30" t="s">
        <v>402</v>
      </c>
      <c r="D2198" s="34" t="s">
        <v>151</v>
      </c>
      <c r="E2198" s="31">
        <v>0</v>
      </c>
      <c r="F2198" s="31">
        <v>10.3</v>
      </c>
      <c r="G2198" s="32">
        <f t="shared" si="341"/>
        <v>0</v>
      </c>
      <c r="H2198" s="33">
        <f t="shared" si="333"/>
        <v>0</v>
      </c>
      <c r="K2198" t="str">
        <f xml:space="preserve"> B2195 &amp; B2198</f>
        <v>Z000171001Z040202006</v>
      </c>
    </row>
    <row r="2199" spans="1:11" outlineLevel="1" x14ac:dyDescent="0.2">
      <c r="A2199" s="29"/>
      <c r="B2199" s="30" t="s">
        <v>687</v>
      </c>
      <c r="C2199" s="30" t="s">
        <v>3958</v>
      </c>
      <c r="D2199" s="34" t="s">
        <v>1152</v>
      </c>
      <c r="E2199" s="31">
        <v>261.10000000000002</v>
      </c>
      <c r="F2199" s="31">
        <v>4</v>
      </c>
      <c r="G2199" s="32">
        <f t="shared" si="341"/>
        <v>1044.4000000000001</v>
      </c>
      <c r="H2199" s="33">
        <f t="shared" si="333"/>
        <v>5.4152671553478222E-6</v>
      </c>
      <c r="K2199" t="str">
        <f xml:space="preserve"> B2195 &amp; B2199</f>
        <v>Z000171001Z040309002</v>
      </c>
    </row>
    <row r="2200" spans="1:11" outlineLevel="1" x14ac:dyDescent="0.2">
      <c r="A2200" s="29"/>
      <c r="B2200" s="30" t="s">
        <v>498</v>
      </c>
      <c r="C2200" s="30" t="s">
        <v>773</v>
      </c>
      <c r="D2200" s="34" t="s">
        <v>84</v>
      </c>
      <c r="E2200" s="31">
        <v>313.32</v>
      </c>
      <c r="F2200" s="31">
        <v>0</v>
      </c>
      <c r="G2200" s="32">
        <f t="shared" si="341"/>
        <v>0</v>
      </c>
      <c r="H2200" s="33">
        <f t="shared" si="333"/>
        <v>0</v>
      </c>
      <c r="K2200" t="str">
        <f xml:space="preserve"> B2195 &amp; B2200</f>
        <v>Z000171001Z040401001</v>
      </c>
    </row>
    <row r="2201" spans="1:11" outlineLevel="1" x14ac:dyDescent="0.2">
      <c r="A2201" s="11" t="s">
        <v>452</v>
      </c>
      <c r="B2201" s="11" t="s">
        <v>743</v>
      </c>
      <c r="C2201" s="11" t="s">
        <v>3974</v>
      </c>
      <c r="D2201" s="12" t="s">
        <v>1152</v>
      </c>
      <c r="E2201" s="13">
        <v>62.56</v>
      </c>
      <c r="F2201" s="14">
        <v>28.406322400000001</v>
      </c>
      <c r="G2201" s="15">
        <f>SUM(G2202:G2207)</f>
        <v>1777.0995293440001</v>
      </c>
      <c r="H2201" s="16">
        <f t="shared" si="333"/>
        <v>9.2143515061668285E-6</v>
      </c>
    </row>
    <row r="2202" spans="1:11" outlineLevel="1" x14ac:dyDescent="0.2">
      <c r="A2202" s="29"/>
      <c r="B2202" s="30" t="s">
        <v>1115</v>
      </c>
      <c r="C2202" s="30" t="s">
        <v>168</v>
      </c>
      <c r="D2202" s="34" t="s">
        <v>1052</v>
      </c>
      <c r="E2202" s="31">
        <v>83.761583999999999</v>
      </c>
      <c r="F2202" s="31">
        <v>6.2359999999999998</v>
      </c>
      <c r="G2202" s="32">
        <f t="shared" ref="G2202:G2207" si="342">F2202*E2202</f>
        <v>522.337237824</v>
      </c>
      <c r="H2202" s="33">
        <f t="shared" si="333"/>
        <v>2.7083451627761499E-6</v>
      </c>
      <c r="K2202" t="str">
        <f xml:space="preserve"> B2201 &amp; B2202</f>
        <v>Z000172001Z020502002</v>
      </c>
    </row>
    <row r="2203" spans="1:11" outlineLevel="1" x14ac:dyDescent="0.2">
      <c r="A2203" s="29"/>
      <c r="B2203" s="30" t="s">
        <v>157</v>
      </c>
      <c r="C2203" s="30" t="s">
        <v>3975</v>
      </c>
      <c r="D2203" s="34" t="s">
        <v>1781</v>
      </c>
      <c r="E2203" s="31">
        <v>5.0173119999999995</v>
      </c>
      <c r="F2203" s="31">
        <v>0.71</v>
      </c>
      <c r="G2203" s="32">
        <f t="shared" si="342"/>
        <v>3.5622915199999996</v>
      </c>
      <c r="H2203" s="33">
        <f t="shared" si="333"/>
        <v>1.8470662836106919E-8</v>
      </c>
      <c r="K2203" t="str">
        <f xml:space="preserve"> B2201 &amp; B2203</f>
        <v>Z000172001Z030101001</v>
      </c>
    </row>
    <row r="2204" spans="1:11" outlineLevel="1" x14ac:dyDescent="0.2">
      <c r="A2204" s="29"/>
      <c r="B2204" s="30" t="s">
        <v>1010</v>
      </c>
      <c r="C2204" s="30" t="s">
        <v>1140</v>
      </c>
      <c r="D2204" s="34" t="s">
        <v>151</v>
      </c>
      <c r="E2204" s="31">
        <v>0</v>
      </c>
      <c r="F2204" s="31">
        <v>35</v>
      </c>
      <c r="G2204" s="32">
        <f t="shared" si="342"/>
        <v>0</v>
      </c>
      <c r="H2204" s="33">
        <f t="shared" si="333"/>
        <v>0</v>
      </c>
      <c r="K2204" t="str">
        <f xml:space="preserve"> B2201 &amp; B2204</f>
        <v>Z000172001Z040201014</v>
      </c>
    </row>
    <row r="2205" spans="1:11" outlineLevel="1" x14ac:dyDescent="0.2">
      <c r="A2205" s="29"/>
      <c r="B2205" s="30" t="s">
        <v>801</v>
      </c>
      <c r="C2205" s="30" t="s">
        <v>402</v>
      </c>
      <c r="D2205" s="34" t="s">
        <v>151</v>
      </c>
      <c r="E2205" s="31">
        <v>0</v>
      </c>
      <c r="F2205" s="31">
        <v>10.3</v>
      </c>
      <c r="G2205" s="32">
        <f t="shared" si="342"/>
        <v>0</v>
      </c>
      <c r="H2205" s="33">
        <f t="shared" si="333"/>
        <v>0</v>
      </c>
      <c r="K2205" t="str">
        <f xml:space="preserve"> B2201 &amp; B2205</f>
        <v>Z000172001Z040202006</v>
      </c>
    </row>
    <row r="2206" spans="1:11" outlineLevel="1" x14ac:dyDescent="0.2">
      <c r="A2206" s="29"/>
      <c r="B2206" s="30" t="s">
        <v>689</v>
      </c>
      <c r="C2206" s="30" t="s">
        <v>3979</v>
      </c>
      <c r="D2206" s="34" t="s">
        <v>1152</v>
      </c>
      <c r="E2206" s="31">
        <v>62.56</v>
      </c>
      <c r="F2206" s="31">
        <v>20</v>
      </c>
      <c r="G2206" s="32">
        <f t="shared" si="342"/>
        <v>1251.2</v>
      </c>
      <c r="H2206" s="33">
        <f t="shared" si="333"/>
        <v>6.4875356805545719E-6</v>
      </c>
      <c r="K2206" t="str">
        <f xml:space="preserve"> B2201 &amp; B2206</f>
        <v>Z000172001Z040309003</v>
      </c>
    </row>
    <row r="2207" spans="1:11" outlineLevel="1" x14ac:dyDescent="0.2">
      <c r="A2207" s="29"/>
      <c r="B2207" s="30" t="s">
        <v>498</v>
      </c>
      <c r="C2207" s="30" t="s">
        <v>773</v>
      </c>
      <c r="D2207" s="34" t="s">
        <v>84</v>
      </c>
      <c r="E2207" s="31">
        <v>75.072000000000003</v>
      </c>
      <c r="F2207" s="31">
        <v>0</v>
      </c>
      <c r="G2207" s="32">
        <f t="shared" si="342"/>
        <v>0</v>
      </c>
      <c r="H2207" s="33">
        <f t="shared" si="333"/>
        <v>0</v>
      </c>
      <c r="K2207" t="str">
        <f xml:space="preserve"> B2201 &amp; B2207</f>
        <v>Z000172001Z040401001</v>
      </c>
    </row>
    <row r="2208" spans="1:11" ht="15" x14ac:dyDescent="0.2">
      <c r="A2208" s="17" t="s">
        <v>2048</v>
      </c>
      <c r="B2208" s="17" t="s">
        <v>328</v>
      </c>
      <c r="C2208" s="17" t="s">
        <v>852</v>
      </c>
      <c r="D2208" s="18"/>
      <c r="E2208" s="19"/>
      <c r="F2208" s="20"/>
      <c r="G2208" s="21">
        <f>SUM(G2209,G2215,G2221,G2227,G2233,G2239)</f>
        <v>938904.24348228332</v>
      </c>
      <c r="H2208" s="22">
        <f t="shared" si="333"/>
        <v>4.8682662885353341E-3</v>
      </c>
    </row>
    <row r="2209" spans="1:11" outlineLevel="1" x14ac:dyDescent="0.2">
      <c r="A2209" s="11" t="s">
        <v>278</v>
      </c>
      <c r="B2209" s="11" t="s">
        <v>644</v>
      </c>
      <c r="C2209" s="11" t="s">
        <v>4032</v>
      </c>
      <c r="D2209" s="12" t="s">
        <v>1152</v>
      </c>
      <c r="E2209" s="13">
        <v>19120.53</v>
      </c>
      <c r="F2209" s="14">
        <v>19.907499999999999</v>
      </c>
      <c r="G2209" s="15">
        <f>SUM(G2210:G2214)</f>
        <v>380641.95097499999</v>
      </c>
      <c r="H2209" s="16">
        <f t="shared" ref="H2209:H2295" si="343">G2209/$F$2</f>
        <v>1.9736478887997255E-3</v>
      </c>
    </row>
    <row r="2210" spans="1:11" outlineLevel="1" x14ac:dyDescent="0.2">
      <c r="A2210" s="29"/>
      <c r="B2210" s="30" t="s">
        <v>902</v>
      </c>
      <c r="C2210" s="30" t="s">
        <v>4030</v>
      </c>
      <c r="D2210" s="34" t="s">
        <v>152</v>
      </c>
      <c r="E2210" s="31">
        <v>2988.5388389999998</v>
      </c>
      <c r="F2210" s="31">
        <v>25</v>
      </c>
      <c r="G2210" s="32">
        <f t="shared" ref="G2210:G2214" si="344">F2210*E2210</f>
        <v>74713.470974999989</v>
      </c>
      <c r="H2210" s="33">
        <f t="shared" si="343"/>
        <v>3.8739314959110516E-4</v>
      </c>
      <c r="K2210" t="str">
        <f xml:space="preserve"> B2209 &amp; B2210</f>
        <v>Z000173009Z020504014</v>
      </c>
    </row>
    <row r="2211" spans="1:11" outlineLevel="1" x14ac:dyDescent="0.2">
      <c r="A2211" s="29"/>
      <c r="B2211" s="30" t="s">
        <v>1010</v>
      </c>
      <c r="C2211" s="30" t="s">
        <v>1140</v>
      </c>
      <c r="D2211" s="34" t="s">
        <v>151</v>
      </c>
      <c r="E2211" s="31">
        <v>0</v>
      </c>
      <c r="F2211" s="31">
        <v>35</v>
      </c>
      <c r="G2211" s="32">
        <f t="shared" si="344"/>
        <v>0</v>
      </c>
      <c r="H2211" s="33">
        <f t="shared" si="343"/>
        <v>0</v>
      </c>
      <c r="K2211" t="str">
        <f xml:space="preserve"> B2209 &amp; B2211</f>
        <v>Z000173009Z040201014</v>
      </c>
    </row>
    <row r="2212" spans="1:11" outlineLevel="1" x14ac:dyDescent="0.2">
      <c r="A2212" s="29"/>
      <c r="B2212" s="30" t="s">
        <v>801</v>
      </c>
      <c r="C2212" s="30" t="s">
        <v>402</v>
      </c>
      <c r="D2212" s="34" t="s">
        <v>151</v>
      </c>
      <c r="E2212" s="31">
        <v>0</v>
      </c>
      <c r="F2212" s="31">
        <v>10.3</v>
      </c>
      <c r="G2212" s="32">
        <f t="shared" si="344"/>
        <v>0</v>
      </c>
      <c r="H2212" s="33">
        <f t="shared" si="343"/>
        <v>0</v>
      </c>
      <c r="K2212" t="str">
        <f xml:space="preserve"> B2209 &amp; B2212</f>
        <v>Z000173009Z040202006</v>
      </c>
    </row>
    <row r="2213" spans="1:11" outlineLevel="1" x14ac:dyDescent="0.2">
      <c r="A2213" s="29"/>
      <c r="B2213" s="30" t="s">
        <v>692</v>
      </c>
      <c r="C2213" s="30" t="s">
        <v>4004</v>
      </c>
      <c r="D2213" s="34" t="s">
        <v>1152</v>
      </c>
      <c r="E2213" s="31">
        <v>19120.53</v>
      </c>
      <c r="F2213" s="31">
        <v>16</v>
      </c>
      <c r="G2213" s="32">
        <f t="shared" si="344"/>
        <v>305928.48</v>
      </c>
      <c r="H2213" s="33">
        <f t="shared" si="343"/>
        <v>1.5862547392086201E-3</v>
      </c>
      <c r="K2213" t="str">
        <f xml:space="preserve"> B2209 &amp; B2213</f>
        <v>Z000173009Z040309004</v>
      </c>
    </row>
    <row r="2214" spans="1:11" outlineLevel="1" x14ac:dyDescent="0.2">
      <c r="A2214" s="29"/>
      <c r="B2214" s="30" t="s">
        <v>498</v>
      </c>
      <c r="C2214" s="30" t="s">
        <v>773</v>
      </c>
      <c r="D2214" s="34" t="s">
        <v>84</v>
      </c>
      <c r="E2214" s="31">
        <v>22944.635999999999</v>
      </c>
      <c r="F2214" s="31">
        <v>0</v>
      </c>
      <c r="G2214" s="32">
        <f t="shared" si="344"/>
        <v>0</v>
      </c>
      <c r="H2214" s="33">
        <f t="shared" si="343"/>
        <v>0</v>
      </c>
      <c r="K2214" t="str">
        <f xml:space="preserve"> B2209 &amp; B2214</f>
        <v>Z000173009Z040401001</v>
      </c>
    </row>
    <row r="2215" spans="1:11" outlineLevel="1" x14ac:dyDescent="0.2">
      <c r="A2215" s="11" t="s">
        <v>282</v>
      </c>
      <c r="B2215" s="11" t="s">
        <v>695</v>
      </c>
      <c r="C2215" s="11" t="s">
        <v>4046</v>
      </c>
      <c r="D2215" s="12" t="s">
        <v>1152</v>
      </c>
      <c r="E2215" s="13">
        <v>116.83</v>
      </c>
      <c r="F2215" s="14">
        <v>21.312902709999999</v>
      </c>
      <c r="G2215" s="15">
        <f>SUM(G2216:G2220)</f>
        <v>2489.9864236092999</v>
      </c>
      <c r="H2215" s="16">
        <f t="shared" si="343"/>
        <v>1.2910706335727144E-5</v>
      </c>
    </row>
    <row r="2216" spans="1:11" outlineLevel="1" x14ac:dyDescent="0.2">
      <c r="A2216" s="29"/>
      <c r="B2216" s="30" t="s">
        <v>912</v>
      </c>
      <c r="C2216" s="30" t="s">
        <v>4044</v>
      </c>
      <c r="D2216" s="34" t="s">
        <v>152</v>
      </c>
      <c r="E2216" s="31">
        <v>18.260528999999998</v>
      </c>
      <c r="F2216" s="31">
        <v>33.991700000000002</v>
      </c>
      <c r="G2216" s="32">
        <f t="shared" ref="G2216:G2220" si="345">F2216*E2216</f>
        <v>620.70642360929992</v>
      </c>
      <c r="H2216" s="33">
        <f t="shared" si="343"/>
        <v>3.218394397630078E-6</v>
      </c>
      <c r="K2216" t="str">
        <f xml:space="preserve"> B2215 &amp; B2216</f>
        <v>Z000173012Z020504016</v>
      </c>
    </row>
    <row r="2217" spans="1:11" outlineLevel="1" x14ac:dyDescent="0.2">
      <c r="A2217" s="29"/>
      <c r="B2217" s="30" t="s">
        <v>1010</v>
      </c>
      <c r="C2217" s="30" t="s">
        <v>1140</v>
      </c>
      <c r="D2217" s="34" t="s">
        <v>151</v>
      </c>
      <c r="E2217" s="31">
        <v>0</v>
      </c>
      <c r="F2217" s="31">
        <v>35</v>
      </c>
      <c r="G2217" s="32">
        <f t="shared" si="345"/>
        <v>0</v>
      </c>
      <c r="H2217" s="33">
        <f t="shared" si="343"/>
        <v>0</v>
      </c>
      <c r="K2217" t="str">
        <f xml:space="preserve"> B2215 &amp; B2217</f>
        <v>Z000173012Z040201014</v>
      </c>
    </row>
    <row r="2218" spans="1:11" outlineLevel="1" x14ac:dyDescent="0.2">
      <c r="A2218" s="29"/>
      <c r="B2218" s="30" t="s">
        <v>801</v>
      </c>
      <c r="C2218" s="30" t="s">
        <v>402</v>
      </c>
      <c r="D2218" s="34" t="s">
        <v>151</v>
      </c>
      <c r="E2218" s="31">
        <v>0</v>
      </c>
      <c r="F2218" s="31">
        <v>10.3</v>
      </c>
      <c r="G2218" s="32">
        <f t="shared" si="345"/>
        <v>0</v>
      </c>
      <c r="H2218" s="33">
        <f t="shared" si="343"/>
        <v>0</v>
      </c>
      <c r="K2218" t="str">
        <f xml:space="preserve"> B2215 &amp; B2218</f>
        <v>Z000173012Z040202006</v>
      </c>
    </row>
    <row r="2219" spans="1:11" outlineLevel="1" x14ac:dyDescent="0.2">
      <c r="A2219" s="29"/>
      <c r="B2219" s="30" t="s">
        <v>692</v>
      </c>
      <c r="C2219" s="30" t="s">
        <v>4004</v>
      </c>
      <c r="D2219" s="34" t="s">
        <v>1152</v>
      </c>
      <c r="E2219" s="31">
        <v>116.83</v>
      </c>
      <c r="F2219" s="31">
        <v>16</v>
      </c>
      <c r="G2219" s="32">
        <f t="shared" si="345"/>
        <v>1869.28</v>
      </c>
      <c r="H2219" s="33">
        <f t="shared" si="343"/>
        <v>9.6923119380970668E-6</v>
      </c>
      <c r="K2219" t="str">
        <f xml:space="preserve"> B2215 &amp; B2219</f>
        <v>Z000173012Z040309004</v>
      </c>
    </row>
    <row r="2220" spans="1:11" outlineLevel="1" x14ac:dyDescent="0.2">
      <c r="A2220" s="29"/>
      <c r="B2220" s="30" t="s">
        <v>498</v>
      </c>
      <c r="C2220" s="30" t="s">
        <v>773</v>
      </c>
      <c r="D2220" s="34" t="s">
        <v>84</v>
      </c>
      <c r="E2220" s="31">
        <v>140.196</v>
      </c>
      <c r="F2220" s="31">
        <v>0</v>
      </c>
      <c r="G2220" s="32">
        <f t="shared" si="345"/>
        <v>0</v>
      </c>
      <c r="H2220" s="33">
        <f t="shared" si="343"/>
        <v>0</v>
      </c>
      <c r="K2220" t="str">
        <f xml:space="preserve"> B2215 &amp; B2220</f>
        <v>Z000173012Z040401001</v>
      </c>
    </row>
    <row r="2221" spans="1:11" outlineLevel="1" x14ac:dyDescent="0.2">
      <c r="A2221" s="11" t="s">
        <v>284</v>
      </c>
      <c r="B2221" s="11" t="s">
        <v>691</v>
      </c>
      <c r="C2221" s="11" t="s">
        <v>4039</v>
      </c>
      <c r="D2221" s="12" t="s">
        <v>1152</v>
      </c>
      <c r="E2221" s="13">
        <v>21.88</v>
      </c>
      <c r="F2221" s="14">
        <v>22.447375000000001</v>
      </c>
      <c r="G2221" s="15">
        <f>SUM(G2222:G2226)</f>
        <v>491.14856499999996</v>
      </c>
      <c r="H2221" s="16">
        <f t="shared" si="343"/>
        <v>2.5466303068179957E-6</v>
      </c>
    </row>
    <row r="2222" spans="1:11" outlineLevel="1" x14ac:dyDescent="0.2">
      <c r="A2222" s="29"/>
      <c r="B2222" s="30" t="s">
        <v>907</v>
      </c>
      <c r="C2222" s="30" t="s">
        <v>4037</v>
      </c>
      <c r="D2222" s="34" t="s">
        <v>152</v>
      </c>
      <c r="E2222" s="31">
        <v>3.4198439999999999</v>
      </c>
      <c r="F2222" s="31">
        <v>41.25</v>
      </c>
      <c r="G2222" s="32">
        <f t="shared" ref="G2222:G2226" si="346">F2222*E2222</f>
        <v>141.06856500000001</v>
      </c>
      <c r="H2222" s="33">
        <f t="shared" si="343"/>
        <v>7.3144768929198516E-7</v>
      </c>
      <c r="K2222" t="str">
        <f xml:space="preserve"> B2221 &amp; B2222</f>
        <v>Z000173010Z020504015</v>
      </c>
    </row>
    <row r="2223" spans="1:11" outlineLevel="1" x14ac:dyDescent="0.2">
      <c r="A2223" s="29"/>
      <c r="B2223" s="30" t="s">
        <v>1010</v>
      </c>
      <c r="C2223" s="30" t="s">
        <v>1140</v>
      </c>
      <c r="D2223" s="34" t="s">
        <v>151</v>
      </c>
      <c r="E2223" s="31">
        <v>0</v>
      </c>
      <c r="F2223" s="31">
        <v>35</v>
      </c>
      <c r="G2223" s="32">
        <f t="shared" si="346"/>
        <v>0</v>
      </c>
      <c r="H2223" s="33">
        <f t="shared" si="343"/>
        <v>0</v>
      </c>
      <c r="K2223" t="str">
        <f xml:space="preserve"> B2221 &amp; B2223</f>
        <v>Z000173010Z040201014</v>
      </c>
    </row>
    <row r="2224" spans="1:11" outlineLevel="1" x14ac:dyDescent="0.2">
      <c r="A2224" s="29"/>
      <c r="B2224" s="30" t="s">
        <v>801</v>
      </c>
      <c r="C2224" s="30" t="s">
        <v>402</v>
      </c>
      <c r="D2224" s="34" t="s">
        <v>151</v>
      </c>
      <c r="E2224" s="31">
        <v>0</v>
      </c>
      <c r="F2224" s="31">
        <v>10.3</v>
      </c>
      <c r="G2224" s="32">
        <f t="shared" si="346"/>
        <v>0</v>
      </c>
      <c r="H2224" s="33">
        <f t="shared" si="343"/>
        <v>0</v>
      </c>
      <c r="K2224" t="str">
        <f xml:space="preserve"> B2221 &amp; B2224</f>
        <v>Z000173010Z040202006</v>
      </c>
    </row>
    <row r="2225" spans="1:11" outlineLevel="1" x14ac:dyDescent="0.2">
      <c r="A2225" s="29"/>
      <c r="B2225" s="30" t="s">
        <v>692</v>
      </c>
      <c r="C2225" s="30" t="s">
        <v>4004</v>
      </c>
      <c r="D2225" s="34" t="s">
        <v>1152</v>
      </c>
      <c r="E2225" s="31">
        <v>21.88</v>
      </c>
      <c r="F2225" s="31">
        <v>16</v>
      </c>
      <c r="G2225" s="32">
        <f t="shared" si="346"/>
        <v>350.08</v>
      </c>
      <c r="H2225" s="33">
        <f t="shared" si="343"/>
        <v>1.8151826175260106E-6</v>
      </c>
      <c r="K2225" t="str">
        <f xml:space="preserve"> B2221 &amp; B2225</f>
        <v>Z000173010Z040309004</v>
      </c>
    </row>
    <row r="2226" spans="1:11" outlineLevel="1" x14ac:dyDescent="0.2">
      <c r="A2226" s="29"/>
      <c r="B2226" s="30" t="s">
        <v>498</v>
      </c>
      <c r="C2226" s="30" t="s">
        <v>773</v>
      </c>
      <c r="D2226" s="34" t="s">
        <v>84</v>
      </c>
      <c r="E2226" s="31">
        <v>26.255999999999997</v>
      </c>
      <c r="F2226" s="31">
        <v>0</v>
      </c>
      <c r="G2226" s="32">
        <f t="shared" si="346"/>
        <v>0</v>
      </c>
      <c r="H2226" s="33">
        <f t="shared" si="343"/>
        <v>0</v>
      </c>
      <c r="K2226" t="str">
        <f xml:space="preserve"> B2221 &amp; B2226</f>
        <v>Z000173010Z040401001</v>
      </c>
    </row>
    <row r="2227" spans="1:11" outlineLevel="1" x14ac:dyDescent="0.2">
      <c r="A2227" s="11" t="s">
        <v>287</v>
      </c>
      <c r="B2227" s="11" t="s">
        <v>698</v>
      </c>
      <c r="C2227" s="11" t="s">
        <v>4053</v>
      </c>
      <c r="D2227" s="12" t="s">
        <v>1152</v>
      </c>
      <c r="E2227" s="13">
        <v>30.4</v>
      </c>
      <c r="F2227" s="14">
        <v>19.907499999999999</v>
      </c>
      <c r="G2227" s="15">
        <f>SUM(G2228:G2232)</f>
        <v>605.18799999999999</v>
      </c>
      <c r="H2227" s="16">
        <f t="shared" si="343"/>
        <v>3.1379305813966273E-6</v>
      </c>
    </row>
    <row r="2228" spans="1:11" outlineLevel="1" x14ac:dyDescent="0.2">
      <c r="A2228" s="29"/>
      <c r="B2228" s="30" t="s">
        <v>917</v>
      </c>
      <c r="C2228" s="30" t="s">
        <v>4051</v>
      </c>
      <c r="D2228" s="34" t="s">
        <v>152</v>
      </c>
      <c r="E2228" s="31">
        <v>4.7515199999999993</v>
      </c>
      <c r="F2228" s="31">
        <v>25</v>
      </c>
      <c r="G2228" s="32">
        <f t="shared" ref="G2228:G2232" si="347">F2228*E2228</f>
        <v>118.78799999999998</v>
      </c>
      <c r="H2228" s="33">
        <f t="shared" si="343"/>
        <v>6.1592182578461983E-7</v>
      </c>
      <c r="K2228" t="str">
        <f xml:space="preserve"> B2227 &amp; B2228</f>
        <v>Z000173013Z020504017</v>
      </c>
    </row>
    <row r="2229" spans="1:11" outlineLevel="1" x14ac:dyDescent="0.2">
      <c r="A2229" s="29"/>
      <c r="B2229" s="30" t="s">
        <v>1010</v>
      </c>
      <c r="C2229" s="30" t="s">
        <v>1140</v>
      </c>
      <c r="D2229" s="34" t="s">
        <v>151</v>
      </c>
      <c r="E2229" s="31">
        <v>0</v>
      </c>
      <c r="F2229" s="31">
        <v>35</v>
      </c>
      <c r="G2229" s="32">
        <f t="shared" si="347"/>
        <v>0</v>
      </c>
      <c r="H2229" s="33">
        <f t="shared" si="343"/>
        <v>0</v>
      </c>
      <c r="K2229" t="str">
        <f xml:space="preserve"> B2227 &amp; B2229</f>
        <v>Z000173013Z040201014</v>
      </c>
    </row>
    <row r="2230" spans="1:11" outlineLevel="1" x14ac:dyDescent="0.2">
      <c r="A2230" s="29"/>
      <c r="B2230" s="30" t="s">
        <v>801</v>
      </c>
      <c r="C2230" s="30" t="s">
        <v>402</v>
      </c>
      <c r="D2230" s="34" t="s">
        <v>151</v>
      </c>
      <c r="E2230" s="31">
        <v>0</v>
      </c>
      <c r="F2230" s="31">
        <v>10.3</v>
      </c>
      <c r="G2230" s="32">
        <f t="shared" si="347"/>
        <v>0</v>
      </c>
      <c r="H2230" s="33">
        <f t="shared" si="343"/>
        <v>0</v>
      </c>
      <c r="K2230" t="str">
        <f xml:space="preserve"> B2227 &amp; B2230</f>
        <v>Z000173013Z040202006</v>
      </c>
    </row>
    <row r="2231" spans="1:11" outlineLevel="1" x14ac:dyDescent="0.2">
      <c r="A2231" s="29"/>
      <c r="B2231" s="30" t="s">
        <v>692</v>
      </c>
      <c r="C2231" s="30" t="s">
        <v>4004</v>
      </c>
      <c r="D2231" s="34" t="s">
        <v>1152</v>
      </c>
      <c r="E2231" s="31">
        <v>30.4</v>
      </c>
      <c r="F2231" s="31">
        <v>16</v>
      </c>
      <c r="G2231" s="32">
        <f t="shared" si="347"/>
        <v>486.4</v>
      </c>
      <c r="H2231" s="33">
        <f t="shared" si="343"/>
        <v>2.5220087556120074E-6</v>
      </c>
      <c r="K2231" t="str">
        <f xml:space="preserve"> B2227 &amp; B2231</f>
        <v>Z000173013Z040309004</v>
      </c>
    </row>
    <row r="2232" spans="1:11" outlineLevel="1" x14ac:dyDescent="0.2">
      <c r="A2232" s="29"/>
      <c r="B2232" s="30" t="s">
        <v>498</v>
      </c>
      <c r="C2232" s="30" t="s">
        <v>773</v>
      </c>
      <c r="D2232" s="34" t="s">
        <v>84</v>
      </c>
      <c r="E2232" s="31">
        <v>36.479999999999997</v>
      </c>
      <c r="F2232" s="31">
        <v>0</v>
      </c>
      <c r="G2232" s="32">
        <f t="shared" si="347"/>
        <v>0</v>
      </c>
      <c r="H2232" s="33">
        <f t="shared" si="343"/>
        <v>0</v>
      </c>
      <c r="K2232" t="str">
        <f xml:space="preserve"> B2227 &amp; B2232</f>
        <v>Z000173013Z040401001</v>
      </c>
    </row>
    <row r="2233" spans="1:11" outlineLevel="1" x14ac:dyDescent="0.2">
      <c r="A2233" s="11" t="s">
        <v>288</v>
      </c>
      <c r="B2233" s="11" t="s">
        <v>889</v>
      </c>
      <c r="C2233" s="11" t="s">
        <v>3968</v>
      </c>
      <c r="D2233" s="12" t="s">
        <v>1152</v>
      </c>
      <c r="E2233" s="13">
        <v>19315.650000000001</v>
      </c>
      <c r="F2233" s="14">
        <v>5.0492500000000007</v>
      </c>
      <c r="G2233" s="15">
        <f>SUM(G2234:G2238)</f>
        <v>97529.545762500013</v>
      </c>
      <c r="H2233" s="16">
        <f t="shared" si="343"/>
        <v>5.056956586017413E-4</v>
      </c>
    </row>
    <row r="2234" spans="1:11" outlineLevel="1" x14ac:dyDescent="0.2">
      <c r="A2234" s="29"/>
      <c r="B2234" s="30" t="s">
        <v>1250</v>
      </c>
      <c r="C2234" s="30" t="s">
        <v>3953</v>
      </c>
      <c r="D2234" s="34" t="s">
        <v>152</v>
      </c>
      <c r="E2234" s="31">
        <v>2897.3475000000003</v>
      </c>
      <c r="F2234" s="31">
        <v>6.9950000000000001</v>
      </c>
      <c r="G2234" s="32">
        <f t="shared" ref="G2234:G2238" si="348">F2234*E2234</f>
        <v>20266.945762500003</v>
      </c>
      <c r="H2234" s="33">
        <f t="shared" si="343"/>
        <v>1.050851452766009E-4</v>
      </c>
      <c r="K2234" t="str">
        <f xml:space="preserve"> B2233 &amp; B2234</f>
        <v>Z000171003Z020501005</v>
      </c>
    </row>
    <row r="2235" spans="1:11" outlineLevel="1" x14ac:dyDescent="0.2">
      <c r="A2235" s="29"/>
      <c r="B2235" s="30" t="s">
        <v>1010</v>
      </c>
      <c r="C2235" s="30" t="s">
        <v>1140</v>
      </c>
      <c r="D2235" s="34" t="s">
        <v>151</v>
      </c>
      <c r="E2235" s="31">
        <v>0</v>
      </c>
      <c r="F2235" s="31">
        <v>35</v>
      </c>
      <c r="G2235" s="32">
        <f t="shared" si="348"/>
        <v>0</v>
      </c>
      <c r="H2235" s="33">
        <f t="shared" si="343"/>
        <v>0</v>
      </c>
      <c r="K2235" t="str">
        <f xml:space="preserve"> B2233 &amp; B2235</f>
        <v>Z000171003Z040201014</v>
      </c>
    </row>
    <row r="2236" spans="1:11" outlineLevel="1" x14ac:dyDescent="0.2">
      <c r="A2236" s="29"/>
      <c r="B2236" s="30" t="s">
        <v>801</v>
      </c>
      <c r="C2236" s="30" t="s">
        <v>402</v>
      </c>
      <c r="D2236" s="34" t="s">
        <v>151</v>
      </c>
      <c r="E2236" s="31">
        <v>0</v>
      </c>
      <c r="F2236" s="31">
        <v>10.3</v>
      </c>
      <c r="G2236" s="32">
        <f t="shared" si="348"/>
        <v>0</v>
      </c>
      <c r="H2236" s="33">
        <f t="shared" si="343"/>
        <v>0</v>
      </c>
      <c r="K2236" t="str">
        <f xml:space="preserve"> B2233 &amp; B2236</f>
        <v>Z000171003Z040202006</v>
      </c>
    </row>
    <row r="2237" spans="1:11" outlineLevel="1" x14ac:dyDescent="0.2">
      <c r="A2237" s="29"/>
      <c r="B2237" s="30" t="s">
        <v>687</v>
      </c>
      <c r="C2237" s="30" t="s">
        <v>3958</v>
      </c>
      <c r="D2237" s="34" t="s">
        <v>1152</v>
      </c>
      <c r="E2237" s="31">
        <v>19315.650000000001</v>
      </c>
      <c r="F2237" s="31">
        <v>4</v>
      </c>
      <c r="G2237" s="32">
        <f t="shared" si="348"/>
        <v>77262.600000000006</v>
      </c>
      <c r="H2237" s="33">
        <f t="shared" si="343"/>
        <v>4.006105133251404E-4</v>
      </c>
      <c r="K2237" t="str">
        <f xml:space="preserve"> B2233 &amp; B2237</f>
        <v>Z000171003Z040309002</v>
      </c>
    </row>
    <row r="2238" spans="1:11" outlineLevel="1" x14ac:dyDescent="0.2">
      <c r="A2238" s="29"/>
      <c r="B2238" s="30" t="s">
        <v>498</v>
      </c>
      <c r="C2238" s="30" t="s">
        <v>773</v>
      </c>
      <c r="D2238" s="34" t="s">
        <v>84</v>
      </c>
      <c r="E2238" s="31">
        <v>23178.780000000002</v>
      </c>
      <c r="F2238" s="31">
        <v>0</v>
      </c>
      <c r="G2238" s="32">
        <f t="shared" si="348"/>
        <v>0</v>
      </c>
      <c r="H2238" s="33">
        <f t="shared" si="343"/>
        <v>0</v>
      </c>
      <c r="K2238" t="str">
        <f xml:space="preserve"> B2233 &amp; B2238</f>
        <v>Z000171003Z040401001</v>
      </c>
    </row>
    <row r="2239" spans="1:11" outlineLevel="1" x14ac:dyDescent="0.2">
      <c r="A2239" s="11" t="s">
        <v>290</v>
      </c>
      <c r="B2239" s="11" t="s">
        <v>752</v>
      </c>
      <c r="C2239" s="11" t="s">
        <v>3990</v>
      </c>
      <c r="D2239" s="12" t="s">
        <v>1152</v>
      </c>
      <c r="E2239" s="13">
        <v>19315.650000000001</v>
      </c>
      <c r="F2239" s="14">
        <v>23.667151960000002</v>
      </c>
      <c r="G2239" s="15">
        <f>SUM(G2240:G2245)</f>
        <v>457146.42375617404</v>
      </c>
      <c r="H2239" s="16">
        <f t="shared" si="343"/>
        <v>2.3703274739099258E-3</v>
      </c>
    </row>
    <row r="2240" spans="1:11" outlineLevel="1" x14ac:dyDescent="0.2">
      <c r="A2240" s="29"/>
      <c r="B2240" s="30" t="s">
        <v>1114</v>
      </c>
      <c r="C2240" s="30" t="s">
        <v>1595</v>
      </c>
      <c r="D2240" s="34" t="s">
        <v>1052</v>
      </c>
      <c r="E2240" s="31">
        <v>25861.723785000002</v>
      </c>
      <c r="F2240" s="31">
        <v>2.6964000000000001</v>
      </c>
      <c r="G2240" s="32">
        <f t="shared" ref="G2240:G2245" si="349">F2240*E2240</f>
        <v>69733.55201387401</v>
      </c>
      <c r="H2240" s="33">
        <f t="shared" si="343"/>
        <v>3.6157201632178366E-4</v>
      </c>
      <c r="K2240" t="str">
        <f xml:space="preserve"> B2239 &amp; B2240</f>
        <v>Z000172003Z020502001</v>
      </c>
    </row>
    <row r="2241" spans="1:11" outlineLevel="1" x14ac:dyDescent="0.2">
      <c r="A2241" s="29"/>
      <c r="B2241" s="30" t="s">
        <v>157</v>
      </c>
      <c r="C2241" s="30" t="s">
        <v>3975</v>
      </c>
      <c r="D2241" s="34" t="s">
        <v>1781</v>
      </c>
      <c r="E2241" s="31">
        <v>1549.1151299999999</v>
      </c>
      <c r="F2241" s="31">
        <v>0.71</v>
      </c>
      <c r="G2241" s="32">
        <f t="shared" si="349"/>
        <v>1099.8717422999998</v>
      </c>
      <c r="H2241" s="33">
        <f t="shared" si="343"/>
        <v>5.7028909624400354E-6</v>
      </c>
      <c r="K2241" t="str">
        <f xml:space="preserve"> B2239 &amp; B2241</f>
        <v>Z000172003Z030101001</v>
      </c>
    </row>
    <row r="2242" spans="1:11" outlineLevel="1" x14ac:dyDescent="0.2">
      <c r="A2242" s="29"/>
      <c r="B2242" s="30" t="s">
        <v>1010</v>
      </c>
      <c r="C2242" s="30" t="s">
        <v>1140</v>
      </c>
      <c r="D2242" s="34" t="s">
        <v>151</v>
      </c>
      <c r="E2242" s="31">
        <v>0</v>
      </c>
      <c r="F2242" s="31">
        <v>35</v>
      </c>
      <c r="G2242" s="32">
        <f t="shared" si="349"/>
        <v>0</v>
      </c>
      <c r="H2242" s="33">
        <f t="shared" si="343"/>
        <v>0</v>
      </c>
      <c r="K2242" t="str">
        <f xml:space="preserve"> B2239 &amp; B2242</f>
        <v>Z000172003Z040201014</v>
      </c>
    </row>
    <row r="2243" spans="1:11" outlineLevel="1" x14ac:dyDescent="0.2">
      <c r="A2243" s="29"/>
      <c r="B2243" s="30" t="s">
        <v>801</v>
      </c>
      <c r="C2243" s="30" t="s">
        <v>402</v>
      </c>
      <c r="D2243" s="34" t="s">
        <v>151</v>
      </c>
      <c r="E2243" s="31">
        <v>0</v>
      </c>
      <c r="F2243" s="31">
        <v>10.3</v>
      </c>
      <c r="G2243" s="32">
        <f t="shared" si="349"/>
        <v>0</v>
      </c>
      <c r="H2243" s="33">
        <f t="shared" si="343"/>
        <v>0</v>
      </c>
      <c r="K2243" t="str">
        <f xml:space="preserve"> B2239 &amp; B2243</f>
        <v>Z000172003Z040202006</v>
      </c>
    </row>
    <row r="2244" spans="1:11" outlineLevel="1" x14ac:dyDescent="0.2">
      <c r="A2244" s="29"/>
      <c r="B2244" s="30" t="s">
        <v>689</v>
      </c>
      <c r="C2244" s="30" t="s">
        <v>3979</v>
      </c>
      <c r="D2244" s="34" t="s">
        <v>1152</v>
      </c>
      <c r="E2244" s="31">
        <v>19315.650000000001</v>
      </c>
      <c r="F2244" s="31">
        <v>20</v>
      </c>
      <c r="G2244" s="32">
        <f t="shared" si="349"/>
        <v>386313</v>
      </c>
      <c r="H2244" s="33">
        <f t="shared" si="343"/>
        <v>2.003052566625702E-3</v>
      </c>
      <c r="K2244" t="str">
        <f xml:space="preserve"> B2239 &amp; B2244</f>
        <v>Z000172003Z040309003</v>
      </c>
    </row>
    <row r="2245" spans="1:11" outlineLevel="1" x14ac:dyDescent="0.2">
      <c r="A2245" s="29"/>
      <c r="B2245" s="30" t="s">
        <v>498</v>
      </c>
      <c r="C2245" s="30" t="s">
        <v>773</v>
      </c>
      <c r="D2245" s="34" t="s">
        <v>84</v>
      </c>
      <c r="E2245" s="31">
        <v>23178.780000000002</v>
      </c>
      <c r="F2245" s="31">
        <v>0</v>
      </c>
      <c r="G2245" s="32">
        <f t="shared" si="349"/>
        <v>0</v>
      </c>
      <c r="H2245" s="33">
        <f t="shared" si="343"/>
        <v>0</v>
      </c>
      <c r="K2245" t="str">
        <f xml:space="preserve"> B2239 &amp; B2245</f>
        <v>Z000172003Z040401001</v>
      </c>
    </row>
    <row r="2246" spans="1:11" ht="15" x14ac:dyDescent="0.2">
      <c r="A2246" s="17" t="s">
        <v>2049</v>
      </c>
      <c r="B2246" s="17" t="s">
        <v>328</v>
      </c>
      <c r="C2246" s="17" t="s">
        <v>68</v>
      </c>
      <c r="D2246" s="18"/>
      <c r="E2246" s="19"/>
      <c r="F2246" s="20"/>
      <c r="G2246" s="21">
        <f>SUM(G2247)</f>
        <v>8381.6280000924999</v>
      </c>
      <c r="H2246" s="22">
        <f t="shared" si="343"/>
        <v>4.345916776833068E-5</v>
      </c>
    </row>
    <row r="2247" spans="1:11" outlineLevel="1" x14ac:dyDescent="0.2">
      <c r="A2247" s="11" t="s">
        <v>156</v>
      </c>
      <c r="B2247" s="11" t="s">
        <v>631</v>
      </c>
      <c r="C2247" s="11" t="s">
        <v>3998</v>
      </c>
      <c r="D2247" s="12" t="s">
        <v>1152</v>
      </c>
      <c r="E2247" s="13">
        <v>462.25</v>
      </c>
      <c r="F2247" s="14">
        <v>18.13224013</v>
      </c>
      <c r="G2247" s="15">
        <f>SUM(G2248:G2254)</f>
        <v>8381.6280000924999</v>
      </c>
      <c r="H2247" s="16">
        <f t="shared" si="343"/>
        <v>4.345916776833068E-5</v>
      </c>
    </row>
    <row r="2248" spans="1:11" outlineLevel="1" x14ac:dyDescent="0.2">
      <c r="A2248" s="29"/>
      <c r="B2248" s="30" t="s">
        <v>1249</v>
      </c>
      <c r="C2248" s="30" t="s">
        <v>3996</v>
      </c>
      <c r="D2248" s="34" t="s">
        <v>152</v>
      </c>
      <c r="E2248" s="31">
        <v>30.23115</v>
      </c>
      <c r="F2248" s="31">
        <v>6.6666999999999996</v>
      </c>
      <c r="G2248" s="32">
        <f t="shared" ref="G2248:G2254" si="350">F2248*E2248</f>
        <v>201.54200770499997</v>
      </c>
      <c r="H2248" s="33">
        <f t="shared" si="343"/>
        <v>1.0450055675485867E-6</v>
      </c>
      <c r="K2248" t="str">
        <f xml:space="preserve"> B2247 &amp; B2248</f>
        <v>Z000173003Z020501004</v>
      </c>
    </row>
    <row r="2249" spans="1:11" outlineLevel="1" x14ac:dyDescent="0.2">
      <c r="A2249" s="29"/>
      <c r="B2249" s="30" t="s">
        <v>897</v>
      </c>
      <c r="C2249" s="30" t="s">
        <v>3999</v>
      </c>
      <c r="D2249" s="34" t="s">
        <v>152</v>
      </c>
      <c r="E2249" s="31">
        <v>64.021625</v>
      </c>
      <c r="F2249" s="31">
        <v>11.666700000000001</v>
      </c>
      <c r="G2249" s="32">
        <f t="shared" si="350"/>
        <v>746.92109238750004</v>
      </c>
      <c r="H2249" s="33">
        <f t="shared" si="343"/>
        <v>3.8728238790143093E-6</v>
      </c>
      <c r="K2249" t="str">
        <f xml:space="preserve"> B2247 &amp; B2249</f>
        <v>Z000173003Z020504012</v>
      </c>
    </row>
    <row r="2250" spans="1:11" outlineLevel="1" x14ac:dyDescent="0.2">
      <c r="A2250" s="29"/>
      <c r="B2250" s="30" t="s">
        <v>1650</v>
      </c>
      <c r="C2250" s="30" t="s">
        <v>386</v>
      </c>
      <c r="D2250" s="34" t="s">
        <v>1781</v>
      </c>
      <c r="E2250" s="31">
        <v>4.6225000000000005</v>
      </c>
      <c r="F2250" s="31">
        <v>8.0399999999999991</v>
      </c>
      <c r="G2250" s="32">
        <f t="shared" si="350"/>
        <v>37.164900000000003</v>
      </c>
      <c r="H2250" s="33">
        <f t="shared" si="343"/>
        <v>1.9270189802928598E-7</v>
      </c>
      <c r="K2250" t="str">
        <f xml:space="preserve"> B2247 &amp; B2250</f>
        <v>Z000173003Z030105003</v>
      </c>
    </row>
    <row r="2251" spans="1:11" outlineLevel="1" x14ac:dyDescent="0.2">
      <c r="A2251" s="29"/>
      <c r="B2251" s="30" t="s">
        <v>1010</v>
      </c>
      <c r="C2251" s="30" t="s">
        <v>1140</v>
      </c>
      <c r="D2251" s="34" t="s">
        <v>151</v>
      </c>
      <c r="E2251" s="31">
        <v>0</v>
      </c>
      <c r="F2251" s="31">
        <v>35</v>
      </c>
      <c r="G2251" s="32">
        <f t="shared" si="350"/>
        <v>0</v>
      </c>
      <c r="H2251" s="33">
        <f t="shared" si="343"/>
        <v>0</v>
      </c>
      <c r="K2251" t="str">
        <f xml:space="preserve"> B2247 &amp; B2251</f>
        <v>Z000173003Z040201014</v>
      </c>
    </row>
    <row r="2252" spans="1:11" outlineLevel="1" x14ac:dyDescent="0.2">
      <c r="A2252" s="29"/>
      <c r="B2252" s="30" t="s">
        <v>801</v>
      </c>
      <c r="C2252" s="30" t="s">
        <v>402</v>
      </c>
      <c r="D2252" s="34" t="s">
        <v>151</v>
      </c>
      <c r="E2252" s="31">
        <v>0</v>
      </c>
      <c r="F2252" s="31">
        <v>10.3</v>
      </c>
      <c r="G2252" s="32">
        <f t="shared" si="350"/>
        <v>0</v>
      </c>
      <c r="H2252" s="33">
        <f t="shared" si="343"/>
        <v>0</v>
      </c>
      <c r="K2252" t="str">
        <f xml:space="preserve"> B2247 &amp; B2252</f>
        <v>Z000173003Z040202006</v>
      </c>
    </row>
    <row r="2253" spans="1:11" outlineLevel="1" x14ac:dyDescent="0.2">
      <c r="A2253" s="29"/>
      <c r="B2253" s="30" t="s">
        <v>692</v>
      </c>
      <c r="C2253" s="30" t="s">
        <v>4004</v>
      </c>
      <c r="D2253" s="34" t="s">
        <v>1152</v>
      </c>
      <c r="E2253" s="31">
        <v>462.25</v>
      </c>
      <c r="F2253" s="31">
        <v>16</v>
      </c>
      <c r="G2253" s="32">
        <f t="shared" si="350"/>
        <v>7396</v>
      </c>
      <c r="H2253" s="33">
        <f t="shared" si="343"/>
        <v>3.8348636423738504E-5</v>
      </c>
      <c r="K2253" t="str">
        <f xml:space="preserve"> B2247 &amp; B2253</f>
        <v>Z000173003Z040309004</v>
      </c>
    </row>
    <row r="2254" spans="1:11" outlineLevel="1" x14ac:dyDescent="0.2">
      <c r="A2254" s="29"/>
      <c r="B2254" s="30" t="s">
        <v>498</v>
      </c>
      <c r="C2254" s="30" t="s">
        <v>773</v>
      </c>
      <c r="D2254" s="34" t="s">
        <v>84</v>
      </c>
      <c r="E2254" s="31">
        <v>554.69999999999993</v>
      </c>
      <c r="F2254" s="31">
        <v>0</v>
      </c>
      <c r="G2254" s="32">
        <f t="shared" si="350"/>
        <v>0</v>
      </c>
      <c r="H2254" s="33">
        <f t="shared" si="343"/>
        <v>0</v>
      </c>
      <c r="K2254" t="str">
        <f xml:space="preserve"> B2247 &amp; B2254</f>
        <v>Z000173003Z040401001</v>
      </c>
    </row>
    <row r="2255" spans="1:11" ht="18.75" x14ac:dyDescent="0.2">
      <c r="A2255" s="5">
        <v>18</v>
      </c>
      <c r="B2255" s="5" t="s">
        <v>328</v>
      </c>
      <c r="C2255" s="5" t="s">
        <v>2100</v>
      </c>
      <c r="D2255" s="6"/>
      <c r="E2255" s="7"/>
      <c r="F2255" s="8"/>
      <c r="G2255" s="9">
        <f>SUM(G2256,G2315,G2415,G2416)</f>
        <v>16920466.112382442</v>
      </c>
      <c r="H2255" s="10">
        <f t="shared" si="343"/>
        <v>8.7733477969705556E-2</v>
      </c>
    </row>
    <row r="2256" spans="1:11" ht="15" x14ac:dyDescent="0.2">
      <c r="A2256" s="17" t="s">
        <v>2050</v>
      </c>
      <c r="B2256" s="17" t="s">
        <v>328</v>
      </c>
      <c r="C2256" s="17" t="s">
        <v>1521</v>
      </c>
      <c r="D2256" s="18"/>
      <c r="E2256" s="19"/>
      <c r="F2256" s="20"/>
      <c r="G2256" s="21">
        <f>SUM(G2257,G2292,G2302)</f>
        <v>16345843.07295844</v>
      </c>
      <c r="H2256" s="22">
        <f t="shared" si="343"/>
        <v>8.4754028264516987E-2</v>
      </c>
    </row>
    <row r="2257" spans="1:11" x14ac:dyDescent="0.2">
      <c r="A2257" s="23" t="s">
        <v>348</v>
      </c>
      <c r="B2257" s="23" t="s">
        <v>328</v>
      </c>
      <c r="C2257" s="23" t="s">
        <v>5384</v>
      </c>
      <c r="D2257" s="24"/>
      <c r="E2257" s="25"/>
      <c r="F2257" s="26"/>
      <c r="G2257" s="27">
        <f>SUM(G2258,G2261,G2264,G2267,G2270,G2281)</f>
        <v>13558530.88601044</v>
      </c>
      <c r="H2257" s="28">
        <f t="shared" si="343"/>
        <v>7.0301672713310365E-2</v>
      </c>
    </row>
    <row r="2258" spans="1:11" outlineLevel="1" x14ac:dyDescent="0.2">
      <c r="A2258" s="11" t="s">
        <v>796</v>
      </c>
      <c r="B2258" s="11" t="s">
        <v>593</v>
      </c>
      <c r="C2258" s="11" t="s">
        <v>1238</v>
      </c>
      <c r="D2258" s="12" t="s">
        <v>1152</v>
      </c>
      <c r="E2258" s="13">
        <v>3452.83</v>
      </c>
      <c r="F2258" s="14">
        <v>2472.21</v>
      </c>
      <c r="G2258" s="15">
        <f>SUM(G2259:G2260)</f>
        <v>8536120.8542999998</v>
      </c>
      <c r="H2258" s="16">
        <f t="shared" si="343"/>
        <v>4.4260221080400591E-2</v>
      </c>
    </row>
    <row r="2259" spans="1:11" outlineLevel="1" x14ac:dyDescent="0.2">
      <c r="A2259" s="29"/>
      <c r="B2259" s="30" t="s">
        <v>1818</v>
      </c>
      <c r="C2259" s="30" t="s">
        <v>4092</v>
      </c>
      <c r="D2259" s="34" t="s">
        <v>1819</v>
      </c>
      <c r="E2259" s="31">
        <v>3452.83</v>
      </c>
      <c r="F2259" s="31">
        <v>1730.547</v>
      </c>
      <c r="G2259" s="32">
        <f t="shared" ref="G2259:G2260" si="351">F2259*E2259</f>
        <v>5975284.5980099998</v>
      </c>
      <c r="H2259" s="33">
        <f t="shared" si="343"/>
        <v>3.0982154756280415E-2</v>
      </c>
      <c r="K2259" t="str">
        <f xml:space="preserve"> B2258 &amp; B2259</f>
        <v>Z000182004Z020603002</v>
      </c>
    </row>
    <row r="2260" spans="1:11" outlineLevel="1" x14ac:dyDescent="0.2">
      <c r="A2260" s="29"/>
      <c r="B2260" s="30" t="s">
        <v>1757</v>
      </c>
      <c r="C2260" s="30" t="s">
        <v>4094</v>
      </c>
      <c r="D2260" s="34" t="s">
        <v>1819</v>
      </c>
      <c r="E2260" s="31">
        <v>3452.83</v>
      </c>
      <c r="F2260" s="31">
        <v>741.66300000000001</v>
      </c>
      <c r="G2260" s="32">
        <f t="shared" si="351"/>
        <v>2560836.2562899999</v>
      </c>
      <c r="H2260" s="33">
        <f t="shared" si="343"/>
        <v>1.3278066324120178E-2</v>
      </c>
      <c r="K2260" t="str">
        <f xml:space="preserve"> B2258 &amp; B2260</f>
        <v>Z000182004Z040310005</v>
      </c>
    </row>
    <row r="2261" spans="1:11" outlineLevel="1" x14ac:dyDescent="0.2">
      <c r="A2261" s="11" t="s">
        <v>5224</v>
      </c>
      <c r="B2261" s="11" t="s">
        <v>591</v>
      </c>
      <c r="C2261" s="11" t="s">
        <v>322</v>
      </c>
      <c r="D2261" s="12" t="s">
        <v>1152</v>
      </c>
      <c r="E2261" s="13">
        <v>1913.2399</v>
      </c>
      <c r="F2261" s="14">
        <v>2472.21</v>
      </c>
      <c r="G2261" s="15">
        <f>SUM(G2262:G2263)</f>
        <v>4729930.8131790003</v>
      </c>
      <c r="H2261" s="16">
        <f t="shared" si="343"/>
        <v>2.4524931998923645E-2</v>
      </c>
    </row>
    <row r="2262" spans="1:11" outlineLevel="1" x14ac:dyDescent="0.2">
      <c r="A2262" s="29"/>
      <c r="B2262" s="30" t="s">
        <v>1815</v>
      </c>
      <c r="C2262" s="30" t="s">
        <v>4088</v>
      </c>
      <c r="D2262" s="34" t="s">
        <v>1819</v>
      </c>
      <c r="E2262" s="31">
        <v>1913.2399</v>
      </c>
      <c r="F2262" s="31">
        <v>1730.547</v>
      </c>
      <c r="G2262" s="32">
        <f t="shared" ref="G2262:G2263" si="352">F2262*E2262</f>
        <v>3310951.5692253001</v>
      </c>
      <c r="H2262" s="33">
        <f t="shared" si="343"/>
        <v>1.7167452399246552E-2</v>
      </c>
      <c r="K2262" t="str">
        <f xml:space="preserve"> B2261 &amp; B2262</f>
        <v>Z000182003Z020603001</v>
      </c>
    </row>
    <row r="2263" spans="1:11" outlineLevel="1" x14ac:dyDescent="0.2">
      <c r="A2263" s="29"/>
      <c r="B2263" s="30" t="s">
        <v>1755</v>
      </c>
      <c r="C2263" s="30" t="s">
        <v>4090</v>
      </c>
      <c r="D2263" s="34" t="s">
        <v>1819</v>
      </c>
      <c r="E2263" s="31">
        <v>1913.2399</v>
      </c>
      <c r="F2263" s="31">
        <v>741.66300000000001</v>
      </c>
      <c r="G2263" s="32">
        <f t="shared" si="352"/>
        <v>1418979.2439536999</v>
      </c>
      <c r="H2263" s="33">
        <f t="shared" si="343"/>
        <v>7.3574795996770928E-3</v>
      </c>
      <c r="K2263" t="str">
        <f xml:space="preserve"> B2261 &amp; B2263</f>
        <v>Z000182003Z040310004</v>
      </c>
    </row>
    <row r="2264" spans="1:11" outlineLevel="1" x14ac:dyDescent="0.2">
      <c r="A2264" s="11" t="s">
        <v>5218</v>
      </c>
      <c r="B2264" s="11" t="s">
        <v>5215</v>
      </c>
      <c r="C2264" s="11" t="s">
        <v>5220</v>
      </c>
      <c r="D2264" s="12" t="s">
        <v>1152</v>
      </c>
      <c r="E2264" s="13">
        <v>110.375</v>
      </c>
      <c r="F2264" s="14">
        <v>1049.1919</v>
      </c>
      <c r="G2264" s="15">
        <f>SUM(G2265:G2266)</f>
        <v>115804.5559625</v>
      </c>
      <c r="H2264" s="16">
        <f t="shared" ref="H2264:H2269" si="353">G2264/$F$2</f>
        <v>6.0045251660605613E-4</v>
      </c>
    </row>
    <row r="2265" spans="1:11" outlineLevel="1" x14ac:dyDescent="0.2">
      <c r="A2265" s="29"/>
      <c r="B2265" s="30" t="s">
        <v>5216</v>
      </c>
      <c r="C2265" s="30" t="s">
        <v>5217</v>
      </c>
      <c r="D2265" s="34" t="s">
        <v>1819</v>
      </c>
      <c r="E2265" s="31">
        <v>110.375</v>
      </c>
      <c r="F2265" s="31">
        <v>745.86189999999999</v>
      </c>
      <c r="G2265" s="32">
        <f t="shared" ref="G2265:G2266" si="354">F2265*E2265</f>
        <v>82324.507212500001</v>
      </c>
      <c r="H2265" s="33">
        <f t="shared" si="353"/>
        <v>4.2685675985067612E-4</v>
      </c>
      <c r="K2265" t="str">
        <f xml:space="preserve"> B2264 &amp; B2265</f>
        <v>Z000182002Z020602002</v>
      </c>
    </row>
    <row r="2266" spans="1:11" outlineLevel="1" x14ac:dyDescent="0.2">
      <c r="A2266" s="29"/>
      <c r="B2266" s="30" t="s">
        <v>5221</v>
      </c>
      <c r="C2266" s="30" t="s">
        <v>5222</v>
      </c>
      <c r="D2266" s="34" t="s">
        <v>1819</v>
      </c>
      <c r="E2266" s="31">
        <v>110.375</v>
      </c>
      <c r="F2266" s="31">
        <v>303.33</v>
      </c>
      <c r="G2266" s="32">
        <f t="shared" si="354"/>
        <v>33480.048750000002</v>
      </c>
      <c r="H2266" s="33">
        <f t="shared" si="353"/>
        <v>1.7359575675538003E-4</v>
      </c>
      <c r="K2266" t="str">
        <f xml:space="preserve"> B2264 &amp; B2266</f>
        <v>Z000182002Z040310003</v>
      </c>
    </row>
    <row r="2267" spans="1:11" outlineLevel="1" x14ac:dyDescent="0.2">
      <c r="A2267" s="11" t="s">
        <v>5209</v>
      </c>
      <c r="B2267" s="11" t="s">
        <v>5206</v>
      </c>
      <c r="C2267" s="11" t="s">
        <v>5211</v>
      </c>
      <c r="D2267" s="12" t="s">
        <v>1152</v>
      </c>
      <c r="E2267" s="13">
        <v>163.21600000000001</v>
      </c>
      <c r="F2267" s="14">
        <v>1049.1919</v>
      </c>
      <c r="G2267" s="15">
        <f>SUM(G2268:G2269)</f>
        <v>171244.90515040001</v>
      </c>
      <c r="H2267" s="16">
        <f t="shared" si="353"/>
        <v>8.8791354881426101E-4</v>
      </c>
    </row>
    <row r="2268" spans="1:11" outlineLevel="1" x14ac:dyDescent="0.2">
      <c r="A2268" s="29"/>
      <c r="B2268" s="30" t="s">
        <v>5207</v>
      </c>
      <c r="C2268" s="30" t="s">
        <v>5208</v>
      </c>
      <c r="D2268" s="34" t="s">
        <v>1819</v>
      </c>
      <c r="E2268" s="31">
        <v>163.21600000000001</v>
      </c>
      <c r="F2268" s="31">
        <v>745.86189999999999</v>
      </c>
      <c r="G2268" s="32">
        <f t="shared" ref="G2268:G2269" si="355">F2268*E2268</f>
        <v>121736.59587040001</v>
      </c>
      <c r="H2268" s="33">
        <f t="shared" si="353"/>
        <v>6.3121044544315252E-4</v>
      </c>
      <c r="K2268" t="str">
        <f xml:space="preserve"> B2267 &amp; B2268</f>
        <v>Z000182001Z020602001</v>
      </c>
    </row>
    <row r="2269" spans="1:11" outlineLevel="1" x14ac:dyDescent="0.2">
      <c r="A2269" s="29"/>
      <c r="B2269" s="30" t="s">
        <v>5212</v>
      </c>
      <c r="C2269" s="30" t="s">
        <v>5213</v>
      </c>
      <c r="D2269" s="34" t="s">
        <v>1819</v>
      </c>
      <c r="E2269" s="31">
        <v>163.21600000000001</v>
      </c>
      <c r="F2269" s="31">
        <v>303.33</v>
      </c>
      <c r="G2269" s="32">
        <f t="shared" si="355"/>
        <v>49508.309280000001</v>
      </c>
      <c r="H2269" s="33">
        <f t="shared" si="353"/>
        <v>2.5670310337110855E-4</v>
      </c>
      <c r="K2269" t="str">
        <f xml:space="preserve"> B2267 &amp; B2269</f>
        <v>Z000182001Z040310002</v>
      </c>
    </row>
    <row r="2270" spans="1:11" outlineLevel="1" x14ac:dyDescent="0.2">
      <c r="A2270" s="11" t="s">
        <v>5194</v>
      </c>
      <c r="B2270" s="11" t="s">
        <v>5193</v>
      </c>
      <c r="C2270" s="11" t="s">
        <v>5196</v>
      </c>
      <c r="D2270" s="12" t="s">
        <v>1152</v>
      </c>
      <c r="E2270" s="13">
        <v>174.14</v>
      </c>
      <c r="F2270" s="14">
        <v>11.2580498</v>
      </c>
      <c r="G2270" s="15">
        <f>SUM(G2271:G2280)</f>
        <v>1960.4767921719999</v>
      </c>
      <c r="H2270" s="16">
        <f t="shared" ref="H2270:H2291" si="356">G2270/$F$2</f>
        <v>1.0165171947022874E-5</v>
      </c>
    </row>
    <row r="2271" spans="1:11" outlineLevel="1" x14ac:dyDescent="0.2">
      <c r="A2271" s="29"/>
      <c r="B2271" s="30" t="s">
        <v>547</v>
      </c>
      <c r="C2271" s="30" t="s">
        <v>2320</v>
      </c>
      <c r="D2271" s="34" t="s">
        <v>1819</v>
      </c>
      <c r="E2271" s="31">
        <v>0</v>
      </c>
      <c r="F2271" s="31">
        <v>13.51</v>
      </c>
      <c r="G2271" s="32">
        <f t="shared" ref="G2271:G2280" si="357">F2271*E2271</f>
        <v>0</v>
      </c>
      <c r="H2271" s="33">
        <f t="shared" si="356"/>
        <v>0</v>
      </c>
      <c r="K2271" t="str">
        <f xml:space="preserve"> $B$2270 &amp; B2271</f>
        <v>Z000181002Z040204001</v>
      </c>
    </row>
    <row r="2272" spans="1:11" outlineLevel="1" x14ac:dyDescent="0.2">
      <c r="A2272" s="29"/>
      <c r="B2272" s="30" t="s">
        <v>1009</v>
      </c>
      <c r="C2272" s="30" t="s">
        <v>672</v>
      </c>
      <c r="D2272" s="34" t="s">
        <v>1819</v>
      </c>
      <c r="E2272" s="31">
        <v>0</v>
      </c>
      <c r="F2272" s="31">
        <v>16.489999999999998</v>
      </c>
      <c r="G2272" s="32">
        <f t="shared" si="357"/>
        <v>0</v>
      </c>
      <c r="H2272" s="33">
        <f t="shared" si="356"/>
        <v>0</v>
      </c>
      <c r="K2272" t="str">
        <f t="shared" ref="K2272:K2280" si="358" xml:space="preserve"> $B$2270 &amp; B2272</f>
        <v>Z000181002Z040201013</v>
      </c>
    </row>
    <row r="2273" spans="1:11" outlineLevel="1" x14ac:dyDescent="0.2">
      <c r="A2273" s="29"/>
      <c r="B2273" s="30" t="s">
        <v>1133</v>
      </c>
      <c r="C2273" s="30" t="s">
        <v>2843</v>
      </c>
      <c r="D2273" s="34" t="s">
        <v>1819</v>
      </c>
      <c r="E2273" s="31">
        <v>6.7740459999999993</v>
      </c>
      <c r="F2273" s="31">
        <v>8.93</v>
      </c>
      <c r="G2273" s="32">
        <f t="shared" si="357"/>
        <v>60.492230779999993</v>
      </c>
      <c r="H2273" s="33">
        <f t="shared" si="356"/>
        <v>3.1365529538170671E-7</v>
      </c>
      <c r="K2273" t="str">
        <f t="shared" si="358"/>
        <v>Z000181002Z010305003</v>
      </c>
    </row>
    <row r="2274" spans="1:11" outlineLevel="1" x14ac:dyDescent="0.2">
      <c r="A2274" s="29"/>
      <c r="B2274" s="30" t="s">
        <v>66</v>
      </c>
      <c r="C2274" s="30" t="s">
        <v>617</v>
      </c>
      <c r="D2274" s="34" t="s">
        <v>1819</v>
      </c>
      <c r="E2274" s="31">
        <v>0</v>
      </c>
      <c r="F2274" s="31">
        <v>5.45</v>
      </c>
      <c r="G2274" s="32">
        <f t="shared" si="357"/>
        <v>0</v>
      </c>
      <c r="H2274" s="33">
        <f t="shared" si="356"/>
        <v>0</v>
      </c>
      <c r="K2274" t="str">
        <f t="shared" si="358"/>
        <v>Z000181002Z050103019</v>
      </c>
    </row>
    <row r="2275" spans="1:11" outlineLevel="1" x14ac:dyDescent="0.2">
      <c r="A2275" s="29"/>
      <c r="B2275" s="30" t="s">
        <v>498</v>
      </c>
      <c r="C2275" s="30" t="s">
        <v>773</v>
      </c>
      <c r="D2275" s="34" t="s">
        <v>1819</v>
      </c>
      <c r="E2275" s="31">
        <v>208.96799999999999</v>
      </c>
      <c r="F2275" s="31">
        <v>0</v>
      </c>
      <c r="G2275" s="32">
        <f t="shared" si="357"/>
        <v>0</v>
      </c>
      <c r="H2275" s="33">
        <f t="shared" si="356"/>
        <v>0</v>
      </c>
      <c r="K2275" t="str">
        <f t="shared" si="358"/>
        <v>Z000181002Z040401001</v>
      </c>
    </row>
    <row r="2276" spans="1:11" outlineLevel="1" x14ac:dyDescent="0.2">
      <c r="A2276" s="29"/>
      <c r="B2276" s="30" t="s">
        <v>1654</v>
      </c>
      <c r="C2276" s="30" t="s">
        <v>1551</v>
      </c>
      <c r="D2276" s="34" t="s">
        <v>1819</v>
      </c>
      <c r="E2276" s="31">
        <v>169.26407999999998</v>
      </c>
      <c r="F2276" s="31">
        <v>0.7974</v>
      </c>
      <c r="G2276" s="32">
        <f t="shared" si="357"/>
        <v>134.97117739199999</v>
      </c>
      <c r="H2276" s="33">
        <f t="shared" si="356"/>
        <v>6.9983242421440251E-7</v>
      </c>
      <c r="K2276" t="str">
        <f t="shared" si="358"/>
        <v>Z000181002Z010301001</v>
      </c>
    </row>
    <row r="2277" spans="1:11" outlineLevel="1" x14ac:dyDescent="0.2">
      <c r="A2277" s="29"/>
      <c r="B2277" s="30" t="s">
        <v>1258</v>
      </c>
      <c r="C2277" s="30" t="s">
        <v>1526</v>
      </c>
      <c r="D2277" s="34" t="s">
        <v>1819</v>
      </c>
      <c r="E2277" s="31">
        <v>0.383108</v>
      </c>
      <c r="F2277" s="31">
        <v>148</v>
      </c>
      <c r="G2277" s="32">
        <f t="shared" si="357"/>
        <v>56.699984000000001</v>
      </c>
      <c r="H2277" s="33">
        <f t="shared" si="356"/>
        <v>2.9399230281879264E-7</v>
      </c>
      <c r="K2277" t="str">
        <f t="shared" si="358"/>
        <v>Z000181002Z010304001</v>
      </c>
    </row>
    <row r="2278" spans="1:11" outlineLevel="1" x14ac:dyDescent="0.2">
      <c r="A2278" s="29"/>
      <c r="B2278" s="30" t="s">
        <v>5183</v>
      </c>
      <c r="C2278" s="30" t="s">
        <v>5184</v>
      </c>
      <c r="D2278" s="34" t="s">
        <v>1819</v>
      </c>
      <c r="E2278" s="31">
        <v>174.14</v>
      </c>
      <c r="F2278" s="31">
        <v>9.81</v>
      </c>
      <c r="G2278" s="32">
        <f t="shared" si="357"/>
        <v>1708.3134</v>
      </c>
      <c r="H2278" s="33">
        <f t="shared" si="356"/>
        <v>8.8576919246079721E-6</v>
      </c>
      <c r="K2278" t="str">
        <f t="shared" si="358"/>
        <v>Z000181002Z020601001</v>
      </c>
    </row>
    <row r="2279" spans="1:11" outlineLevel="1" x14ac:dyDescent="0.2">
      <c r="A2279" s="29"/>
      <c r="B2279" s="30" t="s">
        <v>120</v>
      </c>
      <c r="C2279" s="30" t="s">
        <v>597</v>
      </c>
      <c r="D2279" s="34" t="s">
        <v>1819</v>
      </c>
      <c r="E2279" s="31">
        <v>0</v>
      </c>
      <c r="F2279" s="31">
        <v>1.52</v>
      </c>
      <c r="G2279" s="32">
        <f t="shared" si="357"/>
        <v>0</v>
      </c>
      <c r="H2279" s="33">
        <f t="shared" si="356"/>
        <v>0</v>
      </c>
      <c r="K2279" t="str">
        <f t="shared" si="358"/>
        <v>Z000181002Z050103020</v>
      </c>
    </row>
    <row r="2280" spans="1:11" outlineLevel="1" x14ac:dyDescent="0.2">
      <c r="A2280" s="29"/>
      <c r="B2280" s="30" t="s">
        <v>801</v>
      </c>
      <c r="C2280" s="30" t="s">
        <v>402</v>
      </c>
      <c r="D2280" s="34" t="s">
        <v>1819</v>
      </c>
      <c r="E2280" s="31">
        <v>0</v>
      </c>
      <c r="F2280" s="31">
        <v>10.3</v>
      </c>
      <c r="G2280" s="32">
        <f t="shared" si="357"/>
        <v>0</v>
      </c>
      <c r="H2280" s="33">
        <f t="shared" si="356"/>
        <v>0</v>
      </c>
      <c r="K2280" t="str">
        <f t="shared" si="358"/>
        <v>Z000181002Z040202006</v>
      </c>
    </row>
    <row r="2281" spans="1:11" outlineLevel="1" x14ac:dyDescent="0.2">
      <c r="A2281" s="11" t="s">
        <v>5179</v>
      </c>
      <c r="B2281" s="11" t="s">
        <v>5178</v>
      </c>
      <c r="C2281" s="11" t="s">
        <v>5181</v>
      </c>
      <c r="D2281" s="12" t="s">
        <v>1152</v>
      </c>
      <c r="E2281" s="13">
        <v>308.16000000000003</v>
      </c>
      <c r="F2281" s="14">
        <v>11.258049799999998</v>
      </c>
      <c r="G2281" s="15">
        <f>SUM(G2282:G2291)</f>
        <v>3469.280626368</v>
      </c>
      <c r="H2281" s="16">
        <f t="shared" si="356"/>
        <v>1.7988396618781259E-5</v>
      </c>
    </row>
    <row r="2282" spans="1:11" outlineLevel="1" x14ac:dyDescent="0.2">
      <c r="A2282" s="29"/>
      <c r="B2282" s="30" t="s">
        <v>801</v>
      </c>
      <c r="C2282" s="30" t="s">
        <v>402</v>
      </c>
      <c r="D2282" s="34" t="s">
        <v>1819</v>
      </c>
      <c r="E2282" s="31">
        <v>0</v>
      </c>
      <c r="F2282" s="31">
        <v>10.3</v>
      </c>
      <c r="G2282" s="32">
        <f t="shared" ref="G2282:G2291" si="359">F2282*E2282</f>
        <v>0</v>
      </c>
      <c r="H2282" s="33">
        <f t="shared" si="356"/>
        <v>0</v>
      </c>
      <c r="K2282" t="str">
        <f xml:space="preserve"> $B$2281 &amp; B2282</f>
        <v>Z000181001Z040202006</v>
      </c>
    </row>
    <row r="2283" spans="1:11" outlineLevel="1" x14ac:dyDescent="0.2">
      <c r="A2283" s="29"/>
      <c r="B2283" s="30" t="s">
        <v>120</v>
      </c>
      <c r="C2283" s="30" t="s">
        <v>597</v>
      </c>
      <c r="D2283" s="34" t="s">
        <v>1819</v>
      </c>
      <c r="E2283" s="31">
        <v>0</v>
      </c>
      <c r="F2283" s="31">
        <v>1.52</v>
      </c>
      <c r="G2283" s="32">
        <f t="shared" si="359"/>
        <v>0</v>
      </c>
      <c r="H2283" s="33">
        <f t="shared" si="356"/>
        <v>0</v>
      </c>
      <c r="K2283" t="str">
        <f t="shared" ref="K2283:K2291" si="360" xml:space="preserve"> $B$2281 &amp; B2283</f>
        <v>Z000181001Z050103020</v>
      </c>
    </row>
    <row r="2284" spans="1:11" outlineLevel="1" x14ac:dyDescent="0.2">
      <c r="A2284" s="29"/>
      <c r="B2284" s="30" t="s">
        <v>5183</v>
      </c>
      <c r="C2284" s="30" t="s">
        <v>5184</v>
      </c>
      <c r="D2284" s="34" t="s">
        <v>1819</v>
      </c>
      <c r="E2284" s="31">
        <v>308.16000000000003</v>
      </c>
      <c r="F2284" s="31">
        <v>9.81</v>
      </c>
      <c r="G2284" s="32">
        <f t="shared" si="359"/>
        <v>3023.0496000000003</v>
      </c>
      <c r="H2284" s="33">
        <f t="shared" si="356"/>
        <v>1.5674666035874543E-5</v>
      </c>
      <c r="K2284" t="str">
        <f t="shared" si="360"/>
        <v>Z000181001Z020601001</v>
      </c>
    </row>
    <row r="2285" spans="1:11" outlineLevel="1" x14ac:dyDescent="0.2">
      <c r="A2285" s="29"/>
      <c r="B2285" s="30" t="s">
        <v>1258</v>
      </c>
      <c r="C2285" s="30" t="s">
        <v>1526</v>
      </c>
      <c r="D2285" s="34" t="s">
        <v>1819</v>
      </c>
      <c r="E2285" s="31">
        <v>0.67795200000000011</v>
      </c>
      <c r="F2285" s="31">
        <v>148</v>
      </c>
      <c r="G2285" s="32">
        <f t="shared" si="359"/>
        <v>100.33689600000001</v>
      </c>
      <c r="H2285" s="33">
        <f t="shared" si="356"/>
        <v>5.202519124649084E-7</v>
      </c>
      <c r="K2285" t="str">
        <f t="shared" si="360"/>
        <v>Z000181001Z010304001</v>
      </c>
    </row>
    <row r="2286" spans="1:11" outlineLevel="1" x14ac:dyDescent="0.2">
      <c r="A2286" s="29"/>
      <c r="B2286" s="30" t="s">
        <v>1654</v>
      </c>
      <c r="C2286" s="30" t="s">
        <v>1551</v>
      </c>
      <c r="D2286" s="34" t="s">
        <v>1819</v>
      </c>
      <c r="E2286" s="31">
        <v>299.53152</v>
      </c>
      <c r="F2286" s="31">
        <v>0.7974</v>
      </c>
      <c r="G2286" s="32">
        <f t="shared" si="359"/>
        <v>238.84643404799999</v>
      </c>
      <c r="H2286" s="33">
        <f t="shared" si="356"/>
        <v>1.2384309167676024E-6</v>
      </c>
      <c r="K2286" t="str">
        <f t="shared" si="360"/>
        <v>Z000181001Z010301001</v>
      </c>
    </row>
    <row r="2287" spans="1:11" outlineLevel="1" x14ac:dyDescent="0.2">
      <c r="A2287" s="29"/>
      <c r="B2287" s="30" t="s">
        <v>498</v>
      </c>
      <c r="C2287" s="30" t="s">
        <v>773</v>
      </c>
      <c r="D2287" s="34" t="s">
        <v>1819</v>
      </c>
      <c r="E2287" s="31">
        <v>369.79200000000003</v>
      </c>
      <c r="F2287" s="31">
        <v>0</v>
      </c>
      <c r="G2287" s="32">
        <f t="shared" si="359"/>
        <v>0</v>
      </c>
      <c r="H2287" s="33">
        <f t="shared" si="356"/>
        <v>0</v>
      </c>
      <c r="K2287" t="str">
        <f t="shared" si="360"/>
        <v>Z000181001Z040401001</v>
      </c>
    </row>
    <row r="2288" spans="1:11" outlineLevel="1" x14ac:dyDescent="0.2">
      <c r="A2288" s="29"/>
      <c r="B2288" s="30" t="s">
        <v>66</v>
      </c>
      <c r="C2288" s="30" t="s">
        <v>617</v>
      </c>
      <c r="D2288" s="34" t="s">
        <v>1819</v>
      </c>
      <c r="E2288" s="31">
        <v>0</v>
      </c>
      <c r="F2288" s="31">
        <v>5.45</v>
      </c>
      <c r="G2288" s="32">
        <f t="shared" si="359"/>
        <v>0</v>
      </c>
      <c r="H2288" s="33">
        <f t="shared" si="356"/>
        <v>0</v>
      </c>
      <c r="K2288" t="str">
        <f t="shared" si="360"/>
        <v>Z000181001Z050103019</v>
      </c>
    </row>
    <row r="2289" spans="1:11" outlineLevel="1" x14ac:dyDescent="0.2">
      <c r="A2289" s="29"/>
      <c r="B2289" s="30" t="s">
        <v>1133</v>
      </c>
      <c r="C2289" s="30" t="s">
        <v>2843</v>
      </c>
      <c r="D2289" s="34" t="s">
        <v>1819</v>
      </c>
      <c r="E2289" s="31">
        <v>11.987424000000001</v>
      </c>
      <c r="F2289" s="31">
        <v>8.93</v>
      </c>
      <c r="G2289" s="32">
        <f t="shared" si="359"/>
        <v>107.04769632</v>
      </c>
      <c r="H2289" s="33">
        <f t="shared" si="356"/>
        <v>5.5504775367420899E-7</v>
      </c>
      <c r="K2289" t="str">
        <f t="shared" si="360"/>
        <v>Z000181001Z010305003</v>
      </c>
    </row>
    <row r="2290" spans="1:11" outlineLevel="1" x14ac:dyDescent="0.2">
      <c r="A2290" s="29"/>
      <c r="B2290" s="30" t="s">
        <v>1009</v>
      </c>
      <c r="C2290" s="30" t="s">
        <v>672</v>
      </c>
      <c r="D2290" s="34" t="s">
        <v>1819</v>
      </c>
      <c r="E2290" s="31">
        <v>0</v>
      </c>
      <c r="F2290" s="31">
        <v>16.489999999999998</v>
      </c>
      <c r="G2290" s="32">
        <f t="shared" si="359"/>
        <v>0</v>
      </c>
      <c r="H2290" s="33">
        <f t="shared" si="356"/>
        <v>0</v>
      </c>
      <c r="K2290" t="str">
        <f t="shared" si="360"/>
        <v>Z000181001Z040201013</v>
      </c>
    </row>
    <row r="2291" spans="1:11" outlineLevel="1" x14ac:dyDescent="0.2">
      <c r="A2291" s="29"/>
      <c r="B2291" s="30" t="s">
        <v>547</v>
      </c>
      <c r="C2291" s="30" t="s">
        <v>2320</v>
      </c>
      <c r="D2291" s="34" t="s">
        <v>1819</v>
      </c>
      <c r="E2291" s="31">
        <v>0</v>
      </c>
      <c r="F2291" s="31">
        <v>13.51</v>
      </c>
      <c r="G2291" s="32">
        <f t="shared" si="359"/>
        <v>0</v>
      </c>
      <c r="H2291" s="33">
        <f t="shared" si="356"/>
        <v>0</v>
      </c>
      <c r="K2291" t="str">
        <f t="shared" si="360"/>
        <v>Z000181001Z040204001</v>
      </c>
    </row>
    <row r="2292" spans="1:11" x14ac:dyDescent="0.2">
      <c r="A2292" s="23" t="s">
        <v>351</v>
      </c>
      <c r="B2292" s="23" t="s">
        <v>328</v>
      </c>
      <c r="C2292" s="23" t="s">
        <v>1372</v>
      </c>
      <c r="D2292" s="24"/>
      <c r="E2292" s="25"/>
      <c r="F2292" s="26"/>
      <c r="G2292" s="27">
        <f>SUM(G2293,G2296,G2299)</f>
        <v>2683230.3746480001</v>
      </c>
      <c r="H2292" s="28">
        <f t="shared" si="343"/>
        <v>1.3912686057126528E-2</v>
      </c>
    </row>
    <row r="2293" spans="1:11" outlineLevel="1" x14ac:dyDescent="0.2">
      <c r="A2293" s="11" t="s">
        <v>665</v>
      </c>
      <c r="B2293" s="11" t="s">
        <v>504</v>
      </c>
      <c r="C2293" s="11" t="s">
        <v>382</v>
      </c>
      <c r="D2293" s="12" t="s">
        <v>1152</v>
      </c>
      <c r="E2293" s="13">
        <v>3535.93</v>
      </c>
      <c r="F2293" s="14">
        <v>600</v>
      </c>
      <c r="G2293" s="15">
        <f>SUM(G2294:G2295)</f>
        <v>2121558</v>
      </c>
      <c r="H2293" s="16">
        <f t="shared" si="343"/>
        <v>1.100038620793318E-2</v>
      </c>
    </row>
    <row r="2294" spans="1:11" outlineLevel="1" x14ac:dyDescent="0.2">
      <c r="A2294" s="29"/>
      <c r="B2294" s="30" t="s">
        <v>1539</v>
      </c>
      <c r="C2294" s="30" t="s">
        <v>415</v>
      </c>
      <c r="D2294" s="34" t="s">
        <v>1819</v>
      </c>
      <c r="E2294" s="31">
        <v>3535.93</v>
      </c>
      <c r="F2294" s="31">
        <v>400</v>
      </c>
      <c r="G2294" s="32">
        <f t="shared" ref="G2294:G2295" si="361">F2294*E2294</f>
        <v>1414372</v>
      </c>
      <c r="H2294" s="33">
        <f t="shared" si="343"/>
        <v>7.3335908052887871E-3</v>
      </c>
      <c r="K2294" t="str">
        <f xml:space="preserve"> B2293 &amp; B2294</f>
        <v>Z000183008Z020605008</v>
      </c>
    </row>
    <row r="2295" spans="1:11" outlineLevel="1" x14ac:dyDescent="0.2">
      <c r="A2295" s="29"/>
      <c r="B2295" s="30" t="s">
        <v>1943</v>
      </c>
      <c r="C2295" s="30" t="s">
        <v>4103</v>
      </c>
      <c r="D2295" s="34" t="s">
        <v>1819</v>
      </c>
      <c r="E2295" s="31">
        <v>3535.93</v>
      </c>
      <c r="F2295" s="31">
        <v>200</v>
      </c>
      <c r="G2295" s="32">
        <f t="shared" si="361"/>
        <v>707186</v>
      </c>
      <c r="H2295" s="33">
        <f t="shared" si="343"/>
        <v>3.6667954026443936E-3</v>
      </c>
      <c r="K2295" t="str">
        <f xml:space="preserve"> B2293 &amp; B2295</f>
        <v>Z000183008Z040310035</v>
      </c>
    </row>
    <row r="2296" spans="1:11" outlineLevel="1" x14ac:dyDescent="0.2">
      <c r="A2296" s="11" t="s">
        <v>5234</v>
      </c>
      <c r="B2296" s="11" t="s">
        <v>492</v>
      </c>
      <c r="C2296" s="11" t="s">
        <v>368</v>
      </c>
      <c r="D2296" s="12" t="s">
        <v>1152</v>
      </c>
      <c r="E2296" s="13">
        <v>372.67</v>
      </c>
      <c r="F2296" s="14">
        <v>1100</v>
      </c>
      <c r="G2296" s="15">
        <f>SUM(G2297:G2298)</f>
        <v>409937</v>
      </c>
      <c r="H2296" s="16">
        <f t="shared" ref="H2296:H2298" si="362">G2296/$F$2</f>
        <v>2.1255442089829759E-3</v>
      </c>
    </row>
    <row r="2297" spans="1:11" outlineLevel="1" x14ac:dyDescent="0.2">
      <c r="A2297" s="29"/>
      <c r="B2297" s="30" t="s">
        <v>1530</v>
      </c>
      <c r="C2297" s="30" t="s">
        <v>856</v>
      </c>
      <c r="D2297" s="34" t="s">
        <v>1819</v>
      </c>
      <c r="E2297" s="31">
        <v>372.67</v>
      </c>
      <c r="F2297" s="31">
        <v>750</v>
      </c>
      <c r="G2297" s="32">
        <f t="shared" ref="G2297:G2298" si="363">F2297*E2297</f>
        <v>279502.5</v>
      </c>
      <c r="H2297" s="33">
        <f t="shared" si="362"/>
        <v>1.4492346879429381E-3</v>
      </c>
      <c r="K2297" t="str">
        <f xml:space="preserve"> B2296 &amp; B2297</f>
        <v>Z000183005Z020605004</v>
      </c>
    </row>
    <row r="2298" spans="1:11" outlineLevel="1" x14ac:dyDescent="0.2">
      <c r="A2298" s="29"/>
      <c r="B2298" s="30" t="s">
        <v>1814</v>
      </c>
      <c r="C2298" s="30" t="s">
        <v>4097</v>
      </c>
      <c r="D2298" s="34" t="s">
        <v>1819</v>
      </c>
      <c r="E2298" s="31">
        <v>372.67</v>
      </c>
      <c r="F2298" s="31">
        <v>350</v>
      </c>
      <c r="G2298" s="32">
        <f t="shared" si="363"/>
        <v>130434.5</v>
      </c>
      <c r="H2298" s="33">
        <f t="shared" si="362"/>
        <v>6.7630952104003777E-4</v>
      </c>
      <c r="K2298" t="str">
        <f xml:space="preserve"> B2296 &amp; B2298</f>
        <v>Z000183005Z040310013</v>
      </c>
    </row>
    <row r="2299" spans="1:11" outlineLevel="1" x14ac:dyDescent="0.2">
      <c r="A2299" s="11" t="s">
        <v>5234</v>
      </c>
      <c r="B2299" s="11" t="s">
        <v>496</v>
      </c>
      <c r="C2299" s="11" t="s">
        <v>1677</v>
      </c>
      <c r="D2299" s="12" t="s">
        <v>1152</v>
      </c>
      <c r="E2299" s="13">
        <v>48.18</v>
      </c>
      <c r="F2299" s="14">
        <v>3149.3436000000002</v>
      </c>
      <c r="G2299" s="15">
        <f>SUM(G2300:G2301)</f>
        <v>151735.374648</v>
      </c>
      <c r="H2299" s="16">
        <f t="shared" ref="H2299:H2301" si="364">G2299/$F$2</f>
        <v>7.8675564021037049E-4</v>
      </c>
    </row>
    <row r="2300" spans="1:11" outlineLevel="1" x14ac:dyDescent="0.2">
      <c r="A2300" s="29"/>
      <c r="B2300" s="30" t="s">
        <v>1532</v>
      </c>
      <c r="C2300" s="30" t="s">
        <v>520</v>
      </c>
      <c r="D2300" s="34" t="s">
        <v>1819</v>
      </c>
      <c r="E2300" s="31">
        <v>48.18</v>
      </c>
      <c r="F2300" s="31">
        <v>2196.6945000000001</v>
      </c>
      <c r="G2300" s="32">
        <f t="shared" ref="G2300:G2301" si="365">F2300*E2300</f>
        <v>105836.74101</v>
      </c>
      <c r="H2300" s="33">
        <f t="shared" si="364"/>
        <v>5.4876888875958138E-4</v>
      </c>
      <c r="K2300" t="str">
        <f xml:space="preserve"> B2299 &amp; B2300</f>
        <v>Z000183006Z020605005</v>
      </c>
    </row>
    <row r="2301" spans="1:11" outlineLevel="1" x14ac:dyDescent="0.2">
      <c r="A2301" s="29"/>
      <c r="B2301" s="30" t="s">
        <v>1817</v>
      </c>
      <c r="C2301" s="30" t="s">
        <v>4100</v>
      </c>
      <c r="D2301" s="34" t="s">
        <v>1819</v>
      </c>
      <c r="E2301" s="31">
        <v>48.18</v>
      </c>
      <c r="F2301" s="31">
        <v>952.64909999999998</v>
      </c>
      <c r="G2301" s="32">
        <f t="shared" si="365"/>
        <v>45898.633637999999</v>
      </c>
      <c r="H2301" s="33">
        <f t="shared" si="364"/>
        <v>2.3798675145078908E-4</v>
      </c>
      <c r="K2301" t="str">
        <f xml:space="preserve"> B2299 &amp; B2301</f>
        <v>Z000183006Z040310014</v>
      </c>
    </row>
    <row r="2302" spans="1:11" x14ac:dyDescent="0.2">
      <c r="A2302" s="23" t="s">
        <v>352</v>
      </c>
      <c r="B2302" s="23" t="s">
        <v>328</v>
      </c>
      <c r="C2302" s="23" t="s">
        <v>1132</v>
      </c>
      <c r="D2302" s="24"/>
      <c r="E2302" s="25"/>
      <c r="F2302" s="26"/>
      <c r="G2302" s="27">
        <f>SUM(G2303,G2306,G2309,G2312)</f>
        <v>104081.81230000002</v>
      </c>
      <c r="H2302" s="28">
        <f t="shared" ref="H2302:H2338" si="366">G2302/$F$2</f>
        <v>5.3966949408011016E-4</v>
      </c>
    </row>
    <row r="2303" spans="1:11" outlineLevel="1" x14ac:dyDescent="0.2">
      <c r="A2303" s="11" t="s">
        <v>548</v>
      </c>
      <c r="B2303" s="11" t="s">
        <v>43</v>
      </c>
      <c r="C2303" s="11" t="s">
        <v>4221</v>
      </c>
      <c r="D2303" s="12" t="s">
        <v>153</v>
      </c>
      <c r="E2303" s="13">
        <v>239.19</v>
      </c>
      <c r="F2303" s="14">
        <v>336.77000000000004</v>
      </c>
      <c r="G2303" s="15">
        <f>SUM(G2304:G2305)</f>
        <v>80552.016300000003</v>
      </c>
      <c r="H2303" s="16">
        <f t="shared" si="366"/>
        <v>4.1766630425740369E-4</v>
      </c>
    </row>
    <row r="2304" spans="1:11" outlineLevel="1" x14ac:dyDescent="0.2">
      <c r="A2304" s="29"/>
      <c r="B2304" s="30" t="s">
        <v>1670</v>
      </c>
      <c r="C2304" s="30" t="s">
        <v>4219</v>
      </c>
      <c r="D2304" s="34" t="s">
        <v>1819</v>
      </c>
      <c r="E2304" s="31">
        <v>239.19</v>
      </c>
      <c r="F2304" s="31">
        <v>226.77</v>
      </c>
      <c r="G2304" s="32">
        <f t="shared" ref="G2304:G2305" si="367">F2304*E2304</f>
        <v>54241.116300000002</v>
      </c>
      <c r="H2304" s="33">
        <f t="shared" si="366"/>
        <v>2.812429486487853E-4</v>
      </c>
      <c r="K2304" t="str">
        <f xml:space="preserve"> B2303 &amp; B2304</f>
        <v>Z000187002Z020604002</v>
      </c>
    </row>
    <row r="2305" spans="1:11" outlineLevel="1" x14ac:dyDescent="0.2">
      <c r="A2305" s="29"/>
      <c r="B2305" s="30" t="s">
        <v>1763</v>
      </c>
      <c r="C2305" s="30" t="s">
        <v>4222</v>
      </c>
      <c r="D2305" s="34" t="s">
        <v>1819</v>
      </c>
      <c r="E2305" s="31">
        <v>239.19</v>
      </c>
      <c r="F2305" s="31">
        <v>110</v>
      </c>
      <c r="G2305" s="32">
        <f t="shared" si="367"/>
        <v>26310.9</v>
      </c>
      <c r="H2305" s="33">
        <f t="shared" si="366"/>
        <v>1.3642335560861836E-4</v>
      </c>
      <c r="K2305" t="str">
        <f xml:space="preserve"> B2303 &amp; B2305</f>
        <v>Z000187002Z040310007</v>
      </c>
    </row>
    <row r="2306" spans="1:11" outlineLevel="1" x14ac:dyDescent="0.2">
      <c r="A2306" s="11" t="s">
        <v>5236</v>
      </c>
      <c r="B2306" s="11" t="s">
        <v>40</v>
      </c>
      <c r="C2306" s="11" t="s">
        <v>4216</v>
      </c>
      <c r="D2306" s="12" t="s">
        <v>153</v>
      </c>
      <c r="E2306" s="13">
        <v>4.67</v>
      </c>
      <c r="F2306" s="14">
        <v>229.99999999999997</v>
      </c>
      <c r="G2306" s="15">
        <f>SUM(G2307:G2308)</f>
        <v>1074.0999999999999</v>
      </c>
      <c r="H2306" s="16">
        <f t="shared" si="366"/>
        <v>5.5692631669466633E-6</v>
      </c>
    </row>
    <row r="2307" spans="1:11" outlineLevel="1" x14ac:dyDescent="0.2">
      <c r="A2307" s="29"/>
      <c r="B2307" s="30" t="s">
        <v>1666</v>
      </c>
      <c r="C2307" s="30" t="s">
        <v>4214</v>
      </c>
      <c r="D2307" s="34" t="s">
        <v>1819</v>
      </c>
      <c r="E2307" s="31">
        <v>4.67</v>
      </c>
      <c r="F2307" s="31">
        <v>120</v>
      </c>
      <c r="G2307" s="32">
        <f t="shared" ref="G2307:G2308" si="368">F2307*E2307</f>
        <v>560.4</v>
      </c>
      <c r="H2307" s="33">
        <f t="shared" si="366"/>
        <v>2.9057025218852156E-6</v>
      </c>
      <c r="K2307" t="str">
        <f xml:space="preserve"> B2306 &amp; B2307</f>
        <v>Z000187001Z020604001</v>
      </c>
    </row>
    <row r="2308" spans="1:11" outlineLevel="1" x14ac:dyDescent="0.2">
      <c r="A2308" s="29"/>
      <c r="B2308" s="30" t="s">
        <v>1761</v>
      </c>
      <c r="C2308" s="30" t="s">
        <v>4217</v>
      </c>
      <c r="D2308" s="34" t="s">
        <v>1819</v>
      </c>
      <c r="E2308" s="31">
        <v>4.67</v>
      </c>
      <c r="F2308" s="31">
        <v>110</v>
      </c>
      <c r="G2308" s="32">
        <f t="shared" si="368"/>
        <v>513.70000000000005</v>
      </c>
      <c r="H2308" s="33">
        <f t="shared" si="366"/>
        <v>2.6635606450614481E-6</v>
      </c>
      <c r="K2308" t="str">
        <f xml:space="preserve"> B2306 &amp; B2308</f>
        <v>Z000187001Z040310006</v>
      </c>
    </row>
    <row r="2309" spans="1:11" outlineLevel="1" x14ac:dyDescent="0.2">
      <c r="A2309" s="11" t="s">
        <v>5237</v>
      </c>
      <c r="B2309" s="11" t="s">
        <v>53</v>
      </c>
      <c r="C2309" s="11" t="s">
        <v>4230</v>
      </c>
      <c r="D2309" s="12" t="s">
        <v>153</v>
      </c>
      <c r="E2309" s="13">
        <v>17.670000000000002</v>
      </c>
      <c r="F2309" s="14">
        <v>746.96</v>
      </c>
      <c r="G2309" s="15">
        <f>SUM(G2310:G2311)</f>
        <v>13198.783200000002</v>
      </c>
      <c r="H2309" s="16">
        <f t="shared" si="366"/>
        <v>6.8436362651777701E-5</v>
      </c>
    </row>
    <row r="2310" spans="1:11" outlineLevel="1" x14ac:dyDescent="0.2">
      <c r="A2310" s="29"/>
      <c r="B2310" s="30" t="s">
        <v>1678</v>
      </c>
      <c r="C2310" s="30" t="s">
        <v>4228</v>
      </c>
      <c r="D2310" s="34" t="s">
        <v>1819</v>
      </c>
      <c r="E2310" s="31">
        <v>17.670000000000002</v>
      </c>
      <c r="F2310" s="31">
        <v>636.96</v>
      </c>
      <c r="G2310" s="32">
        <f t="shared" ref="G2310:G2311" si="369">F2310*E2310</f>
        <v>11255.083200000001</v>
      </c>
      <c r="H2310" s="33">
        <f t="shared" si="366"/>
        <v>5.8358179226031273E-5</v>
      </c>
      <c r="K2310" t="str">
        <f xml:space="preserve"> B2309 &amp; B2310</f>
        <v>Z000187005Z020604005</v>
      </c>
    </row>
    <row r="2311" spans="1:11" outlineLevel="1" x14ac:dyDescent="0.2">
      <c r="A2311" s="29"/>
      <c r="B2311" s="30" t="s">
        <v>1977</v>
      </c>
      <c r="C2311" s="30" t="s">
        <v>4231</v>
      </c>
      <c r="D2311" s="34" t="s">
        <v>1819</v>
      </c>
      <c r="E2311" s="31">
        <v>17.670000000000002</v>
      </c>
      <c r="F2311" s="31">
        <v>110</v>
      </c>
      <c r="G2311" s="32">
        <f t="shared" si="369"/>
        <v>1943.7000000000003</v>
      </c>
      <c r="H2311" s="33">
        <f t="shared" si="366"/>
        <v>1.0078183425746421E-5</v>
      </c>
      <c r="K2311" t="str">
        <f xml:space="preserve"> B2309 &amp; B2311</f>
        <v>Z000187005Z040310040</v>
      </c>
    </row>
    <row r="2312" spans="1:11" outlineLevel="1" x14ac:dyDescent="0.2">
      <c r="A2312" s="11" t="s">
        <v>5238</v>
      </c>
      <c r="B2312" s="11" t="s">
        <v>50</v>
      </c>
      <c r="C2312" s="11" t="s">
        <v>441</v>
      </c>
      <c r="D2312" s="12" t="s">
        <v>153</v>
      </c>
      <c r="E2312" s="13">
        <v>13.74</v>
      </c>
      <c r="F2312" s="14">
        <v>673.72</v>
      </c>
      <c r="G2312" s="15">
        <f>SUM(G2313:G2314)</f>
        <v>9256.9128000000001</v>
      </c>
      <c r="H2312" s="16">
        <f t="shared" si="366"/>
        <v>4.7997564003982035E-5</v>
      </c>
    </row>
    <row r="2313" spans="1:11" outlineLevel="1" x14ac:dyDescent="0.2">
      <c r="A2313" s="29"/>
      <c r="B2313" s="30" t="s">
        <v>1675</v>
      </c>
      <c r="C2313" s="30" t="s">
        <v>4224</v>
      </c>
      <c r="D2313" s="34" t="s">
        <v>1819</v>
      </c>
      <c r="E2313" s="31">
        <v>13.74</v>
      </c>
      <c r="F2313" s="31">
        <v>563.72</v>
      </c>
      <c r="G2313" s="32">
        <f t="shared" ref="G2313:G2314" si="370">F2313*E2313</f>
        <v>7745.5128000000004</v>
      </c>
      <c r="H2313" s="33">
        <f t="shared" si="366"/>
        <v>4.0160878080396536E-5</v>
      </c>
      <c r="K2313" t="str">
        <f xml:space="preserve"> B2312 &amp; B2313</f>
        <v>Z000187004Z020604004</v>
      </c>
    </row>
    <row r="2314" spans="1:11" outlineLevel="1" x14ac:dyDescent="0.2">
      <c r="A2314" s="29"/>
      <c r="B2314" s="30" t="s">
        <v>1767</v>
      </c>
      <c r="C2314" s="30" t="s">
        <v>4226</v>
      </c>
      <c r="D2314" s="34" t="s">
        <v>1819</v>
      </c>
      <c r="E2314" s="31">
        <v>13.74</v>
      </c>
      <c r="F2314" s="31">
        <v>110</v>
      </c>
      <c r="G2314" s="32">
        <f t="shared" si="370"/>
        <v>1511.4</v>
      </c>
      <c r="H2314" s="33">
        <f t="shared" si="366"/>
        <v>7.8366859235855028E-6</v>
      </c>
      <c r="K2314" t="str">
        <f xml:space="preserve"> B2312 &amp; B2314</f>
        <v>Z000187004Z040310009</v>
      </c>
    </row>
    <row r="2315" spans="1:11" ht="15" x14ac:dyDescent="0.2">
      <c r="A2315" s="17" t="s">
        <v>2051</v>
      </c>
      <c r="B2315" s="17" t="s">
        <v>328</v>
      </c>
      <c r="C2315" s="17" t="s">
        <v>690</v>
      </c>
      <c r="D2315" s="18"/>
      <c r="E2315" s="19"/>
      <c r="F2315" s="20"/>
      <c r="G2315" s="21">
        <f>SUM(G2316,G2414)</f>
        <v>489869.41200000007</v>
      </c>
      <c r="H2315" s="22">
        <f t="shared" si="366"/>
        <v>2.5399978334097574E-3</v>
      </c>
    </row>
    <row r="2316" spans="1:11" x14ac:dyDescent="0.2">
      <c r="A2316" s="23" t="s">
        <v>230</v>
      </c>
      <c r="B2316" s="23" t="s">
        <v>328</v>
      </c>
      <c r="C2316" s="23" t="s">
        <v>1443</v>
      </c>
      <c r="D2316" s="24"/>
      <c r="E2316" s="25"/>
      <c r="F2316" s="26"/>
      <c r="G2316" s="27">
        <f>SUM(G2317,G2325,G2334,G2343,G2352,G2361,G2369,G2378,G2387,G2396,G2405)</f>
        <v>489869.41200000007</v>
      </c>
      <c r="H2316" s="28">
        <f t="shared" si="366"/>
        <v>2.5399978334097574E-3</v>
      </c>
    </row>
    <row r="2317" spans="1:11" outlineLevel="1" x14ac:dyDescent="0.2">
      <c r="A2317" s="11" t="s">
        <v>193</v>
      </c>
      <c r="B2317" s="11" t="s">
        <v>293</v>
      </c>
      <c r="C2317" s="11" t="s">
        <v>4107</v>
      </c>
      <c r="D2317" s="12" t="s">
        <v>1781</v>
      </c>
      <c r="E2317" s="13">
        <v>336</v>
      </c>
      <c r="F2317" s="14">
        <v>1187.3960000000002</v>
      </c>
      <c r="G2317" s="15">
        <f>SUM(G2318:G2324)</f>
        <v>398965.05600000004</v>
      </c>
      <c r="H2317" s="16">
        <f t="shared" si="366"/>
        <v>2.0686541209194798E-3</v>
      </c>
    </row>
    <row r="2318" spans="1:11" outlineLevel="1" x14ac:dyDescent="0.2">
      <c r="A2318" s="29"/>
      <c r="B2318" s="30" t="s">
        <v>1275</v>
      </c>
      <c r="C2318" s="30" t="s">
        <v>4105</v>
      </c>
      <c r="D2318" s="34" t="s">
        <v>1781</v>
      </c>
      <c r="E2318" s="31">
        <v>336</v>
      </c>
      <c r="F2318" s="31">
        <v>988</v>
      </c>
      <c r="G2318" s="32">
        <f t="shared" ref="G2318:G2324" si="371">F2318*E2318</f>
        <v>331968</v>
      </c>
      <c r="H2318" s="33">
        <f t="shared" si="366"/>
        <v>1.721270975705195E-3</v>
      </c>
      <c r="K2318" t="str">
        <f xml:space="preserve"> B2317 &amp; B2318</f>
        <v>Z000185006Z020607003</v>
      </c>
    </row>
    <row r="2319" spans="1:11" outlineLevel="1" x14ac:dyDescent="0.2">
      <c r="A2319" s="29"/>
      <c r="B2319" s="30" t="s">
        <v>1143</v>
      </c>
      <c r="C2319" s="30" t="s">
        <v>1740</v>
      </c>
      <c r="D2319" s="34" t="s">
        <v>1781</v>
      </c>
      <c r="E2319" s="31">
        <v>1008</v>
      </c>
      <c r="F2319" s="31">
        <v>15.08</v>
      </c>
      <c r="G2319" s="32">
        <f t="shared" si="371"/>
        <v>15200.64</v>
      </c>
      <c r="H2319" s="33">
        <f t="shared" si="366"/>
        <v>7.8816092045448397E-5</v>
      </c>
      <c r="K2319" t="str">
        <f xml:space="preserve"> B2317 &amp; B2319</f>
        <v>Z000185006Z020608002</v>
      </c>
    </row>
    <row r="2320" spans="1:11" outlineLevel="1" x14ac:dyDescent="0.2">
      <c r="A2320" s="29"/>
      <c r="B2320" s="30" t="s">
        <v>311</v>
      </c>
      <c r="C2320" s="30" t="s">
        <v>1441</v>
      </c>
      <c r="D2320" s="34" t="s">
        <v>1781</v>
      </c>
      <c r="E2320" s="31">
        <v>390.43199999999996</v>
      </c>
      <c r="F2320" s="31">
        <v>38</v>
      </c>
      <c r="G2320" s="32">
        <f t="shared" si="371"/>
        <v>14836.415999999999</v>
      </c>
      <c r="H2320" s="33">
        <f t="shared" si="366"/>
        <v>7.6927572068055257E-5</v>
      </c>
      <c r="K2320" t="str">
        <f xml:space="preserve"> B2317 &amp; B2320</f>
        <v>Z000185006Z030206001</v>
      </c>
    </row>
    <row r="2321" spans="1:11" outlineLevel="1" x14ac:dyDescent="0.2">
      <c r="A2321" s="29"/>
      <c r="B2321" s="30" t="s">
        <v>945</v>
      </c>
      <c r="C2321" s="30" t="s">
        <v>267</v>
      </c>
      <c r="D2321" s="34" t="s">
        <v>151</v>
      </c>
      <c r="E2321" s="31">
        <v>0</v>
      </c>
      <c r="F2321" s="31">
        <v>39</v>
      </c>
      <c r="G2321" s="32">
        <f t="shared" si="371"/>
        <v>0</v>
      </c>
      <c r="H2321" s="33">
        <f t="shared" si="366"/>
        <v>0</v>
      </c>
      <c r="K2321" t="str">
        <f xml:space="preserve"> B2317 &amp; B2321</f>
        <v>Z000185006Z040201006</v>
      </c>
    </row>
    <row r="2322" spans="1:11" outlineLevel="1" x14ac:dyDescent="0.2">
      <c r="A2322" s="29"/>
      <c r="B2322" s="30" t="s">
        <v>801</v>
      </c>
      <c r="C2322" s="30" t="s">
        <v>402</v>
      </c>
      <c r="D2322" s="34" t="s">
        <v>151</v>
      </c>
      <c r="E2322" s="31">
        <v>0</v>
      </c>
      <c r="F2322" s="31">
        <v>10.3</v>
      </c>
      <c r="G2322" s="32">
        <f t="shared" si="371"/>
        <v>0</v>
      </c>
      <c r="H2322" s="33">
        <f t="shared" si="366"/>
        <v>0</v>
      </c>
      <c r="K2322" t="str">
        <f xml:space="preserve"> B2317 &amp; B2322</f>
        <v>Z000185006Z040202006</v>
      </c>
    </row>
    <row r="2323" spans="1:11" outlineLevel="1" x14ac:dyDescent="0.2">
      <c r="A2323" s="29"/>
      <c r="B2323" s="30" t="s">
        <v>1978</v>
      </c>
      <c r="C2323" s="30" t="s">
        <v>4112</v>
      </c>
      <c r="D2323" s="34" t="s">
        <v>1781</v>
      </c>
      <c r="E2323" s="31">
        <v>336</v>
      </c>
      <c r="F2323" s="31">
        <v>110</v>
      </c>
      <c r="G2323" s="32">
        <f t="shared" si="371"/>
        <v>36960</v>
      </c>
      <c r="H2323" s="33">
        <f t="shared" si="366"/>
        <v>1.9163948110078084E-4</v>
      </c>
      <c r="K2323" t="str">
        <f xml:space="preserve"> B2317 &amp; B2323</f>
        <v>Z000185006Z040310041</v>
      </c>
    </row>
    <row r="2324" spans="1:11" outlineLevel="1" x14ac:dyDescent="0.2">
      <c r="A2324" s="29"/>
      <c r="B2324" s="30" t="s">
        <v>498</v>
      </c>
      <c r="C2324" s="30" t="s">
        <v>773</v>
      </c>
      <c r="D2324" s="34" t="s">
        <v>84</v>
      </c>
      <c r="E2324" s="31">
        <v>403.2</v>
      </c>
      <c r="F2324" s="31">
        <v>0</v>
      </c>
      <c r="G2324" s="32">
        <f t="shared" si="371"/>
        <v>0</v>
      </c>
      <c r="H2324" s="33">
        <f t="shared" si="366"/>
        <v>0</v>
      </c>
      <c r="K2324" t="str">
        <f xml:space="preserve"> B2317 &amp; B2324</f>
        <v>Z000185006Z040401001</v>
      </c>
    </row>
    <row r="2325" spans="1:11" outlineLevel="1" x14ac:dyDescent="0.2">
      <c r="A2325" s="11" t="s">
        <v>197</v>
      </c>
      <c r="B2325" s="11" t="s">
        <v>503</v>
      </c>
      <c r="C2325" s="11" t="s">
        <v>4136</v>
      </c>
      <c r="D2325" s="12" t="s">
        <v>1781</v>
      </c>
      <c r="E2325" s="13">
        <v>8</v>
      </c>
      <c r="F2325" s="14">
        <v>1658.6959999999999</v>
      </c>
      <c r="G2325" s="15">
        <f>SUM(G2326:G2333)</f>
        <v>13269.567999999999</v>
      </c>
      <c r="H2325" s="16">
        <f t="shared" si="366"/>
        <v>6.8803385442411412E-5</v>
      </c>
    </row>
    <row r="2326" spans="1:11" outlineLevel="1" x14ac:dyDescent="0.2">
      <c r="A2326" s="29"/>
      <c r="B2326" s="30" t="s">
        <v>1545</v>
      </c>
      <c r="C2326" s="30" t="s">
        <v>4134</v>
      </c>
      <c r="D2326" s="34" t="s">
        <v>1781</v>
      </c>
      <c r="E2326" s="31">
        <v>8</v>
      </c>
      <c r="F2326" s="31">
        <v>1260.1500000000001</v>
      </c>
      <c r="G2326" s="32">
        <f t="shared" ref="G2326:G2333" si="372">F2326*E2326</f>
        <v>10081.200000000001</v>
      </c>
      <c r="H2326" s="33">
        <f t="shared" si="366"/>
        <v>5.2271535088560383E-5</v>
      </c>
      <c r="K2326" t="str">
        <f xml:space="preserve"> B2325 &amp; B2326</f>
        <v>Z000185042Z020607048</v>
      </c>
    </row>
    <row r="2327" spans="1:11" outlineLevel="1" x14ac:dyDescent="0.2">
      <c r="A2327" s="29"/>
      <c r="B2327" s="30" t="s">
        <v>1139</v>
      </c>
      <c r="C2327" s="30" t="s">
        <v>276</v>
      </c>
      <c r="D2327" s="34" t="s">
        <v>1781</v>
      </c>
      <c r="E2327" s="31">
        <v>32</v>
      </c>
      <c r="F2327" s="31">
        <v>15.07</v>
      </c>
      <c r="G2327" s="32">
        <f t="shared" si="372"/>
        <v>482.24</v>
      </c>
      <c r="H2327" s="33">
        <f t="shared" si="366"/>
        <v>2.5004389438863786E-6</v>
      </c>
      <c r="K2327" t="str">
        <f xml:space="preserve"> B2325 &amp; B2327</f>
        <v>Z000185042Z020608001</v>
      </c>
    </row>
    <row r="2328" spans="1:11" outlineLevel="1" x14ac:dyDescent="0.2">
      <c r="A2328" s="29"/>
      <c r="B2328" s="30" t="s">
        <v>1144</v>
      </c>
      <c r="C2328" s="30" t="s">
        <v>1325</v>
      </c>
      <c r="D2328" s="34" t="s">
        <v>1781</v>
      </c>
      <c r="E2328" s="31">
        <v>8</v>
      </c>
      <c r="F2328" s="31">
        <v>184.11</v>
      </c>
      <c r="G2328" s="32">
        <f t="shared" si="372"/>
        <v>1472.88</v>
      </c>
      <c r="H2328" s="33">
        <f t="shared" si="366"/>
        <v>7.6369577630876104E-6</v>
      </c>
      <c r="K2328" t="str">
        <f xml:space="preserve"> B2325 &amp; B2328</f>
        <v>Z000185042Z020608003</v>
      </c>
    </row>
    <row r="2329" spans="1:11" outlineLevel="1" x14ac:dyDescent="0.2">
      <c r="A2329" s="29"/>
      <c r="B2329" s="30" t="s">
        <v>311</v>
      </c>
      <c r="C2329" s="30" t="s">
        <v>1441</v>
      </c>
      <c r="D2329" s="34" t="s">
        <v>1781</v>
      </c>
      <c r="E2329" s="31">
        <v>9.2959999999999994</v>
      </c>
      <c r="F2329" s="31">
        <v>38</v>
      </c>
      <c r="G2329" s="32">
        <f t="shared" si="372"/>
        <v>353.24799999999999</v>
      </c>
      <c r="H2329" s="33">
        <f t="shared" si="366"/>
        <v>1.8316088587632202E-6</v>
      </c>
      <c r="K2329" t="str">
        <f xml:space="preserve"> B2325 &amp; B2329</f>
        <v>Z000185042Z030206001</v>
      </c>
    </row>
    <row r="2330" spans="1:11" outlineLevel="1" x14ac:dyDescent="0.2">
      <c r="A2330" s="29"/>
      <c r="B2330" s="30" t="s">
        <v>945</v>
      </c>
      <c r="C2330" s="30" t="s">
        <v>267</v>
      </c>
      <c r="D2330" s="34" t="s">
        <v>151</v>
      </c>
      <c r="E2330" s="31">
        <v>0</v>
      </c>
      <c r="F2330" s="31">
        <v>39</v>
      </c>
      <c r="G2330" s="32">
        <f t="shared" si="372"/>
        <v>0</v>
      </c>
      <c r="H2330" s="33">
        <f t="shared" si="366"/>
        <v>0</v>
      </c>
      <c r="K2330" t="str">
        <f xml:space="preserve"> B2325 &amp; B2330</f>
        <v>Z000185042Z040201006</v>
      </c>
    </row>
    <row r="2331" spans="1:11" outlineLevel="1" x14ac:dyDescent="0.2">
      <c r="A2331" s="29"/>
      <c r="B2331" s="30" t="s">
        <v>801</v>
      </c>
      <c r="C2331" s="30" t="s">
        <v>402</v>
      </c>
      <c r="D2331" s="34" t="s">
        <v>151</v>
      </c>
      <c r="E2331" s="31">
        <v>0</v>
      </c>
      <c r="F2331" s="31">
        <v>10.3</v>
      </c>
      <c r="G2331" s="32">
        <f t="shared" si="372"/>
        <v>0</v>
      </c>
      <c r="H2331" s="33">
        <f t="shared" si="366"/>
        <v>0</v>
      </c>
      <c r="K2331" t="str">
        <f xml:space="preserve"> B2325 &amp; B2331</f>
        <v>Z000185042Z040202006</v>
      </c>
    </row>
    <row r="2332" spans="1:11" outlineLevel="1" x14ac:dyDescent="0.2">
      <c r="A2332" s="29"/>
      <c r="B2332" s="30" t="s">
        <v>1978</v>
      </c>
      <c r="C2332" s="30" t="s">
        <v>4112</v>
      </c>
      <c r="D2332" s="34" t="s">
        <v>1781</v>
      </c>
      <c r="E2332" s="31">
        <v>8</v>
      </c>
      <c r="F2332" s="31">
        <v>110</v>
      </c>
      <c r="G2332" s="32">
        <f t="shared" si="372"/>
        <v>880</v>
      </c>
      <c r="H2332" s="33">
        <f t="shared" si="366"/>
        <v>4.5628447881138294E-6</v>
      </c>
      <c r="K2332" t="str">
        <f xml:space="preserve"> B2325 &amp; B2332</f>
        <v>Z000185042Z040310041</v>
      </c>
    </row>
    <row r="2333" spans="1:11" outlineLevel="1" x14ac:dyDescent="0.2">
      <c r="A2333" s="29"/>
      <c r="B2333" s="30" t="s">
        <v>498</v>
      </c>
      <c r="C2333" s="30" t="s">
        <v>773</v>
      </c>
      <c r="D2333" s="34" t="s">
        <v>84</v>
      </c>
      <c r="E2333" s="31">
        <v>9.6</v>
      </c>
      <c r="F2333" s="31">
        <v>0</v>
      </c>
      <c r="G2333" s="32">
        <f t="shared" si="372"/>
        <v>0</v>
      </c>
      <c r="H2333" s="33">
        <f t="shared" si="366"/>
        <v>0</v>
      </c>
      <c r="K2333" t="str">
        <f xml:space="preserve"> B2325 &amp; B2333</f>
        <v>Z000185042Z040401001</v>
      </c>
    </row>
    <row r="2334" spans="1:11" outlineLevel="1" x14ac:dyDescent="0.2">
      <c r="A2334" s="11" t="s">
        <v>200</v>
      </c>
      <c r="B2334" s="11" t="s">
        <v>506</v>
      </c>
      <c r="C2334" s="11" t="s">
        <v>4145</v>
      </c>
      <c r="D2334" s="12" t="s">
        <v>1781</v>
      </c>
      <c r="E2334" s="13">
        <v>6</v>
      </c>
      <c r="F2334" s="14">
        <v>1784.7060000000001</v>
      </c>
      <c r="G2334" s="15">
        <f>SUM(G2335:G2342)</f>
        <v>10708.236000000001</v>
      </c>
      <c r="H2334" s="16">
        <f t="shared" si="366"/>
        <v>5.552274866192373E-5</v>
      </c>
    </row>
    <row r="2335" spans="1:11" outlineLevel="1" x14ac:dyDescent="0.2">
      <c r="A2335" s="29"/>
      <c r="B2335" s="30" t="s">
        <v>1548</v>
      </c>
      <c r="C2335" s="30" t="s">
        <v>4151</v>
      </c>
      <c r="D2335" s="34" t="s">
        <v>1781</v>
      </c>
      <c r="E2335" s="31">
        <v>6</v>
      </c>
      <c r="F2335" s="31">
        <v>1386.16</v>
      </c>
      <c r="G2335" s="32">
        <f t="shared" ref="G2335:G2342" si="373">F2335*E2335</f>
        <v>8316.9600000000009</v>
      </c>
      <c r="H2335" s="33">
        <f t="shared" si="366"/>
        <v>4.312386089653545E-5</v>
      </c>
      <c r="K2335" t="str">
        <f xml:space="preserve"> B2334 &amp; B2335</f>
        <v>Z000185043Z020607049</v>
      </c>
    </row>
    <row r="2336" spans="1:11" outlineLevel="1" x14ac:dyDescent="0.2">
      <c r="A2336" s="29"/>
      <c r="B2336" s="30" t="s">
        <v>1139</v>
      </c>
      <c r="C2336" s="30" t="s">
        <v>276</v>
      </c>
      <c r="D2336" s="34" t="s">
        <v>1781</v>
      </c>
      <c r="E2336" s="31">
        <v>24</v>
      </c>
      <c r="F2336" s="31">
        <v>15.07</v>
      </c>
      <c r="G2336" s="32">
        <f t="shared" si="373"/>
        <v>361.68</v>
      </c>
      <c r="H2336" s="33">
        <f t="shared" si="366"/>
        <v>1.8753292079147838E-6</v>
      </c>
      <c r="K2336" t="str">
        <f xml:space="preserve"> B2334 &amp; B2336</f>
        <v>Z000185043Z020608001</v>
      </c>
    </row>
    <row r="2337" spans="1:11" outlineLevel="1" x14ac:dyDescent="0.2">
      <c r="A2337" s="29"/>
      <c r="B2337" s="30" t="s">
        <v>1144</v>
      </c>
      <c r="C2337" s="30" t="s">
        <v>1325</v>
      </c>
      <c r="D2337" s="34" t="s">
        <v>1781</v>
      </c>
      <c r="E2337" s="31">
        <v>6</v>
      </c>
      <c r="F2337" s="31">
        <v>184.11</v>
      </c>
      <c r="G2337" s="32">
        <f t="shared" si="373"/>
        <v>1104.6600000000001</v>
      </c>
      <c r="H2337" s="33">
        <f t="shared" si="366"/>
        <v>5.7277183223157082E-6</v>
      </c>
      <c r="K2337" t="str">
        <f xml:space="preserve"> B2334 &amp; B2337</f>
        <v>Z000185043Z020608003</v>
      </c>
    </row>
    <row r="2338" spans="1:11" outlineLevel="1" x14ac:dyDescent="0.2">
      <c r="A2338" s="29"/>
      <c r="B2338" s="30" t="s">
        <v>311</v>
      </c>
      <c r="C2338" s="30" t="s">
        <v>1441</v>
      </c>
      <c r="D2338" s="34" t="s">
        <v>1781</v>
      </c>
      <c r="E2338" s="31">
        <v>6.9719999999999995</v>
      </c>
      <c r="F2338" s="31">
        <v>38</v>
      </c>
      <c r="G2338" s="32">
        <f t="shared" si="373"/>
        <v>264.93599999999998</v>
      </c>
      <c r="H2338" s="33">
        <f t="shared" si="366"/>
        <v>1.3737066440724152E-6</v>
      </c>
      <c r="K2338" t="str">
        <f xml:space="preserve"> B2334 &amp; B2338</f>
        <v>Z000185043Z030206001</v>
      </c>
    </row>
    <row r="2339" spans="1:11" outlineLevel="1" x14ac:dyDescent="0.2">
      <c r="A2339" s="29"/>
      <c r="B2339" s="30" t="s">
        <v>945</v>
      </c>
      <c r="C2339" s="30" t="s">
        <v>267</v>
      </c>
      <c r="D2339" s="34" t="s">
        <v>151</v>
      </c>
      <c r="E2339" s="31">
        <v>0</v>
      </c>
      <c r="F2339" s="31">
        <v>39</v>
      </c>
      <c r="G2339" s="32">
        <f t="shared" si="373"/>
        <v>0</v>
      </c>
      <c r="H2339" s="33">
        <f t="shared" ref="H2339:H2402" si="374">G2339/$F$2</f>
        <v>0</v>
      </c>
      <c r="K2339" t="str">
        <f xml:space="preserve"> B2334 &amp; B2339</f>
        <v>Z000185043Z040201006</v>
      </c>
    </row>
    <row r="2340" spans="1:11" outlineLevel="1" x14ac:dyDescent="0.2">
      <c r="A2340" s="29"/>
      <c r="B2340" s="30" t="s">
        <v>801</v>
      </c>
      <c r="C2340" s="30" t="s">
        <v>402</v>
      </c>
      <c r="D2340" s="34" t="s">
        <v>151</v>
      </c>
      <c r="E2340" s="31">
        <v>0</v>
      </c>
      <c r="F2340" s="31">
        <v>10.3</v>
      </c>
      <c r="G2340" s="32">
        <f t="shared" si="373"/>
        <v>0</v>
      </c>
      <c r="H2340" s="33">
        <f t="shared" si="374"/>
        <v>0</v>
      </c>
      <c r="K2340" t="str">
        <f xml:space="preserve"> B2334 &amp; B2340</f>
        <v>Z000185043Z040202006</v>
      </c>
    </row>
    <row r="2341" spans="1:11" outlineLevel="1" x14ac:dyDescent="0.2">
      <c r="A2341" s="29"/>
      <c r="B2341" s="30" t="s">
        <v>1978</v>
      </c>
      <c r="C2341" s="30" t="s">
        <v>4112</v>
      </c>
      <c r="D2341" s="34" t="s">
        <v>1781</v>
      </c>
      <c r="E2341" s="31">
        <v>6</v>
      </c>
      <c r="F2341" s="31">
        <v>110</v>
      </c>
      <c r="G2341" s="32">
        <f t="shared" si="373"/>
        <v>660</v>
      </c>
      <c r="H2341" s="33">
        <f t="shared" si="374"/>
        <v>3.4221335910853718E-6</v>
      </c>
      <c r="K2341" t="str">
        <f xml:space="preserve"> B2334 &amp; B2341</f>
        <v>Z000185043Z040310041</v>
      </c>
    </row>
    <row r="2342" spans="1:11" outlineLevel="1" x14ac:dyDescent="0.2">
      <c r="A2342" s="29"/>
      <c r="B2342" s="30" t="s">
        <v>498</v>
      </c>
      <c r="C2342" s="30" t="s">
        <v>773</v>
      </c>
      <c r="D2342" s="34" t="s">
        <v>84</v>
      </c>
      <c r="E2342" s="31">
        <v>7.1999999999999993</v>
      </c>
      <c r="F2342" s="31">
        <v>0</v>
      </c>
      <c r="G2342" s="32">
        <f t="shared" si="373"/>
        <v>0</v>
      </c>
      <c r="H2342" s="33">
        <f t="shared" si="374"/>
        <v>0</v>
      </c>
      <c r="K2342" t="str">
        <f xml:space="preserve"> B2334 &amp; B2342</f>
        <v>Z000185043Z040401001</v>
      </c>
    </row>
    <row r="2343" spans="1:11" outlineLevel="1" x14ac:dyDescent="0.2">
      <c r="A2343" s="11" t="s">
        <v>204</v>
      </c>
      <c r="B2343" s="11" t="s">
        <v>508</v>
      </c>
      <c r="C2343" s="11" t="s">
        <v>4155</v>
      </c>
      <c r="D2343" s="12" t="s">
        <v>1781</v>
      </c>
      <c r="E2343" s="13">
        <v>1</v>
      </c>
      <c r="F2343" s="14">
        <v>1835.116</v>
      </c>
      <c r="G2343" s="15">
        <f>SUM(G2344:G2351)</f>
        <v>1835.116</v>
      </c>
      <c r="H2343" s="16">
        <f t="shared" si="374"/>
        <v>9.5151698593003376E-6</v>
      </c>
    </row>
    <row r="2344" spans="1:11" outlineLevel="1" x14ac:dyDescent="0.2">
      <c r="A2344" s="29"/>
      <c r="B2344" s="30" t="s">
        <v>1620</v>
      </c>
      <c r="C2344" s="30" t="s">
        <v>4157</v>
      </c>
      <c r="D2344" s="34" t="s">
        <v>1781</v>
      </c>
      <c r="E2344" s="31">
        <v>1</v>
      </c>
      <c r="F2344" s="31">
        <v>1436.57</v>
      </c>
      <c r="G2344" s="32">
        <f t="shared" ref="G2344:G2351" si="375">F2344*E2344</f>
        <v>1436.57</v>
      </c>
      <c r="H2344" s="33">
        <f t="shared" si="374"/>
        <v>7.4486885650689581E-6</v>
      </c>
      <c r="K2344" t="str">
        <f xml:space="preserve"> B2343 &amp; B2344</f>
        <v>Z000185044Z020607050</v>
      </c>
    </row>
    <row r="2345" spans="1:11" outlineLevel="1" x14ac:dyDescent="0.2">
      <c r="A2345" s="29"/>
      <c r="B2345" s="30" t="s">
        <v>1139</v>
      </c>
      <c r="C2345" s="30" t="s">
        <v>276</v>
      </c>
      <c r="D2345" s="34" t="s">
        <v>1781</v>
      </c>
      <c r="E2345" s="31">
        <v>4</v>
      </c>
      <c r="F2345" s="31">
        <v>15.07</v>
      </c>
      <c r="G2345" s="32">
        <f t="shared" si="375"/>
        <v>60.28</v>
      </c>
      <c r="H2345" s="33">
        <f t="shared" si="374"/>
        <v>3.1255486798579733E-7</v>
      </c>
      <c r="K2345" t="str">
        <f xml:space="preserve"> B2343 &amp; B2345</f>
        <v>Z000185044Z020608001</v>
      </c>
    </row>
    <row r="2346" spans="1:11" outlineLevel="1" x14ac:dyDescent="0.2">
      <c r="A2346" s="29"/>
      <c r="B2346" s="30" t="s">
        <v>1144</v>
      </c>
      <c r="C2346" s="30" t="s">
        <v>1325</v>
      </c>
      <c r="D2346" s="34" t="s">
        <v>1781</v>
      </c>
      <c r="E2346" s="31">
        <v>1</v>
      </c>
      <c r="F2346" s="31">
        <v>184.11</v>
      </c>
      <c r="G2346" s="32">
        <f t="shared" si="375"/>
        <v>184.11</v>
      </c>
      <c r="H2346" s="33">
        <f t="shared" si="374"/>
        <v>9.546197203859513E-7</v>
      </c>
      <c r="K2346" t="str">
        <f xml:space="preserve"> B2343 &amp; B2346</f>
        <v>Z000185044Z020608003</v>
      </c>
    </row>
    <row r="2347" spans="1:11" outlineLevel="1" x14ac:dyDescent="0.2">
      <c r="A2347" s="29"/>
      <c r="B2347" s="30" t="s">
        <v>311</v>
      </c>
      <c r="C2347" s="30" t="s">
        <v>1441</v>
      </c>
      <c r="D2347" s="34" t="s">
        <v>1781</v>
      </c>
      <c r="E2347" s="31">
        <v>1.1619999999999999</v>
      </c>
      <c r="F2347" s="31">
        <v>38</v>
      </c>
      <c r="G2347" s="32">
        <f t="shared" si="375"/>
        <v>44.155999999999999</v>
      </c>
      <c r="H2347" s="33">
        <f t="shared" si="374"/>
        <v>2.2895110734540253E-7</v>
      </c>
      <c r="K2347" t="str">
        <f xml:space="preserve"> B2343 &amp; B2347</f>
        <v>Z000185044Z030206001</v>
      </c>
    </row>
    <row r="2348" spans="1:11" outlineLevel="1" x14ac:dyDescent="0.2">
      <c r="A2348" s="29"/>
      <c r="B2348" s="30" t="s">
        <v>945</v>
      </c>
      <c r="C2348" s="30" t="s">
        <v>267</v>
      </c>
      <c r="D2348" s="34" t="s">
        <v>151</v>
      </c>
      <c r="E2348" s="31">
        <v>0</v>
      </c>
      <c r="F2348" s="31">
        <v>39</v>
      </c>
      <c r="G2348" s="32">
        <f t="shared" si="375"/>
        <v>0</v>
      </c>
      <c r="H2348" s="33">
        <f t="shared" si="374"/>
        <v>0</v>
      </c>
      <c r="K2348" t="str">
        <f xml:space="preserve"> B2343 &amp; B2348</f>
        <v>Z000185044Z040201006</v>
      </c>
    </row>
    <row r="2349" spans="1:11" outlineLevel="1" x14ac:dyDescent="0.2">
      <c r="A2349" s="29"/>
      <c r="B2349" s="30" t="s">
        <v>801</v>
      </c>
      <c r="C2349" s="30" t="s">
        <v>402</v>
      </c>
      <c r="D2349" s="34" t="s">
        <v>151</v>
      </c>
      <c r="E2349" s="31">
        <v>0</v>
      </c>
      <c r="F2349" s="31">
        <v>10.3</v>
      </c>
      <c r="G2349" s="32">
        <f t="shared" si="375"/>
        <v>0</v>
      </c>
      <c r="H2349" s="33">
        <f t="shared" si="374"/>
        <v>0</v>
      </c>
      <c r="K2349" t="str">
        <f xml:space="preserve"> B2343 &amp; B2349</f>
        <v>Z000185044Z040202006</v>
      </c>
    </row>
    <row r="2350" spans="1:11" outlineLevel="1" x14ac:dyDescent="0.2">
      <c r="A2350" s="29"/>
      <c r="B2350" s="30" t="s">
        <v>1978</v>
      </c>
      <c r="C2350" s="30" t="s">
        <v>4112</v>
      </c>
      <c r="D2350" s="34" t="s">
        <v>1781</v>
      </c>
      <c r="E2350" s="31">
        <v>1</v>
      </c>
      <c r="F2350" s="31">
        <v>110</v>
      </c>
      <c r="G2350" s="32">
        <f t="shared" si="375"/>
        <v>110</v>
      </c>
      <c r="H2350" s="33">
        <f t="shared" si="374"/>
        <v>5.7035559851422867E-7</v>
      </c>
      <c r="K2350" t="str">
        <f xml:space="preserve"> B2343 &amp; B2350</f>
        <v>Z000185044Z040310041</v>
      </c>
    </row>
    <row r="2351" spans="1:11" outlineLevel="1" x14ac:dyDescent="0.2">
      <c r="A2351" s="29"/>
      <c r="B2351" s="30" t="s">
        <v>498</v>
      </c>
      <c r="C2351" s="30" t="s">
        <v>773</v>
      </c>
      <c r="D2351" s="34" t="s">
        <v>84</v>
      </c>
      <c r="E2351" s="31">
        <v>1.2</v>
      </c>
      <c r="F2351" s="31">
        <v>0</v>
      </c>
      <c r="G2351" s="32">
        <f t="shared" si="375"/>
        <v>0</v>
      </c>
      <c r="H2351" s="33">
        <f t="shared" si="374"/>
        <v>0</v>
      </c>
      <c r="K2351" t="str">
        <f xml:space="preserve"> B2343 &amp; B2351</f>
        <v>Z000185044Z040401001</v>
      </c>
    </row>
    <row r="2352" spans="1:11" outlineLevel="1" x14ac:dyDescent="0.2">
      <c r="A2352" s="11" t="s">
        <v>209</v>
      </c>
      <c r="B2352" s="11" t="s">
        <v>511</v>
      </c>
      <c r="C2352" s="11" t="s">
        <v>4166</v>
      </c>
      <c r="D2352" s="12" t="s">
        <v>1781</v>
      </c>
      <c r="E2352" s="13">
        <v>7</v>
      </c>
      <c r="F2352" s="14">
        <v>1860.316</v>
      </c>
      <c r="G2352" s="15">
        <f>SUM(G2353:G2360)</f>
        <v>13022.212</v>
      </c>
      <c r="H2352" s="16">
        <f t="shared" si="374"/>
        <v>6.7520831993083359E-5</v>
      </c>
    </row>
    <row r="2353" spans="1:11" outlineLevel="1" x14ac:dyDescent="0.2">
      <c r="A2353" s="29"/>
      <c r="B2353" s="30" t="s">
        <v>1621</v>
      </c>
      <c r="C2353" s="30" t="s">
        <v>4164</v>
      </c>
      <c r="D2353" s="34" t="s">
        <v>1781</v>
      </c>
      <c r="E2353" s="31">
        <v>7</v>
      </c>
      <c r="F2353" s="31">
        <v>1461.77</v>
      </c>
      <c r="G2353" s="32">
        <f t="shared" ref="G2353:G2360" si="376">F2353*E2353</f>
        <v>10232.39</v>
      </c>
      <c r="H2353" s="33">
        <f t="shared" si="374"/>
        <v>5.3055462933463705E-5</v>
      </c>
      <c r="K2353" t="str">
        <f xml:space="preserve"> B2352 &amp; B2353</f>
        <v>Z000185045Z020607051</v>
      </c>
    </row>
    <row r="2354" spans="1:11" outlineLevel="1" x14ac:dyDescent="0.2">
      <c r="A2354" s="29"/>
      <c r="B2354" s="30" t="s">
        <v>1139</v>
      </c>
      <c r="C2354" s="30" t="s">
        <v>276</v>
      </c>
      <c r="D2354" s="34" t="s">
        <v>1781</v>
      </c>
      <c r="E2354" s="31">
        <v>28</v>
      </c>
      <c r="F2354" s="31">
        <v>15.07</v>
      </c>
      <c r="G2354" s="32">
        <f t="shared" si="376"/>
        <v>421.96000000000004</v>
      </c>
      <c r="H2354" s="33">
        <f t="shared" si="374"/>
        <v>2.1878840759005813E-6</v>
      </c>
      <c r="K2354" t="str">
        <f xml:space="preserve"> B2352 &amp; B2354</f>
        <v>Z000185045Z020608001</v>
      </c>
    </row>
    <row r="2355" spans="1:11" outlineLevel="1" x14ac:dyDescent="0.2">
      <c r="A2355" s="29"/>
      <c r="B2355" s="30" t="s">
        <v>1144</v>
      </c>
      <c r="C2355" s="30" t="s">
        <v>1325</v>
      </c>
      <c r="D2355" s="34" t="s">
        <v>1781</v>
      </c>
      <c r="E2355" s="31">
        <v>7</v>
      </c>
      <c r="F2355" s="31">
        <v>184.11</v>
      </c>
      <c r="G2355" s="32">
        <f t="shared" si="376"/>
        <v>1288.77</v>
      </c>
      <c r="H2355" s="33">
        <f t="shared" si="374"/>
        <v>6.6823380427016585E-6</v>
      </c>
      <c r="K2355" t="str">
        <f xml:space="preserve"> B2352 &amp; B2355</f>
        <v>Z000185045Z020608003</v>
      </c>
    </row>
    <row r="2356" spans="1:11" outlineLevel="1" x14ac:dyDescent="0.2">
      <c r="A2356" s="29"/>
      <c r="B2356" s="30" t="s">
        <v>311</v>
      </c>
      <c r="C2356" s="30" t="s">
        <v>1441</v>
      </c>
      <c r="D2356" s="34" t="s">
        <v>1781</v>
      </c>
      <c r="E2356" s="31">
        <v>8.1340000000000003</v>
      </c>
      <c r="F2356" s="31">
        <v>38</v>
      </c>
      <c r="G2356" s="32">
        <f t="shared" si="376"/>
        <v>309.09199999999998</v>
      </c>
      <c r="H2356" s="33">
        <f t="shared" si="374"/>
        <v>1.6026577514178177E-6</v>
      </c>
      <c r="K2356" t="str">
        <f xml:space="preserve"> B2352 &amp; B2356</f>
        <v>Z000185045Z030206001</v>
      </c>
    </row>
    <row r="2357" spans="1:11" outlineLevel="1" x14ac:dyDescent="0.2">
      <c r="A2357" s="29"/>
      <c r="B2357" s="30" t="s">
        <v>945</v>
      </c>
      <c r="C2357" s="30" t="s">
        <v>267</v>
      </c>
      <c r="D2357" s="34" t="s">
        <v>151</v>
      </c>
      <c r="E2357" s="31">
        <v>0</v>
      </c>
      <c r="F2357" s="31">
        <v>39</v>
      </c>
      <c r="G2357" s="32">
        <f t="shared" si="376"/>
        <v>0</v>
      </c>
      <c r="H2357" s="33">
        <f t="shared" si="374"/>
        <v>0</v>
      </c>
      <c r="K2357" t="str">
        <f xml:space="preserve"> B2352 &amp; B2357</f>
        <v>Z000185045Z040201006</v>
      </c>
    </row>
    <row r="2358" spans="1:11" outlineLevel="1" x14ac:dyDescent="0.2">
      <c r="A2358" s="29"/>
      <c r="B2358" s="30" t="s">
        <v>801</v>
      </c>
      <c r="C2358" s="30" t="s">
        <v>402</v>
      </c>
      <c r="D2358" s="34" t="s">
        <v>151</v>
      </c>
      <c r="E2358" s="31">
        <v>0</v>
      </c>
      <c r="F2358" s="31">
        <v>10.3</v>
      </c>
      <c r="G2358" s="32">
        <f t="shared" si="376"/>
        <v>0</v>
      </c>
      <c r="H2358" s="33">
        <f t="shared" si="374"/>
        <v>0</v>
      </c>
      <c r="K2358" t="str">
        <f xml:space="preserve"> B2352 &amp; B2358</f>
        <v>Z000185045Z040202006</v>
      </c>
    </row>
    <row r="2359" spans="1:11" outlineLevel="1" x14ac:dyDescent="0.2">
      <c r="A2359" s="29"/>
      <c r="B2359" s="30" t="s">
        <v>1978</v>
      </c>
      <c r="C2359" s="30" t="s">
        <v>4112</v>
      </c>
      <c r="D2359" s="34" t="s">
        <v>1781</v>
      </c>
      <c r="E2359" s="31">
        <v>7</v>
      </c>
      <c r="F2359" s="31">
        <v>110</v>
      </c>
      <c r="G2359" s="32">
        <f t="shared" si="376"/>
        <v>770</v>
      </c>
      <c r="H2359" s="33">
        <f t="shared" si="374"/>
        <v>3.9924891895996002E-6</v>
      </c>
      <c r="K2359" t="str">
        <f xml:space="preserve"> B2352 &amp; B2359</f>
        <v>Z000185045Z040310041</v>
      </c>
    </row>
    <row r="2360" spans="1:11" outlineLevel="1" x14ac:dyDescent="0.2">
      <c r="A2360" s="29"/>
      <c r="B2360" s="30" t="s">
        <v>498</v>
      </c>
      <c r="C2360" s="30" t="s">
        <v>773</v>
      </c>
      <c r="D2360" s="34" t="s">
        <v>84</v>
      </c>
      <c r="E2360" s="31">
        <v>8.4</v>
      </c>
      <c r="F2360" s="31">
        <v>0</v>
      </c>
      <c r="G2360" s="32">
        <f t="shared" si="376"/>
        <v>0</v>
      </c>
      <c r="H2360" s="33">
        <f t="shared" si="374"/>
        <v>0</v>
      </c>
      <c r="K2360" t="str">
        <f xml:space="preserve"> B2352 &amp; B2360</f>
        <v>Z000185045Z040401001</v>
      </c>
    </row>
    <row r="2361" spans="1:11" outlineLevel="1" x14ac:dyDescent="0.2">
      <c r="A2361" s="11" t="s">
        <v>214</v>
      </c>
      <c r="B2361" s="11" t="s">
        <v>296</v>
      </c>
      <c r="C2361" s="11" t="s">
        <v>4116</v>
      </c>
      <c r="D2361" s="12" t="s">
        <v>1781</v>
      </c>
      <c r="E2361" s="13">
        <v>25</v>
      </c>
      <c r="F2361" s="14">
        <v>1227.9560000000001</v>
      </c>
      <c r="G2361" s="15">
        <f>SUM(G2362:G2368)</f>
        <v>30698.9</v>
      </c>
      <c r="H2361" s="16">
        <f t="shared" si="374"/>
        <v>1.591753589384405E-4</v>
      </c>
    </row>
    <row r="2362" spans="1:11" outlineLevel="1" x14ac:dyDescent="0.2">
      <c r="A2362" s="29"/>
      <c r="B2362" s="30" t="s">
        <v>1279</v>
      </c>
      <c r="C2362" s="30" t="s">
        <v>4122</v>
      </c>
      <c r="D2362" s="34" t="s">
        <v>1781</v>
      </c>
      <c r="E2362" s="31">
        <v>25</v>
      </c>
      <c r="F2362" s="31">
        <v>1028.56</v>
      </c>
      <c r="G2362" s="32">
        <f t="shared" ref="G2362:G2368" si="377">F2362*E2362</f>
        <v>25714</v>
      </c>
      <c r="H2362" s="33">
        <f t="shared" si="374"/>
        <v>1.3332839872904432E-4</v>
      </c>
      <c r="K2362" t="str">
        <f xml:space="preserve"> B2361 &amp; B2362</f>
        <v>Z000185007Z020607004</v>
      </c>
    </row>
    <row r="2363" spans="1:11" outlineLevel="1" x14ac:dyDescent="0.2">
      <c r="A2363" s="29"/>
      <c r="B2363" s="30" t="s">
        <v>1143</v>
      </c>
      <c r="C2363" s="30" t="s">
        <v>1740</v>
      </c>
      <c r="D2363" s="34" t="s">
        <v>1781</v>
      </c>
      <c r="E2363" s="31">
        <v>75</v>
      </c>
      <c r="F2363" s="31">
        <v>15.08</v>
      </c>
      <c r="G2363" s="32">
        <f t="shared" si="377"/>
        <v>1131</v>
      </c>
      <c r="H2363" s="33">
        <f t="shared" si="374"/>
        <v>5.8642925629053874E-6</v>
      </c>
      <c r="K2363" t="str">
        <f xml:space="preserve"> B2361 &amp; B2363</f>
        <v>Z000185007Z020608002</v>
      </c>
    </row>
    <row r="2364" spans="1:11" outlineLevel="1" x14ac:dyDescent="0.2">
      <c r="A2364" s="29"/>
      <c r="B2364" s="30" t="s">
        <v>311</v>
      </c>
      <c r="C2364" s="30" t="s">
        <v>1441</v>
      </c>
      <c r="D2364" s="34" t="s">
        <v>1781</v>
      </c>
      <c r="E2364" s="31">
        <v>29.049999999999997</v>
      </c>
      <c r="F2364" s="31">
        <v>38</v>
      </c>
      <c r="G2364" s="32">
        <f t="shared" si="377"/>
        <v>1103.8999999999999</v>
      </c>
      <c r="H2364" s="33">
        <f t="shared" si="374"/>
        <v>5.7237776836350627E-6</v>
      </c>
      <c r="K2364" t="str">
        <f xml:space="preserve"> B2361 &amp; B2364</f>
        <v>Z000185007Z030206001</v>
      </c>
    </row>
    <row r="2365" spans="1:11" outlineLevel="1" x14ac:dyDescent="0.2">
      <c r="A2365" s="29"/>
      <c r="B2365" s="30" t="s">
        <v>945</v>
      </c>
      <c r="C2365" s="30" t="s">
        <v>267</v>
      </c>
      <c r="D2365" s="34" t="s">
        <v>151</v>
      </c>
      <c r="E2365" s="31">
        <v>0</v>
      </c>
      <c r="F2365" s="31">
        <v>39</v>
      </c>
      <c r="G2365" s="32">
        <f t="shared" si="377"/>
        <v>0</v>
      </c>
      <c r="H2365" s="33">
        <f t="shared" si="374"/>
        <v>0</v>
      </c>
      <c r="K2365" t="str">
        <f xml:space="preserve"> B2361 &amp; B2365</f>
        <v>Z000185007Z040201006</v>
      </c>
    </row>
    <row r="2366" spans="1:11" outlineLevel="1" x14ac:dyDescent="0.2">
      <c r="A2366" s="29"/>
      <c r="B2366" s="30" t="s">
        <v>801</v>
      </c>
      <c r="C2366" s="30" t="s">
        <v>402</v>
      </c>
      <c r="D2366" s="34" t="s">
        <v>151</v>
      </c>
      <c r="E2366" s="31">
        <v>0</v>
      </c>
      <c r="F2366" s="31">
        <v>10.3</v>
      </c>
      <c r="G2366" s="32">
        <f t="shared" si="377"/>
        <v>0</v>
      </c>
      <c r="H2366" s="33">
        <f t="shared" si="374"/>
        <v>0</v>
      </c>
      <c r="K2366" t="str">
        <f xml:space="preserve"> B2361 &amp; B2366</f>
        <v>Z000185007Z040202006</v>
      </c>
    </row>
    <row r="2367" spans="1:11" outlineLevel="1" x14ac:dyDescent="0.2">
      <c r="A2367" s="29"/>
      <c r="B2367" s="30" t="s">
        <v>1978</v>
      </c>
      <c r="C2367" s="30" t="s">
        <v>4112</v>
      </c>
      <c r="D2367" s="34" t="s">
        <v>1781</v>
      </c>
      <c r="E2367" s="31">
        <v>25</v>
      </c>
      <c r="F2367" s="31">
        <v>110</v>
      </c>
      <c r="G2367" s="32">
        <f t="shared" si="377"/>
        <v>2750</v>
      </c>
      <c r="H2367" s="33">
        <f t="shared" si="374"/>
        <v>1.4258889962855716E-5</v>
      </c>
      <c r="K2367" t="str">
        <f xml:space="preserve"> B2361 &amp; B2367</f>
        <v>Z000185007Z040310041</v>
      </c>
    </row>
    <row r="2368" spans="1:11" outlineLevel="1" x14ac:dyDescent="0.2">
      <c r="A2368" s="29"/>
      <c r="B2368" s="30" t="s">
        <v>498</v>
      </c>
      <c r="C2368" s="30" t="s">
        <v>773</v>
      </c>
      <c r="D2368" s="34" t="s">
        <v>84</v>
      </c>
      <c r="E2368" s="31">
        <v>30</v>
      </c>
      <c r="F2368" s="31">
        <v>0</v>
      </c>
      <c r="G2368" s="32">
        <f t="shared" si="377"/>
        <v>0</v>
      </c>
      <c r="H2368" s="33">
        <f t="shared" si="374"/>
        <v>0</v>
      </c>
      <c r="K2368" t="str">
        <f xml:space="preserve"> B2361 &amp; B2368</f>
        <v>Z000185007Z040401001</v>
      </c>
    </row>
    <row r="2369" spans="1:11" outlineLevel="1" x14ac:dyDescent="0.2">
      <c r="A2369" s="11" t="s">
        <v>219</v>
      </c>
      <c r="B2369" s="11" t="s">
        <v>301</v>
      </c>
      <c r="C2369" s="11" t="s">
        <v>4126</v>
      </c>
      <c r="D2369" s="12" t="s">
        <v>1781</v>
      </c>
      <c r="E2369" s="13">
        <v>3</v>
      </c>
      <c r="F2369" s="14">
        <v>1623.0159999999998</v>
      </c>
      <c r="G2369" s="15">
        <f>SUM(G2370:G2377)</f>
        <v>4869.0479999999998</v>
      </c>
      <c r="H2369" s="16">
        <f t="shared" si="374"/>
        <v>2.5246261693040981E-5</v>
      </c>
    </row>
    <row r="2370" spans="1:11" outlineLevel="1" x14ac:dyDescent="0.2">
      <c r="A2370" s="29"/>
      <c r="B2370" s="30" t="s">
        <v>1343</v>
      </c>
      <c r="C2370" s="30" t="s">
        <v>4124</v>
      </c>
      <c r="D2370" s="34" t="s">
        <v>1781</v>
      </c>
      <c r="E2370" s="31">
        <v>3</v>
      </c>
      <c r="F2370" s="31">
        <v>1224.47</v>
      </c>
      <c r="G2370" s="32">
        <f t="shared" ref="G2370:G2377" si="378">F2370*E2370</f>
        <v>3673.41</v>
      </c>
      <c r="H2370" s="33">
        <f t="shared" si="374"/>
        <v>1.9046817810346841E-5</v>
      </c>
      <c r="K2370" t="str">
        <f xml:space="preserve"> B2369 &amp; B2370</f>
        <v>Z000185009Z020607017</v>
      </c>
    </row>
    <row r="2371" spans="1:11" outlineLevel="1" x14ac:dyDescent="0.2">
      <c r="A2371" s="29"/>
      <c r="B2371" s="30" t="s">
        <v>1139</v>
      </c>
      <c r="C2371" s="30" t="s">
        <v>276</v>
      </c>
      <c r="D2371" s="34" t="s">
        <v>1781</v>
      </c>
      <c r="E2371" s="31">
        <v>12</v>
      </c>
      <c r="F2371" s="31">
        <v>15.07</v>
      </c>
      <c r="G2371" s="32">
        <f t="shared" si="378"/>
        <v>180.84</v>
      </c>
      <c r="H2371" s="33">
        <f t="shared" si="374"/>
        <v>9.3766460395739188E-7</v>
      </c>
      <c r="K2371" t="str">
        <f xml:space="preserve"> B2369 &amp; B2371</f>
        <v>Z000185009Z020608001</v>
      </c>
    </row>
    <row r="2372" spans="1:11" outlineLevel="1" x14ac:dyDescent="0.2">
      <c r="A2372" s="29"/>
      <c r="B2372" s="30" t="s">
        <v>1144</v>
      </c>
      <c r="C2372" s="30" t="s">
        <v>1325</v>
      </c>
      <c r="D2372" s="34" t="s">
        <v>1781</v>
      </c>
      <c r="E2372" s="31">
        <v>3</v>
      </c>
      <c r="F2372" s="31">
        <v>184.11</v>
      </c>
      <c r="G2372" s="32">
        <f t="shared" si="378"/>
        <v>552.33000000000004</v>
      </c>
      <c r="H2372" s="33">
        <f t="shared" si="374"/>
        <v>2.8638591611578541E-6</v>
      </c>
      <c r="K2372" t="str">
        <f xml:space="preserve"> B2369 &amp; B2372</f>
        <v>Z000185009Z020608003</v>
      </c>
    </row>
    <row r="2373" spans="1:11" outlineLevel="1" x14ac:dyDescent="0.2">
      <c r="A2373" s="29"/>
      <c r="B2373" s="30" t="s">
        <v>311</v>
      </c>
      <c r="C2373" s="30" t="s">
        <v>1441</v>
      </c>
      <c r="D2373" s="34" t="s">
        <v>1781</v>
      </c>
      <c r="E2373" s="31">
        <v>3.4859999999999998</v>
      </c>
      <c r="F2373" s="31">
        <v>38</v>
      </c>
      <c r="G2373" s="32">
        <f t="shared" si="378"/>
        <v>132.46799999999999</v>
      </c>
      <c r="H2373" s="33">
        <f t="shared" si="374"/>
        <v>6.8685332203620761E-7</v>
      </c>
      <c r="K2373" t="str">
        <f xml:space="preserve"> B2369 &amp; B2373</f>
        <v>Z000185009Z030206001</v>
      </c>
    </row>
    <row r="2374" spans="1:11" outlineLevel="1" x14ac:dyDescent="0.2">
      <c r="A2374" s="29"/>
      <c r="B2374" s="30" t="s">
        <v>945</v>
      </c>
      <c r="C2374" s="30" t="s">
        <v>267</v>
      </c>
      <c r="D2374" s="34" t="s">
        <v>151</v>
      </c>
      <c r="E2374" s="31">
        <v>0</v>
      </c>
      <c r="F2374" s="31">
        <v>39</v>
      </c>
      <c r="G2374" s="32">
        <f t="shared" si="378"/>
        <v>0</v>
      </c>
      <c r="H2374" s="33">
        <f t="shared" si="374"/>
        <v>0</v>
      </c>
      <c r="K2374" t="str">
        <f xml:space="preserve"> B2369 &amp; B2374</f>
        <v>Z000185009Z040201006</v>
      </c>
    </row>
    <row r="2375" spans="1:11" outlineLevel="1" x14ac:dyDescent="0.2">
      <c r="A2375" s="29"/>
      <c r="B2375" s="30" t="s">
        <v>801</v>
      </c>
      <c r="C2375" s="30" t="s">
        <v>402</v>
      </c>
      <c r="D2375" s="34" t="s">
        <v>151</v>
      </c>
      <c r="E2375" s="31">
        <v>0</v>
      </c>
      <c r="F2375" s="31">
        <v>10.3</v>
      </c>
      <c r="G2375" s="32">
        <f t="shared" si="378"/>
        <v>0</v>
      </c>
      <c r="H2375" s="33">
        <f t="shared" si="374"/>
        <v>0</v>
      </c>
      <c r="K2375" t="str">
        <f xml:space="preserve"> B2369 &amp; B2375</f>
        <v>Z000185009Z040202006</v>
      </c>
    </row>
    <row r="2376" spans="1:11" outlineLevel="1" x14ac:dyDescent="0.2">
      <c r="A2376" s="29"/>
      <c r="B2376" s="30" t="s">
        <v>1978</v>
      </c>
      <c r="C2376" s="30" t="s">
        <v>4112</v>
      </c>
      <c r="D2376" s="34" t="s">
        <v>1781</v>
      </c>
      <c r="E2376" s="31">
        <v>3</v>
      </c>
      <c r="F2376" s="31">
        <v>110</v>
      </c>
      <c r="G2376" s="32">
        <f t="shared" si="378"/>
        <v>330</v>
      </c>
      <c r="H2376" s="33">
        <f t="shared" si="374"/>
        <v>1.7110667955426859E-6</v>
      </c>
      <c r="K2376" t="str">
        <f xml:space="preserve"> B2369 &amp; B2376</f>
        <v>Z000185009Z040310041</v>
      </c>
    </row>
    <row r="2377" spans="1:11" outlineLevel="1" x14ac:dyDescent="0.2">
      <c r="A2377" s="29"/>
      <c r="B2377" s="30" t="s">
        <v>498</v>
      </c>
      <c r="C2377" s="30" t="s">
        <v>773</v>
      </c>
      <c r="D2377" s="34" t="s">
        <v>84</v>
      </c>
      <c r="E2377" s="31">
        <v>3.5999999999999996</v>
      </c>
      <c r="F2377" s="31">
        <v>0</v>
      </c>
      <c r="G2377" s="32">
        <f t="shared" si="378"/>
        <v>0</v>
      </c>
      <c r="H2377" s="33">
        <f t="shared" si="374"/>
        <v>0</v>
      </c>
      <c r="K2377" t="str">
        <f xml:space="preserve"> B2369 &amp; B2377</f>
        <v>Z000185009Z040401001</v>
      </c>
    </row>
    <row r="2378" spans="1:11" outlineLevel="1" x14ac:dyDescent="0.2">
      <c r="A2378" s="11" t="s">
        <v>222</v>
      </c>
      <c r="B2378" s="11" t="s">
        <v>513</v>
      </c>
      <c r="C2378" s="11" t="s">
        <v>4175</v>
      </c>
      <c r="D2378" s="12" t="s">
        <v>1781</v>
      </c>
      <c r="E2378" s="13">
        <v>3</v>
      </c>
      <c r="F2378" s="14">
        <v>1745.4660000000001</v>
      </c>
      <c r="G2378" s="15">
        <f>SUM(G2379:G2386)</f>
        <v>5236.3980000000001</v>
      </c>
      <c r="H2378" s="16">
        <f t="shared" si="374"/>
        <v>2.7150990139533727E-5</v>
      </c>
    </row>
    <row r="2379" spans="1:11" outlineLevel="1" x14ac:dyDescent="0.2">
      <c r="A2379" s="29"/>
      <c r="B2379" s="30" t="s">
        <v>1624</v>
      </c>
      <c r="C2379" s="30" t="s">
        <v>4178</v>
      </c>
      <c r="D2379" s="34" t="s">
        <v>1781</v>
      </c>
      <c r="E2379" s="31">
        <v>3</v>
      </c>
      <c r="F2379" s="31">
        <v>1346.92</v>
      </c>
      <c r="G2379" s="32">
        <f t="shared" ref="G2379:G2386" si="379">F2379*E2379</f>
        <v>4040.76</v>
      </c>
      <c r="H2379" s="33">
        <f t="shared" si="374"/>
        <v>2.0951546256839587E-5</v>
      </c>
      <c r="K2379" t="str">
        <f xml:space="preserve"> B2378 &amp; B2379</f>
        <v>Z000185046Z020607052</v>
      </c>
    </row>
    <row r="2380" spans="1:11" outlineLevel="1" x14ac:dyDescent="0.2">
      <c r="A2380" s="29"/>
      <c r="B2380" s="30" t="s">
        <v>1139</v>
      </c>
      <c r="C2380" s="30" t="s">
        <v>276</v>
      </c>
      <c r="D2380" s="34" t="s">
        <v>1781</v>
      </c>
      <c r="E2380" s="31">
        <v>12</v>
      </c>
      <c r="F2380" s="31">
        <v>15.07</v>
      </c>
      <c r="G2380" s="32">
        <f t="shared" si="379"/>
        <v>180.84</v>
      </c>
      <c r="H2380" s="33">
        <f t="shared" si="374"/>
        <v>9.3766460395739188E-7</v>
      </c>
      <c r="K2380" t="str">
        <f xml:space="preserve"> B2378 &amp; B2380</f>
        <v>Z000185046Z020608001</v>
      </c>
    </row>
    <row r="2381" spans="1:11" outlineLevel="1" x14ac:dyDescent="0.2">
      <c r="A2381" s="29"/>
      <c r="B2381" s="30" t="s">
        <v>1144</v>
      </c>
      <c r="C2381" s="30" t="s">
        <v>1325</v>
      </c>
      <c r="D2381" s="34" t="s">
        <v>1781</v>
      </c>
      <c r="E2381" s="31">
        <v>3</v>
      </c>
      <c r="F2381" s="31">
        <v>184.11</v>
      </c>
      <c r="G2381" s="32">
        <f t="shared" si="379"/>
        <v>552.33000000000004</v>
      </c>
      <c r="H2381" s="33">
        <f t="shared" si="374"/>
        <v>2.8638591611578541E-6</v>
      </c>
      <c r="K2381" t="str">
        <f xml:space="preserve"> B2378 &amp; B2381</f>
        <v>Z000185046Z020608003</v>
      </c>
    </row>
    <row r="2382" spans="1:11" outlineLevel="1" x14ac:dyDescent="0.2">
      <c r="A2382" s="29"/>
      <c r="B2382" s="30" t="s">
        <v>311</v>
      </c>
      <c r="C2382" s="30" t="s">
        <v>1441</v>
      </c>
      <c r="D2382" s="34" t="s">
        <v>1781</v>
      </c>
      <c r="E2382" s="31">
        <v>3.4859999999999998</v>
      </c>
      <c r="F2382" s="31">
        <v>38</v>
      </c>
      <c r="G2382" s="32">
        <f t="shared" si="379"/>
        <v>132.46799999999999</v>
      </c>
      <c r="H2382" s="33">
        <f t="shared" si="374"/>
        <v>6.8685332203620761E-7</v>
      </c>
      <c r="K2382" t="str">
        <f xml:space="preserve"> B2378 &amp; B2382</f>
        <v>Z000185046Z030206001</v>
      </c>
    </row>
    <row r="2383" spans="1:11" outlineLevel="1" x14ac:dyDescent="0.2">
      <c r="A2383" s="29"/>
      <c r="B2383" s="30" t="s">
        <v>945</v>
      </c>
      <c r="C2383" s="30" t="s">
        <v>267</v>
      </c>
      <c r="D2383" s="34" t="s">
        <v>151</v>
      </c>
      <c r="E2383" s="31">
        <v>0</v>
      </c>
      <c r="F2383" s="31">
        <v>39</v>
      </c>
      <c r="G2383" s="32">
        <f t="shared" si="379"/>
        <v>0</v>
      </c>
      <c r="H2383" s="33">
        <f t="shared" si="374"/>
        <v>0</v>
      </c>
      <c r="K2383" t="str">
        <f xml:space="preserve"> B2378 &amp; B2383</f>
        <v>Z000185046Z040201006</v>
      </c>
    </row>
    <row r="2384" spans="1:11" outlineLevel="1" x14ac:dyDescent="0.2">
      <c r="A2384" s="29"/>
      <c r="B2384" s="30" t="s">
        <v>801</v>
      </c>
      <c r="C2384" s="30" t="s">
        <v>402</v>
      </c>
      <c r="D2384" s="34" t="s">
        <v>151</v>
      </c>
      <c r="E2384" s="31">
        <v>0</v>
      </c>
      <c r="F2384" s="31">
        <v>10.3</v>
      </c>
      <c r="G2384" s="32">
        <f t="shared" si="379"/>
        <v>0</v>
      </c>
      <c r="H2384" s="33">
        <f t="shared" si="374"/>
        <v>0</v>
      </c>
      <c r="K2384" t="str">
        <f xml:space="preserve"> B2378 &amp; B2384</f>
        <v>Z000185046Z040202006</v>
      </c>
    </row>
    <row r="2385" spans="1:11" outlineLevel="1" x14ac:dyDescent="0.2">
      <c r="A2385" s="29"/>
      <c r="B2385" s="30" t="s">
        <v>1978</v>
      </c>
      <c r="C2385" s="30" t="s">
        <v>4112</v>
      </c>
      <c r="D2385" s="34" t="s">
        <v>1781</v>
      </c>
      <c r="E2385" s="31">
        <v>3</v>
      </c>
      <c r="F2385" s="31">
        <v>110</v>
      </c>
      <c r="G2385" s="32">
        <f t="shared" si="379"/>
        <v>330</v>
      </c>
      <c r="H2385" s="33">
        <f t="shared" si="374"/>
        <v>1.7110667955426859E-6</v>
      </c>
      <c r="K2385" t="str">
        <f xml:space="preserve"> B2378 &amp; B2385</f>
        <v>Z000185046Z040310041</v>
      </c>
    </row>
    <row r="2386" spans="1:11" outlineLevel="1" x14ac:dyDescent="0.2">
      <c r="A2386" s="29"/>
      <c r="B2386" s="30" t="s">
        <v>498</v>
      </c>
      <c r="C2386" s="30" t="s">
        <v>773</v>
      </c>
      <c r="D2386" s="34" t="s">
        <v>84</v>
      </c>
      <c r="E2386" s="31">
        <v>3.5999999999999996</v>
      </c>
      <c r="F2386" s="31">
        <v>0</v>
      </c>
      <c r="G2386" s="32">
        <f t="shared" si="379"/>
        <v>0</v>
      </c>
      <c r="H2386" s="33">
        <f t="shared" si="374"/>
        <v>0</v>
      </c>
      <c r="K2386" t="str">
        <f xml:space="preserve"> B2378 &amp; B2386</f>
        <v>Z000185046Z040401001</v>
      </c>
    </row>
    <row r="2387" spans="1:11" outlineLevel="1" x14ac:dyDescent="0.2">
      <c r="A2387" s="11" t="s">
        <v>228</v>
      </c>
      <c r="B2387" s="11" t="s">
        <v>515</v>
      </c>
      <c r="C2387" s="11" t="s">
        <v>4186</v>
      </c>
      <c r="D2387" s="12" t="s">
        <v>1781</v>
      </c>
      <c r="E2387" s="13">
        <v>1</v>
      </c>
      <c r="F2387" s="14">
        <v>1818.9360000000001</v>
      </c>
      <c r="G2387" s="15">
        <f>SUM(G2388:G2395)</f>
        <v>1818.9360000000001</v>
      </c>
      <c r="H2387" s="16">
        <f t="shared" si="374"/>
        <v>9.4312757358097919E-6</v>
      </c>
    </row>
    <row r="2388" spans="1:11" outlineLevel="1" x14ac:dyDescent="0.2">
      <c r="A2388" s="29"/>
      <c r="B2388" s="30" t="s">
        <v>1627</v>
      </c>
      <c r="C2388" s="30" t="s">
        <v>4184</v>
      </c>
      <c r="D2388" s="34" t="s">
        <v>1781</v>
      </c>
      <c r="E2388" s="31">
        <v>1</v>
      </c>
      <c r="F2388" s="31">
        <v>1420.39</v>
      </c>
      <c r="G2388" s="32">
        <f t="shared" ref="G2388:G2395" si="380">F2388*E2388</f>
        <v>1420.39</v>
      </c>
      <c r="H2388" s="33">
        <f t="shared" si="374"/>
        <v>7.3647944415784115E-6</v>
      </c>
      <c r="K2388" t="str">
        <f xml:space="preserve"> B2387 &amp; B2388</f>
        <v>Z000185047Z020607053</v>
      </c>
    </row>
    <row r="2389" spans="1:11" outlineLevel="1" x14ac:dyDescent="0.2">
      <c r="A2389" s="29"/>
      <c r="B2389" s="30" t="s">
        <v>1139</v>
      </c>
      <c r="C2389" s="30" t="s">
        <v>276</v>
      </c>
      <c r="D2389" s="34" t="s">
        <v>1781</v>
      </c>
      <c r="E2389" s="31">
        <v>4</v>
      </c>
      <c r="F2389" s="31">
        <v>15.07</v>
      </c>
      <c r="G2389" s="32">
        <f t="shared" si="380"/>
        <v>60.28</v>
      </c>
      <c r="H2389" s="33">
        <f t="shared" si="374"/>
        <v>3.1255486798579733E-7</v>
      </c>
      <c r="K2389" t="str">
        <f xml:space="preserve"> B2387 &amp; B2389</f>
        <v>Z000185047Z020608001</v>
      </c>
    </row>
    <row r="2390" spans="1:11" outlineLevel="1" x14ac:dyDescent="0.2">
      <c r="A2390" s="29"/>
      <c r="B2390" s="30" t="s">
        <v>1144</v>
      </c>
      <c r="C2390" s="30" t="s">
        <v>1325</v>
      </c>
      <c r="D2390" s="34" t="s">
        <v>1781</v>
      </c>
      <c r="E2390" s="31">
        <v>1</v>
      </c>
      <c r="F2390" s="31">
        <v>184.11</v>
      </c>
      <c r="G2390" s="32">
        <f t="shared" si="380"/>
        <v>184.11</v>
      </c>
      <c r="H2390" s="33">
        <f t="shared" si="374"/>
        <v>9.546197203859513E-7</v>
      </c>
      <c r="K2390" t="str">
        <f xml:space="preserve"> B2387 &amp; B2390</f>
        <v>Z000185047Z020608003</v>
      </c>
    </row>
    <row r="2391" spans="1:11" outlineLevel="1" x14ac:dyDescent="0.2">
      <c r="A2391" s="29"/>
      <c r="B2391" s="30" t="s">
        <v>311</v>
      </c>
      <c r="C2391" s="30" t="s">
        <v>1441</v>
      </c>
      <c r="D2391" s="34" t="s">
        <v>1781</v>
      </c>
      <c r="E2391" s="31">
        <v>1.1619999999999999</v>
      </c>
      <c r="F2391" s="31">
        <v>38</v>
      </c>
      <c r="G2391" s="32">
        <f t="shared" si="380"/>
        <v>44.155999999999999</v>
      </c>
      <c r="H2391" s="33">
        <f t="shared" si="374"/>
        <v>2.2895110734540253E-7</v>
      </c>
      <c r="K2391" t="str">
        <f xml:space="preserve"> B2387 &amp; B2391</f>
        <v>Z000185047Z030206001</v>
      </c>
    </row>
    <row r="2392" spans="1:11" outlineLevel="1" x14ac:dyDescent="0.2">
      <c r="A2392" s="29"/>
      <c r="B2392" s="30" t="s">
        <v>945</v>
      </c>
      <c r="C2392" s="30" t="s">
        <v>267</v>
      </c>
      <c r="D2392" s="34" t="s">
        <v>151</v>
      </c>
      <c r="E2392" s="31">
        <v>0</v>
      </c>
      <c r="F2392" s="31">
        <v>39</v>
      </c>
      <c r="G2392" s="32">
        <f t="shared" si="380"/>
        <v>0</v>
      </c>
      <c r="H2392" s="33">
        <f t="shared" si="374"/>
        <v>0</v>
      </c>
      <c r="K2392" t="str">
        <f xml:space="preserve"> B2387 &amp; B2392</f>
        <v>Z000185047Z040201006</v>
      </c>
    </row>
    <row r="2393" spans="1:11" outlineLevel="1" x14ac:dyDescent="0.2">
      <c r="A2393" s="29"/>
      <c r="B2393" s="30" t="s">
        <v>801</v>
      </c>
      <c r="C2393" s="30" t="s">
        <v>402</v>
      </c>
      <c r="D2393" s="34" t="s">
        <v>151</v>
      </c>
      <c r="E2393" s="31">
        <v>0</v>
      </c>
      <c r="F2393" s="31">
        <v>10.3</v>
      </c>
      <c r="G2393" s="32">
        <f t="shared" si="380"/>
        <v>0</v>
      </c>
      <c r="H2393" s="33">
        <f t="shared" si="374"/>
        <v>0</v>
      </c>
      <c r="K2393" t="str">
        <f xml:space="preserve"> B2387 &amp; B2393</f>
        <v>Z000185047Z040202006</v>
      </c>
    </row>
    <row r="2394" spans="1:11" outlineLevel="1" x14ac:dyDescent="0.2">
      <c r="A2394" s="29"/>
      <c r="B2394" s="30" t="s">
        <v>1978</v>
      </c>
      <c r="C2394" s="30" t="s">
        <v>4112</v>
      </c>
      <c r="D2394" s="34" t="s">
        <v>1781</v>
      </c>
      <c r="E2394" s="31">
        <v>1</v>
      </c>
      <c r="F2394" s="31">
        <v>110</v>
      </c>
      <c r="G2394" s="32">
        <f t="shared" si="380"/>
        <v>110</v>
      </c>
      <c r="H2394" s="33">
        <f t="shared" si="374"/>
        <v>5.7035559851422867E-7</v>
      </c>
      <c r="K2394" t="str">
        <f xml:space="preserve"> B2387 &amp; B2394</f>
        <v>Z000185047Z040310041</v>
      </c>
    </row>
    <row r="2395" spans="1:11" outlineLevel="1" x14ac:dyDescent="0.2">
      <c r="A2395" s="29"/>
      <c r="B2395" s="30" t="s">
        <v>498</v>
      </c>
      <c r="C2395" s="30" t="s">
        <v>773</v>
      </c>
      <c r="D2395" s="34" t="s">
        <v>84</v>
      </c>
      <c r="E2395" s="31">
        <v>1.2</v>
      </c>
      <c r="F2395" s="31">
        <v>0</v>
      </c>
      <c r="G2395" s="32">
        <f t="shared" si="380"/>
        <v>0</v>
      </c>
      <c r="H2395" s="33">
        <f t="shared" si="374"/>
        <v>0</v>
      </c>
      <c r="K2395" t="str">
        <f xml:space="preserve"> B2387 &amp; B2395</f>
        <v>Z000185047Z040401001</v>
      </c>
    </row>
    <row r="2396" spans="1:11" outlineLevel="1" x14ac:dyDescent="0.2">
      <c r="A2396" s="11" t="s">
        <v>265</v>
      </c>
      <c r="B2396" s="11" t="s">
        <v>517</v>
      </c>
      <c r="C2396" s="11" t="s">
        <v>4196</v>
      </c>
      <c r="D2396" s="12" t="s">
        <v>1781</v>
      </c>
      <c r="E2396" s="13">
        <v>2</v>
      </c>
      <c r="F2396" s="14">
        <v>2989.1240000000003</v>
      </c>
      <c r="G2396" s="15">
        <f>SUM(G2397:G2404)</f>
        <v>5978.2480000000005</v>
      </c>
      <c r="H2396" s="16">
        <f t="shared" si="374"/>
        <v>3.0997520146422639E-5</v>
      </c>
    </row>
    <row r="2397" spans="1:11" outlineLevel="1" x14ac:dyDescent="0.2">
      <c r="A2397" s="29"/>
      <c r="B2397" s="30" t="s">
        <v>1630</v>
      </c>
      <c r="C2397" s="30" t="s">
        <v>4194</v>
      </c>
      <c r="D2397" s="34" t="s">
        <v>1781</v>
      </c>
      <c r="E2397" s="31">
        <v>2</v>
      </c>
      <c r="F2397" s="31">
        <v>2354.25</v>
      </c>
      <c r="G2397" s="32">
        <f t="shared" ref="G2397:G2404" si="381">F2397*E2397</f>
        <v>4708.5</v>
      </c>
      <c r="H2397" s="33">
        <f t="shared" si="374"/>
        <v>2.4413812141856778E-5</v>
      </c>
      <c r="K2397" t="str">
        <f xml:space="preserve"> B2396 &amp; B2397</f>
        <v>Z000185048Z020607054</v>
      </c>
    </row>
    <row r="2398" spans="1:11" outlineLevel="1" x14ac:dyDescent="0.2">
      <c r="A2398" s="29"/>
      <c r="B2398" s="30" t="s">
        <v>1139</v>
      </c>
      <c r="C2398" s="30" t="s">
        <v>276</v>
      </c>
      <c r="D2398" s="34" t="s">
        <v>1781</v>
      </c>
      <c r="E2398" s="31">
        <v>12</v>
      </c>
      <c r="F2398" s="31">
        <v>15.07</v>
      </c>
      <c r="G2398" s="32">
        <f t="shared" si="381"/>
        <v>180.84</v>
      </c>
      <c r="H2398" s="33">
        <f t="shared" si="374"/>
        <v>9.3766460395739188E-7</v>
      </c>
      <c r="K2398" t="str">
        <f xml:space="preserve"> B2396 &amp; B2398</f>
        <v>Z000185048Z020608001</v>
      </c>
    </row>
    <row r="2399" spans="1:11" outlineLevel="1" x14ac:dyDescent="0.2">
      <c r="A2399" s="29"/>
      <c r="B2399" s="30" t="s">
        <v>1144</v>
      </c>
      <c r="C2399" s="30" t="s">
        <v>1325</v>
      </c>
      <c r="D2399" s="34" t="s">
        <v>1781</v>
      </c>
      <c r="E2399" s="31">
        <v>4</v>
      </c>
      <c r="F2399" s="31">
        <v>184.11</v>
      </c>
      <c r="G2399" s="32">
        <f t="shared" si="381"/>
        <v>736.44</v>
      </c>
      <c r="H2399" s="33">
        <f t="shared" si="374"/>
        <v>3.8184788815438052E-6</v>
      </c>
      <c r="K2399" t="str">
        <f xml:space="preserve"> B2396 &amp; B2399</f>
        <v>Z000185048Z020608003</v>
      </c>
    </row>
    <row r="2400" spans="1:11" outlineLevel="1" x14ac:dyDescent="0.2">
      <c r="A2400" s="29"/>
      <c r="B2400" s="30" t="s">
        <v>311</v>
      </c>
      <c r="C2400" s="30" t="s">
        <v>1441</v>
      </c>
      <c r="D2400" s="34" t="s">
        <v>1781</v>
      </c>
      <c r="E2400" s="31">
        <v>3.4860000000000002</v>
      </c>
      <c r="F2400" s="31">
        <v>38</v>
      </c>
      <c r="G2400" s="32">
        <f t="shared" si="381"/>
        <v>132.46800000000002</v>
      </c>
      <c r="H2400" s="33">
        <f t="shared" si="374"/>
        <v>6.8685332203620771E-7</v>
      </c>
      <c r="K2400" t="str">
        <f xml:space="preserve"> B2396 &amp; B2400</f>
        <v>Z000185048Z030206001</v>
      </c>
    </row>
    <row r="2401" spans="1:11" outlineLevel="1" x14ac:dyDescent="0.2">
      <c r="A2401" s="29"/>
      <c r="B2401" s="30" t="s">
        <v>945</v>
      </c>
      <c r="C2401" s="30" t="s">
        <v>267</v>
      </c>
      <c r="D2401" s="34" t="s">
        <v>151</v>
      </c>
      <c r="E2401" s="31">
        <v>0</v>
      </c>
      <c r="F2401" s="31">
        <v>39</v>
      </c>
      <c r="G2401" s="32">
        <f t="shared" si="381"/>
        <v>0</v>
      </c>
      <c r="H2401" s="33">
        <f t="shared" si="374"/>
        <v>0</v>
      </c>
      <c r="K2401" t="str">
        <f xml:space="preserve"> B2396 &amp; B2401</f>
        <v>Z000185048Z040201006</v>
      </c>
    </row>
    <row r="2402" spans="1:11" outlineLevel="1" x14ac:dyDescent="0.2">
      <c r="A2402" s="29"/>
      <c r="B2402" s="30" t="s">
        <v>801</v>
      </c>
      <c r="C2402" s="30" t="s">
        <v>402</v>
      </c>
      <c r="D2402" s="34" t="s">
        <v>151</v>
      </c>
      <c r="E2402" s="31">
        <v>0</v>
      </c>
      <c r="F2402" s="31">
        <v>10.3</v>
      </c>
      <c r="G2402" s="32">
        <f t="shared" si="381"/>
        <v>0</v>
      </c>
      <c r="H2402" s="33">
        <f t="shared" si="374"/>
        <v>0</v>
      </c>
      <c r="K2402" t="str">
        <f xml:space="preserve"> B2396 &amp; B2402</f>
        <v>Z000185048Z040202006</v>
      </c>
    </row>
    <row r="2403" spans="1:11" outlineLevel="1" x14ac:dyDescent="0.2">
      <c r="A2403" s="29"/>
      <c r="B2403" s="30" t="s">
        <v>1978</v>
      </c>
      <c r="C2403" s="30" t="s">
        <v>4112</v>
      </c>
      <c r="D2403" s="34" t="s">
        <v>1781</v>
      </c>
      <c r="E2403" s="31">
        <v>2</v>
      </c>
      <c r="F2403" s="31">
        <v>110</v>
      </c>
      <c r="G2403" s="32">
        <f t="shared" si="381"/>
        <v>220</v>
      </c>
      <c r="H2403" s="33">
        <f t="shared" ref="H2403:H2495" si="382">G2403/$F$2</f>
        <v>1.1407111970284573E-6</v>
      </c>
      <c r="K2403" t="str">
        <f xml:space="preserve"> B2396 &amp; B2403</f>
        <v>Z000185048Z040310041</v>
      </c>
    </row>
    <row r="2404" spans="1:11" outlineLevel="1" x14ac:dyDescent="0.2">
      <c r="A2404" s="29"/>
      <c r="B2404" s="30" t="s">
        <v>498</v>
      </c>
      <c r="C2404" s="30" t="s">
        <v>773</v>
      </c>
      <c r="D2404" s="34" t="s">
        <v>84</v>
      </c>
      <c r="E2404" s="31">
        <v>2.4</v>
      </c>
      <c r="F2404" s="31">
        <v>0</v>
      </c>
      <c r="G2404" s="32">
        <f t="shared" si="381"/>
        <v>0</v>
      </c>
      <c r="H2404" s="33">
        <f t="shared" si="382"/>
        <v>0</v>
      </c>
      <c r="K2404" t="str">
        <f xml:space="preserve"> B2396 &amp; B2404</f>
        <v>Z000185048Z040401001</v>
      </c>
    </row>
    <row r="2405" spans="1:11" outlineLevel="1" x14ac:dyDescent="0.2">
      <c r="A2405" s="11" t="s">
        <v>266</v>
      </c>
      <c r="B2405" s="11" t="s">
        <v>519</v>
      </c>
      <c r="C2405" s="11" t="s">
        <v>4206</v>
      </c>
      <c r="D2405" s="12" t="s">
        <v>1781</v>
      </c>
      <c r="E2405" s="13">
        <v>1</v>
      </c>
      <c r="F2405" s="14">
        <v>3467.694</v>
      </c>
      <c r="G2405" s="15">
        <f>SUM(G2406:G2413)</f>
        <v>3467.694</v>
      </c>
      <c r="H2405" s="16">
        <f t="shared" si="382"/>
        <v>1.7980169880310906E-5</v>
      </c>
    </row>
    <row r="2406" spans="1:11" outlineLevel="1" x14ac:dyDescent="0.2">
      <c r="A2406" s="29"/>
      <c r="B2406" s="30" t="s">
        <v>1633</v>
      </c>
      <c r="C2406" s="30" t="s">
        <v>4204</v>
      </c>
      <c r="D2406" s="34" t="s">
        <v>1781</v>
      </c>
      <c r="E2406" s="31">
        <v>1</v>
      </c>
      <c r="F2406" s="31">
        <v>2802.68</v>
      </c>
      <c r="G2406" s="32">
        <f t="shared" ref="G2406:G2413" si="383">F2406*E2406</f>
        <v>2802.68</v>
      </c>
      <c r="H2406" s="33">
        <f t="shared" si="382"/>
        <v>1.4532038444035076E-5</v>
      </c>
      <c r="K2406" t="str">
        <f xml:space="preserve"> B2405 &amp; B2406</f>
        <v>Z000185049Z020607055</v>
      </c>
    </row>
    <row r="2407" spans="1:11" outlineLevel="1" x14ac:dyDescent="0.2">
      <c r="A2407" s="29"/>
      <c r="B2407" s="30" t="s">
        <v>1139</v>
      </c>
      <c r="C2407" s="30" t="s">
        <v>276</v>
      </c>
      <c r="D2407" s="34" t="s">
        <v>1781</v>
      </c>
      <c r="E2407" s="31">
        <v>8</v>
      </c>
      <c r="F2407" s="31">
        <v>15.07</v>
      </c>
      <c r="G2407" s="32">
        <f t="shared" si="383"/>
        <v>120.56</v>
      </c>
      <c r="H2407" s="33">
        <f t="shared" si="382"/>
        <v>6.2510973597159466E-7</v>
      </c>
      <c r="K2407" t="str">
        <f xml:space="preserve"> B2405 &amp; B2407</f>
        <v>Z000185049Z020608001</v>
      </c>
    </row>
    <row r="2408" spans="1:11" outlineLevel="1" x14ac:dyDescent="0.2">
      <c r="A2408" s="29"/>
      <c r="B2408" s="30" t="s">
        <v>1144</v>
      </c>
      <c r="C2408" s="30" t="s">
        <v>1325</v>
      </c>
      <c r="D2408" s="34" t="s">
        <v>1781</v>
      </c>
      <c r="E2408" s="31">
        <v>2</v>
      </c>
      <c r="F2408" s="31">
        <v>184.11</v>
      </c>
      <c r="G2408" s="32">
        <f t="shared" si="383"/>
        <v>368.22</v>
      </c>
      <c r="H2408" s="33">
        <f t="shared" si="382"/>
        <v>1.9092394407719026E-6</v>
      </c>
      <c r="K2408" t="str">
        <f xml:space="preserve"> B2405 &amp; B2408</f>
        <v>Z000185049Z020608003</v>
      </c>
    </row>
    <row r="2409" spans="1:11" outlineLevel="1" x14ac:dyDescent="0.2">
      <c r="A2409" s="29"/>
      <c r="B2409" s="30" t="s">
        <v>311</v>
      </c>
      <c r="C2409" s="30" t="s">
        <v>1441</v>
      </c>
      <c r="D2409" s="34" t="s">
        <v>1781</v>
      </c>
      <c r="E2409" s="31">
        <v>1.7430000000000001</v>
      </c>
      <c r="F2409" s="31">
        <v>38</v>
      </c>
      <c r="G2409" s="32">
        <f t="shared" si="383"/>
        <v>66.234000000000009</v>
      </c>
      <c r="H2409" s="33">
        <f t="shared" si="382"/>
        <v>3.4342666101810386E-7</v>
      </c>
      <c r="K2409" t="str">
        <f xml:space="preserve"> B2405 &amp; B2409</f>
        <v>Z000185049Z030206001</v>
      </c>
    </row>
    <row r="2410" spans="1:11" outlineLevel="1" x14ac:dyDescent="0.2">
      <c r="A2410" s="29"/>
      <c r="B2410" s="30" t="s">
        <v>945</v>
      </c>
      <c r="C2410" s="30" t="s">
        <v>267</v>
      </c>
      <c r="D2410" s="34" t="s">
        <v>151</v>
      </c>
      <c r="E2410" s="31">
        <v>0</v>
      </c>
      <c r="F2410" s="31">
        <v>39</v>
      </c>
      <c r="G2410" s="32">
        <f t="shared" si="383"/>
        <v>0</v>
      </c>
      <c r="H2410" s="33">
        <f t="shared" si="382"/>
        <v>0</v>
      </c>
      <c r="K2410" t="str">
        <f xml:space="preserve"> B2405 &amp; B2410</f>
        <v>Z000185049Z040201006</v>
      </c>
    </row>
    <row r="2411" spans="1:11" outlineLevel="1" x14ac:dyDescent="0.2">
      <c r="A2411" s="29"/>
      <c r="B2411" s="30" t="s">
        <v>801</v>
      </c>
      <c r="C2411" s="30" t="s">
        <v>402</v>
      </c>
      <c r="D2411" s="34" t="s">
        <v>151</v>
      </c>
      <c r="E2411" s="31">
        <v>0</v>
      </c>
      <c r="F2411" s="31">
        <v>10.3</v>
      </c>
      <c r="G2411" s="32">
        <f t="shared" si="383"/>
        <v>0</v>
      </c>
      <c r="H2411" s="33">
        <f t="shared" si="382"/>
        <v>0</v>
      </c>
      <c r="K2411" t="str">
        <f xml:space="preserve"> B2405 &amp; B2411</f>
        <v>Z000185049Z040202006</v>
      </c>
    </row>
    <row r="2412" spans="1:11" outlineLevel="1" x14ac:dyDescent="0.2">
      <c r="A2412" s="29"/>
      <c r="B2412" s="30" t="s">
        <v>1978</v>
      </c>
      <c r="C2412" s="30" t="s">
        <v>4112</v>
      </c>
      <c r="D2412" s="34" t="s">
        <v>1781</v>
      </c>
      <c r="E2412" s="31">
        <v>1</v>
      </c>
      <c r="F2412" s="31">
        <v>110</v>
      </c>
      <c r="G2412" s="32">
        <f t="shared" si="383"/>
        <v>110</v>
      </c>
      <c r="H2412" s="33">
        <f t="shared" si="382"/>
        <v>5.7035559851422867E-7</v>
      </c>
      <c r="K2412" t="str">
        <f xml:space="preserve"> B2405 &amp; B2412</f>
        <v>Z000185049Z040310041</v>
      </c>
    </row>
    <row r="2413" spans="1:11" outlineLevel="1" x14ac:dyDescent="0.2">
      <c r="A2413" s="29"/>
      <c r="B2413" s="30" t="s">
        <v>498</v>
      </c>
      <c r="C2413" s="30" t="s">
        <v>773</v>
      </c>
      <c r="D2413" s="34" t="s">
        <v>84</v>
      </c>
      <c r="E2413" s="31">
        <v>1.2</v>
      </c>
      <c r="F2413" s="31">
        <v>0</v>
      </c>
      <c r="G2413" s="32">
        <f t="shared" si="383"/>
        <v>0</v>
      </c>
      <c r="H2413" s="33">
        <f t="shared" si="382"/>
        <v>0</v>
      </c>
      <c r="K2413" t="str">
        <f xml:space="preserve"> B2405 &amp; B2413</f>
        <v>Z000185049Z040401001</v>
      </c>
    </row>
    <row r="2414" spans="1:11" x14ac:dyDescent="0.2">
      <c r="A2414" s="23" t="s">
        <v>232</v>
      </c>
      <c r="B2414" s="23" t="s">
        <v>328</v>
      </c>
      <c r="C2414" s="23" t="s">
        <v>1372</v>
      </c>
      <c r="D2414" s="24"/>
      <c r="E2414" s="25"/>
      <c r="F2414" s="26"/>
      <c r="G2414" s="27">
        <v>0</v>
      </c>
      <c r="H2414" s="28">
        <f t="shared" si="382"/>
        <v>0</v>
      </c>
    </row>
    <row r="2415" spans="1:11" ht="15" x14ac:dyDescent="0.2">
      <c r="A2415" s="17" t="s">
        <v>2052</v>
      </c>
      <c r="B2415" s="17" t="s">
        <v>328</v>
      </c>
      <c r="C2415" s="17" t="s">
        <v>1438</v>
      </c>
      <c r="D2415" s="18"/>
      <c r="E2415" s="19"/>
      <c r="F2415" s="20"/>
      <c r="G2415" s="21">
        <v>0</v>
      </c>
      <c r="H2415" s="22">
        <f t="shared" si="382"/>
        <v>0</v>
      </c>
    </row>
    <row r="2416" spans="1:11" ht="15" x14ac:dyDescent="0.2">
      <c r="A2416" s="17" t="s">
        <v>2053</v>
      </c>
      <c r="B2416" s="17" t="s">
        <v>328</v>
      </c>
      <c r="C2416" s="17" t="s">
        <v>545</v>
      </c>
      <c r="D2416" s="18"/>
      <c r="E2416" s="19"/>
      <c r="F2416" s="20"/>
      <c r="G2416" s="21">
        <f>SUM(G2417,G2428,G2440,G2443)</f>
        <v>84753.627423999991</v>
      </c>
      <c r="H2416" s="22">
        <f t="shared" si="382"/>
        <v>4.3945187177879509E-4</v>
      </c>
    </row>
    <row r="2417" spans="1:11" outlineLevel="1" x14ac:dyDescent="0.2">
      <c r="A2417" s="11" t="s">
        <v>1958</v>
      </c>
      <c r="B2417" s="11" t="s">
        <v>1916</v>
      </c>
      <c r="C2417" s="11" t="s">
        <v>4234</v>
      </c>
      <c r="D2417" s="12" t="s">
        <v>1781</v>
      </c>
      <c r="E2417" s="13">
        <v>20</v>
      </c>
      <c r="F2417" s="14">
        <v>1349.4290080799999</v>
      </c>
      <c r="G2417" s="15">
        <f>SUM(G2418:G2427)</f>
        <v>26988.580161599999</v>
      </c>
      <c r="H2417" s="16">
        <f t="shared" si="382"/>
        <v>1.3993716173744185E-4</v>
      </c>
    </row>
    <row r="2418" spans="1:11" outlineLevel="1" x14ac:dyDescent="0.2">
      <c r="A2418" s="29"/>
      <c r="B2418" s="30" t="s">
        <v>1654</v>
      </c>
      <c r="C2418" s="30" t="s">
        <v>1551</v>
      </c>
      <c r="D2418" s="34" t="s">
        <v>1052</v>
      </c>
      <c r="E2418" s="31">
        <v>410.18399999999997</v>
      </c>
      <c r="F2418" s="31">
        <v>0.7974</v>
      </c>
      <c r="G2418" s="32">
        <f t="shared" ref="G2418:G2427" si="384">F2418*E2418</f>
        <v>327.08072159999995</v>
      </c>
      <c r="H2418" s="33">
        <f t="shared" si="382"/>
        <v>1.6959301884603069E-6</v>
      </c>
      <c r="K2418" t="str">
        <f xml:space="preserve"> B2417 &amp; B2418</f>
        <v>Z000188003Z010301001</v>
      </c>
    </row>
    <row r="2419" spans="1:11" outlineLevel="1" x14ac:dyDescent="0.2">
      <c r="A2419" s="29"/>
      <c r="B2419" s="30" t="s">
        <v>1258</v>
      </c>
      <c r="C2419" s="30" t="s">
        <v>1526</v>
      </c>
      <c r="D2419" s="34" t="s">
        <v>1153</v>
      </c>
      <c r="E2419" s="31">
        <v>0.91200000000000003</v>
      </c>
      <c r="F2419" s="31">
        <v>148</v>
      </c>
      <c r="G2419" s="32">
        <f t="shared" si="384"/>
        <v>134.976</v>
      </c>
      <c r="H2419" s="33">
        <f t="shared" si="382"/>
        <v>6.9985742968233206E-7</v>
      </c>
      <c r="K2419" t="str">
        <f xml:space="preserve"> B2417 &amp; B2419</f>
        <v>Z000188003Z010304001</v>
      </c>
    </row>
    <row r="2420" spans="1:11" outlineLevel="1" x14ac:dyDescent="0.2">
      <c r="A2420" s="29"/>
      <c r="B2420" s="30" t="s">
        <v>1133</v>
      </c>
      <c r="C2420" s="30" t="s">
        <v>2843</v>
      </c>
      <c r="D2420" s="34" t="s">
        <v>152</v>
      </c>
      <c r="E2420" s="31">
        <v>16.408000000000001</v>
      </c>
      <c r="F2420" s="31">
        <v>8.93</v>
      </c>
      <c r="G2420" s="32">
        <f t="shared" si="384"/>
        <v>146.52343999999999</v>
      </c>
      <c r="H2420" s="33">
        <f t="shared" si="382"/>
        <v>7.5973149379603331E-7</v>
      </c>
      <c r="K2420" t="str">
        <f xml:space="preserve"> B2417 &amp; B2420</f>
        <v>Z000188003Z010305003</v>
      </c>
    </row>
    <row r="2421" spans="1:11" outlineLevel="1" x14ac:dyDescent="0.2">
      <c r="A2421" s="29"/>
      <c r="B2421" s="30" t="s">
        <v>23</v>
      </c>
      <c r="C2421" s="30" t="s">
        <v>4243</v>
      </c>
      <c r="D2421" s="34" t="s">
        <v>1781</v>
      </c>
      <c r="E2421" s="31">
        <v>20</v>
      </c>
      <c r="F2421" s="31">
        <v>1319</v>
      </c>
      <c r="G2421" s="32">
        <f t="shared" si="384"/>
        <v>26380</v>
      </c>
      <c r="H2421" s="33">
        <f t="shared" si="382"/>
        <v>1.367816426255032E-4</v>
      </c>
      <c r="K2421" t="str">
        <f xml:space="preserve"> B2417 &amp; B2421</f>
        <v>Z000188003Z020610001</v>
      </c>
    </row>
    <row r="2422" spans="1:11" outlineLevel="1" x14ac:dyDescent="0.2">
      <c r="A2422" s="29"/>
      <c r="B2422" s="30" t="s">
        <v>1009</v>
      </c>
      <c r="C2422" s="30" t="s">
        <v>672</v>
      </c>
      <c r="D2422" s="34" t="s">
        <v>151</v>
      </c>
      <c r="E2422" s="31">
        <v>0</v>
      </c>
      <c r="F2422" s="31">
        <v>16.489999999999998</v>
      </c>
      <c r="G2422" s="32">
        <f t="shared" si="384"/>
        <v>0</v>
      </c>
      <c r="H2422" s="33">
        <f t="shared" si="382"/>
        <v>0</v>
      </c>
      <c r="K2422" t="str">
        <f xml:space="preserve"> B2417 &amp; B2422</f>
        <v>Z000188003Z040201013</v>
      </c>
    </row>
    <row r="2423" spans="1:11" outlineLevel="1" x14ac:dyDescent="0.2">
      <c r="A2423" s="29"/>
      <c r="B2423" s="30" t="s">
        <v>801</v>
      </c>
      <c r="C2423" s="30" t="s">
        <v>402</v>
      </c>
      <c r="D2423" s="34" t="s">
        <v>151</v>
      </c>
      <c r="E2423" s="31">
        <v>0</v>
      </c>
      <c r="F2423" s="31">
        <v>10.3</v>
      </c>
      <c r="G2423" s="32">
        <f t="shared" si="384"/>
        <v>0</v>
      </c>
      <c r="H2423" s="33">
        <f t="shared" si="382"/>
        <v>0</v>
      </c>
      <c r="K2423" t="str">
        <f xml:space="preserve"> B2417 &amp; B2423</f>
        <v>Z000188003Z040202006</v>
      </c>
    </row>
    <row r="2424" spans="1:11" outlineLevel="1" x14ac:dyDescent="0.2">
      <c r="A2424" s="29"/>
      <c r="B2424" s="30" t="s">
        <v>547</v>
      </c>
      <c r="C2424" s="30" t="s">
        <v>2320</v>
      </c>
      <c r="D2424" s="34" t="s">
        <v>151</v>
      </c>
      <c r="E2424" s="31">
        <v>0</v>
      </c>
      <c r="F2424" s="31">
        <v>13.51</v>
      </c>
      <c r="G2424" s="32">
        <f t="shared" si="384"/>
        <v>0</v>
      </c>
      <c r="H2424" s="33">
        <f t="shared" si="382"/>
        <v>0</v>
      </c>
      <c r="K2424" t="str">
        <f xml:space="preserve"> B2417 &amp; B2424</f>
        <v>Z000188003Z040204001</v>
      </c>
    </row>
    <row r="2425" spans="1:11" outlineLevel="1" x14ac:dyDescent="0.2">
      <c r="A2425" s="29"/>
      <c r="B2425" s="30" t="s">
        <v>498</v>
      </c>
      <c r="C2425" s="30" t="s">
        <v>773</v>
      </c>
      <c r="D2425" s="34" t="s">
        <v>84</v>
      </c>
      <c r="E2425" s="31">
        <v>24</v>
      </c>
      <c r="F2425" s="31">
        <v>0</v>
      </c>
      <c r="G2425" s="32">
        <f t="shared" si="384"/>
        <v>0</v>
      </c>
      <c r="H2425" s="33">
        <f t="shared" si="382"/>
        <v>0</v>
      </c>
      <c r="K2425" t="str">
        <f xml:space="preserve"> B2417 &amp; B2425</f>
        <v>Z000188003Z040401001</v>
      </c>
    </row>
    <row r="2426" spans="1:11" outlineLevel="1" x14ac:dyDescent="0.2">
      <c r="A2426" s="29"/>
      <c r="B2426" s="30" t="s">
        <v>66</v>
      </c>
      <c r="C2426" s="30" t="s">
        <v>617</v>
      </c>
      <c r="D2426" s="34" t="s">
        <v>764</v>
      </c>
      <c r="E2426" s="31">
        <v>0</v>
      </c>
      <c r="F2426" s="31">
        <v>5.45</v>
      </c>
      <c r="G2426" s="32">
        <f t="shared" si="384"/>
        <v>0</v>
      </c>
      <c r="H2426" s="33">
        <f t="shared" si="382"/>
        <v>0</v>
      </c>
      <c r="K2426" t="str">
        <f xml:space="preserve"> B2417 &amp; B2426</f>
        <v>Z000188003Z050103019</v>
      </c>
    </row>
    <row r="2427" spans="1:11" outlineLevel="1" x14ac:dyDescent="0.2">
      <c r="A2427" s="29"/>
      <c r="B2427" s="30" t="s">
        <v>120</v>
      </c>
      <c r="C2427" s="30" t="s">
        <v>597</v>
      </c>
      <c r="D2427" s="34" t="s">
        <v>742</v>
      </c>
      <c r="E2427" s="31">
        <v>0</v>
      </c>
      <c r="F2427" s="31">
        <v>1.52</v>
      </c>
      <c r="G2427" s="32">
        <f t="shared" si="384"/>
        <v>0</v>
      </c>
      <c r="H2427" s="33">
        <f t="shared" si="382"/>
        <v>0</v>
      </c>
      <c r="K2427" t="str">
        <f xml:space="preserve"> B2417 &amp; B2427</f>
        <v>Z000188003Z050103020</v>
      </c>
    </row>
    <row r="2428" spans="1:11" outlineLevel="1" x14ac:dyDescent="0.2">
      <c r="A2428" s="11" t="s">
        <v>1961</v>
      </c>
      <c r="B2428" s="11" t="s">
        <v>1801</v>
      </c>
      <c r="C2428" s="11" t="s">
        <v>4246</v>
      </c>
      <c r="D2428" s="12" t="s">
        <v>1152</v>
      </c>
      <c r="E2428" s="13">
        <v>17.5</v>
      </c>
      <c r="F2428" s="14">
        <v>944.65412928000001</v>
      </c>
      <c r="G2428" s="15">
        <f>SUM(G2429:G2439)</f>
        <v>16531.447262400001</v>
      </c>
      <c r="H2428" s="16">
        <f t="shared" si="382"/>
        <v>8.5716395433205078E-5</v>
      </c>
    </row>
    <row r="2429" spans="1:11" outlineLevel="1" x14ac:dyDescent="0.2">
      <c r="A2429" s="29"/>
      <c r="B2429" s="30" t="s">
        <v>1654</v>
      </c>
      <c r="C2429" s="30" t="s">
        <v>1551</v>
      </c>
      <c r="D2429" s="34" t="s">
        <v>1052</v>
      </c>
      <c r="E2429" s="31">
        <v>108.01350000000001</v>
      </c>
      <c r="F2429" s="31">
        <v>0.7974</v>
      </c>
      <c r="G2429" s="32">
        <f t="shared" ref="G2429:G2439" si="385">F2429*E2429</f>
        <v>86.129964900000004</v>
      </c>
      <c r="H2429" s="33">
        <f t="shared" si="382"/>
        <v>4.4658825164135459E-7</v>
      </c>
      <c r="K2429" t="str">
        <f xml:space="preserve"> B2428 &amp; B2429</f>
        <v>Z000189001Z010301001</v>
      </c>
    </row>
    <row r="2430" spans="1:11" outlineLevel="1" x14ac:dyDescent="0.2">
      <c r="A2430" s="29"/>
      <c r="B2430" s="30" t="s">
        <v>1258</v>
      </c>
      <c r="C2430" s="30" t="s">
        <v>1526</v>
      </c>
      <c r="D2430" s="34" t="s">
        <v>1153</v>
      </c>
      <c r="E2430" s="31">
        <v>0.23975000000000002</v>
      </c>
      <c r="F2430" s="31">
        <v>148</v>
      </c>
      <c r="G2430" s="32">
        <f t="shared" si="385"/>
        <v>35.483000000000004</v>
      </c>
      <c r="H2430" s="33">
        <f t="shared" si="382"/>
        <v>1.8398116092800343E-7</v>
      </c>
      <c r="K2430" t="str">
        <f xml:space="preserve"> B2428 &amp; B2430</f>
        <v>Z000189001Z010304001</v>
      </c>
    </row>
    <row r="2431" spans="1:11" outlineLevel="1" x14ac:dyDescent="0.2">
      <c r="A2431" s="29"/>
      <c r="B2431" s="30" t="s">
        <v>1133</v>
      </c>
      <c r="C2431" s="30" t="s">
        <v>2843</v>
      </c>
      <c r="D2431" s="34" t="s">
        <v>152</v>
      </c>
      <c r="E2431" s="31">
        <v>4.3207500000000003</v>
      </c>
      <c r="F2431" s="31">
        <v>8.93</v>
      </c>
      <c r="G2431" s="32">
        <f t="shared" si="385"/>
        <v>38.584297499999998</v>
      </c>
      <c r="H2431" s="33">
        <f t="shared" si="382"/>
        <v>2.000615463078505E-7</v>
      </c>
      <c r="K2431" t="str">
        <f xml:space="preserve"> B2428 &amp; B2431</f>
        <v>Z000189001Z010305003</v>
      </c>
    </row>
    <row r="2432" spans="1:11" outlineLevel="1" x14ac:dyDescent="0.2">
      <c r="A2432" s="29"/>
      <c r="B2432" s="30" t="s">
        <v>1897</v>
      </c>
      <c r="C2432" s="30" t="s">
        <v>4250</v>
      </c>
      <c r="D2432" s="34" t="s">
        <v>1152</v>
      </c>
      <c r="E2432" s="31">
        <v>17.5</v>
      </c>
      <c r="F2432" s="31">
        <v>650</v>
      </c>
      <c r="G2432" s="32">
        <f t="shared" si="385"/>
        <v>11375</v>
      </c>
      <c r="H2432" s="33">
        <f t="shared" si="382"/>
        <v>5.8979953937266824E-5</v>
      </c>
      <c r="K2432" t="str">
        <f xml:space="preserve"> B2428 &amp; B2432</f>
        <v>Z000189001Z020611001</v>
      </c>
    </row>
    <row r="2433" spans="1:11" outlineLevel="1" x14ac:dyDescent="0.2">
      <c r="A2433" s="29"/>
      <c r="B2433" s="30" t="s">
        <v>1899</v>
      </c>
      <c r="C2433" s="30" t="s">
        <v>1782</v>
      </c>
      <c r="D2433" s="34" t="s">
        <v>1781</v>
      </c>
      <c r="E2433" s="31">
        <v>0.99924999999999997</v>
      </c>
      <c r="F2433" s="31">
        <v>5000</v>
      </c>
      <c r="G2433" s="32">
        <f t="shared" si="385"/>
        <v>4996.25</v>
      </c>
      <c r="H2433" s="33">
        <f t="shared" si="382"/>
        <v>2.5905810537061043E-5</v>
      </c>
      <c r="K2433" t="str">
        <f xml:space="preserve"> B2428 &amp; B2433</f>
        <v>Z000189001Z020611002</v>
      </c>
    </row>
    <row r="2434" spans="1:11" outlineLevel="1" x14ac:dyDescent="0.2">
      <c r="A2434" s="29"/>
      <c r="B2434" s="30" t="s">
        <v>1009</v>
      </c>
      <c r="C2434" s="30" t="s">
        <v>672</v>
      </c>
      <c r="D2434" s="34" t="s">
        <v>151</v>
      </c>
      <c r="E2434" s="31">
        <v>0</v>
      </c>
      <c r="F2434" s="31">
        <v>16.489999999999998</v>
      </c>
      <c r="G2434" s="32">
        <f t="shared" si="385"/>
        <v>0</v>
      </c>
      <c r="H2434" s="33">
        <f t="shared" si="382"/>
        <v>0</v>
      </c>
      <c r="K2434" t="str">
        <f xml:space="preserve"> B2428 &amp; B2434</f>
        <v>Z000189001Z040201013</v>
      </c>
    </row>
    <row r="2435" spans="1:11" outlineLevel="1" x14ac:dyDescent="0.2">
      <c r="A2435" s="29"/>
      <c r="B2435" s="30" t="s">
        <v>801</v>
      </c>
      <c r="C2435" s="30" t="s">
        <v>402</v>
      </c>
      <c r="D2435" s="34" t="s">
        <v>151</v>
      </c>
      <c r="E2435" s="31">
        <v>0</v>
      </c>
      <c r="F2435" s="31">
        <v>10.3</v>
      </c>
      <c r="G2435" s="32">
        <f t="shared" si="385"/>
        <v>0</v>
      </c>
      <c r="H2435" s="33">
        <f t="shared" si="382"/>
        <v>0</v>
      </c>
      <c r="K2435" t="str">
        <f xml:space="preserve"> B2428 &amp; B2435</f>
        <v>Z000189001Z040202006</v>
      </c>
    </row>
    <row r="2436" spans="1:11" outlineLevel="1" x14ac:dyDescent="0.2">
      <c r="A2436" s="29"/>
      <c r="B2436" s="30" t="s">
        <v>547</v>
      </c>
      <c r="C2436" s="30" t="s">
        <v>2320</v>
      </c>
      <c r="D2436" s="34" t="s">
        <v>151</v>
      </c>
      <c r="E2436" s="31">
        <v>0</v>
      </c>
      <c r="F2436" s="31">
        <v>13.51</v>
      </c>
      <c r="G2436" s="32">
        <f t="shared" si="385"/>
        <v>0</v>
      </c>
      <c r="H2436" s="33">
        <f t="shared" si="382"/>
        <v>0</v>
      </c>
      <c r="K2436" t="str">
        <f xml:space="preserve"> B2428 &amp; B2436</f>
        <v>Z000189001Z040204001</v>
      </c>
    </row>
    <row r="2437" spans="1:11" outlineLevel="1" x14ac:dyDescent="0.2">
      <c r="A2437" s="29"/>
      <c r="B2437" s="30" t="s">
        <v>498</v>
      </c>
      <c r="C2437" s="30" t="s">
        <v>773</v>
      </c>
      <c r="D2437" s="34" t="s">
        <v>84</v>
      </c>
      <c r="E2437" s="31">
        <v>21</v>
      </c>
      <c r="F2437" s="31">
        <v>0</v>
      </c>
      <c r="G2437" s="32">
        <f t="shared" si="385"/>
        <v>0</v>
      </c>
      <c r="H2437" s="33">
        <f t="shared" si="382"/>
        <v>0</v>
      </c>
      <c r="K2437" t="str">
        <f xml:space="preserve"> B2428 &amp; B2437</f>
        <v>Z000189001Z040401001</v>
      </c>
    </row>
    <row r="2438" spans="1:11" outlineLevel="1" x14ac:dyDescent="0.2">
      <c r="A2438" s="29"/>
      <c r="B2438" s="30" t="s">
        <v>66</v>
      </c>
      <c r="C2438" s="30" t="s">
        <v>617</v>
      </c>
      <c r="D2438" s="34" t="s">
        <v>764</v>
      </c>
      <c r="E2438" s="31">
        <v>0</v>
      </c>
      <c r="F2438" s="31">
        <v>5.45</v>
      </c>
      <c r="G2438" s="32">
        <f t="shared" si="385"/>
        <v>0</v>
      </c>
      <c r="H2438" s="33">
        <f t="shared" si="382"/>
        <v>0</v>
      </c>
      <c r="K2438" t="str">
        <f xml:space="preserve"> B2428 &amp; B2438</f>
        <v>Z000189001Z050103019</v>
      </c>
    </row>
    <row r="2439" spans="1:11" outlineLevel="1" x14ac:dyDescent="0.2">
      <c r="A2439" s="29"/>
      <c r="B2439" s="30" t="s">
        <v>120</v>
      </c>
      <c r="C2439" s="30" t="s">
        <v>597</v>
      </c>
      <c r="D2439" s="34" t="s">
        <v>742</v>
      </c>
      <c r="E2439" s="31">
        <v>0</v>
      </c>
      <c r="F2439" s="31">
        <v>1.52</v>
      </c>
      <c r="G2439" s="32">
        <f t="shared" si="385"/>
        <v>0</v>
      </c>
      <c r="H2439" s="33">
        <f t="shared" si="382"/>
        <v>0</v>
      </c>
      <c r="K2439" t="str">
        <f xml:space="preserve"> B2428 &amp; B2439</f>
        <v>Z000189001Z050103020</v>
      </c>
    </row>
    <row r="2440" spans="1:11" outlineLevel="1" x14ac:dyDescent="0.2">
      <c r="A2440" s="11" t="s">
        <v>5239</v>
      </c>
      <c r="B2440" s="11" t="s">
        <v>1805</v>
      </c>
      <c r="C2440" s="11" t="s">
        <v>4260</v>
      </c>
      <c r="D2440" s="12" t="s">
        <v>1152</v>
      </c>
      <c r="E2440" s="13">
        <v>82.57</v>
      </c>
      <c r="F2440" s="14">
        <v>479.99999999999994</v>
      </c>
      <c r="G2440" s="15">
        <f>SUM(G2441:G2442)</f>
        <v>39633.599999999991</v>
      </c>
      <c r="H2440" s="16">
        <f t="shared" si="382"/>
        <v>2.0550223317521388E-4</v>
      </c>
    </row>
    <row r="2441" spans="1:11" outlineLevel="1" x14ac:dyDescent="0.2">
      <c r="A2441" s="29"/>
      <c r="B2441" s="30" t="s">
        <v>971</v>
      </c>
      <c r="C2441" s="30" t="s">
        <v>4258</v>
      </c>
      <c r="D2441" s="34" t="s">
        <v>1152</v>
      </c>
      <c r="E2441" s="31">
        <v>82.57</v>
      </c>
      <c r="F2441" s="31">
        <v>300</v>
      </c>
      <c r="G2441" s="32">
        <f t="shared" ref="G2441:G2442" si="386">F2441*E2441</f>
        <v>24770.999999999996</v>
      </c>
      <c r="H2441" s="33">
        <f t="shared" si="382"/>
        <v>1.2843889573450868E-4</v>
      </c>
      <c r="K2441" t="str">
        <f xml:space="preserve"> B2440 &amp; B2441</f>
        <v>Z000189002Z020618003</v>
      </c>
    </row>
    <row r="2442" spans="1:11" outlineLevel="1" x14ac:dyDescent="0.2">
      <c r="A2442" s="29"/>
      <c r="B2442" s="30" t="s">
        <v>1937</v>
      </c>
      <c r="C2442" s="30" t="s">
        <v>4261</v>
      </c>
      <c r="D2442" s="34" t="s">
        <v>1819</v>
      </c>
      <c r="E2442" s="31">
        <v>82.57</v>
      </c>
      <c r="F2442" s="31">
        <v>180</v>
      </c>
      <c r="G2442" s="32">
        <f t="shared" si="386"/>
        <v>14862.599999999999</v>
      </c>
      <c r="H2442" s="33">
        <f t="shared" si="382"/>
        <v>7.7063337440705211E-5</v>
      </c>
      <c r="K2442" t="str">
        <f xml:space="preserve"> B2440 &amp; B2442</f>
        <v>Z000189002Z040310034</v>
      </c>
    </row>
    <row r="2443" spans="1:11" outlineLevel="1" x14ac:dyDescent="0.2">
      <c r="A2443" s="11" t="s">
        <v>5228</v>
      </c>
      <c r="B2443" s="11" t="s">
        <v>5225</v>
      </c>
      <c r="C2443" s="11" t="s">
        <v>5230</v>
      </c>
      <c r="D2443" s="12" t="s">
        <v>1152</v>
      </c>
      <c r="E2443" s="13">
        <v>2</v>
      </c>
      <c r="F2443" s="14">
        <v>800</v>
      </c>
      <c r="G2443" s="15">
        <f>SUM(G2444:G2445)</f>
        <v>1600</v>
      </c>
      <c r="H2443" s="16">
        <f t="shared" ref="H2443:H2445" si="387">G2443/$F$2</f>
        <v>8.2960814329342346E-6</v>
      </c>
    </row>
    <row r="2444" spans="1:11" outlineLevel="1" x14ac:dyDescent="0.2">
      <c r="A2444" s="29"/>
      <c r="B2444" s="30" t="s">
        <v>5231</v>
      </c>
      <c r="C2444" s="30" t="s">
        <v>5232</v>
      </c>
      <c r="D2444" s="34" t="s">
        <v>1152</v>
      </c>
      <c r="E2444" s="31">
        <v>2</v>
      </c>
      <c r="F2444" s="31">
        <v>600</v>
      </c>
      <c r="G2444" s="32">
        <f t="shared" ref="G2444:G2445" si="388">F2444*E2444</f>
        <v>1200</v>
      </c>
      <c r="H2444" s="33">
        <f t="shared" si="387"/>
        <v>6.222061074700676E-6</v>
      </c>
      <c r="K2444" t="str">
        <f xml:space="preserve"> B2443 &amp; B2444</f>
        <v>Z000182005Z020603003</v>
      </c>
    </row>
    <row r="2445" spans="1:11" outlineLevel="1" x14ac:dyDescent="0.2">
      <c r="A2445" s="29"/>
      <c r="B2445" s="30" t="s">
        <v>5226</v>
      </c>
      <c r="C2445" s="30" t="s">
        <v>5227</v>
      </c>
      <c r="D2445" s="34" t="s">
        <v>1819</v>
      </c>
      <c r="E2445" s="31">
        <v>2</v>
      </c>
      <c r="F2445" s="31">
        <v>200</v>
      </c>
      <c r="G2445" s="32">
        <f t="shared" si="388"/>
        <v>400</v>
      </c>
      <c r="H2445" s="33">
        <f t="shared" si="387"/>
        <v>2.0740203582335587E-6</v>
      </c>
      <c r="K2445" t="str">
        <f xml:space="preserve"> B2443 &amp; B2445</f>
        <v>Z000182005Z040310033</v>
      </c>
    </row>
    <row r="2446" spans="1:11" ht="18.75" x14ac:dyDescent="0.2">
      <c r="A2446" s="5">
        <v>19</v>
      </c>
      <c r="B2446" s="5" t="s">
        <v>328</v>
      </c>
      <c r="C2446" s="5" t="s">
        <v>679</v>
      </c>
      <c r="D2446" s="6"/>
      <c r="E2446" s="7"/>
      <c r="F2446" s="8"/>
      <c r="G2446" s="9">
        <f>SUM(G2447)</f>
        <v>1485600</v>
      </c>
      <c r="H2446" s="10">
        <f t="shared" si="382"/>
        <v>7.7029116104794368E-3</v>
      </c>
    </row>
    <row r="2447" spans="1:11" ht="15" x14ac:dyDescent="0.2">
      <c r="A2447" s="17" t="s">
        <v>2054</v>
      </c>
      <c r="B2447" s="17" t="s">
        <v>328</v>
      </c>
      <c r="C2447" s="17" t="s">
        <v>1836</v>
      </c>
      <c r="D2447" s="18"/>
      <c r="E2447" s="19"/>
      <c r="F2447" s="20"/>
      <c r="G2447" s="21">
        <f>SUM(G2448,G2451,G2454)</f>
        <v>1485600</v>
      </c>
      <c r="H2447" s="22">
        <f t="shared" si="382"/>
        <v>7.7029116104794368E-3</v>
      </c>
    </row>
    <row r="2448" spans="1:11" outlineLevel="1" x14ac:dyDescent="0.2">
      <c r="A2448" s="11" t="s">
        <v>281</v>
      </c>
      <c r="B2448" s="11" t="s">
        <v>5240</v>
      </c>
      <c r="C2448" s="11" t="s">
        <v>5245</v>
      </c>
      <c r="D2448" s="12" t="s">
        <v>1152</v>
      </c>
      <c r="E2448" s="13">
        <v>120</v>
      </c>
      <c r="F2448" s="14">
        <v>5650</v>
      </c>
      <c r="G2448" s="15">
        <f>SUM(G2449:G2450)</f>
        <v>678000</v>
      </c>
      <c r="H2448" s="16">
        <f t="shared" si="382"/>
        <v>3.5154645072058822E-3</v>
      </c>
    </row>
    <row r="2449" spans="1:11" outlineLevel="1" x14ac:dyDescent="0.2">
      <c r="A2449" s="29"/>
      <c r="B2449" s="30" t="s">
        <v>5246</v>
      </c>
      <c r="C2449" s="30" t="s">
        <v>5247</v>
      </c>
      <c r="D2449" s="34" t="s">
        <v>1819</v>
      </c>
      <c r="E2449" s="31">
        <v>120</v>
      </c>
      <c r="F2449" s="31">
        <v>5200</v>
      </c>
      <c r="G2449" s="32">
        <f t="shared" ref="G2449:G2450" si="389">F2449*E2449</f>
        <v>624000</v>
      </c>
      <c r="H2449" s="33">
        <f t="shared" si="382"/>
        <v>3.2354717588443517E-3</v>
      </c>
      <c r="K2449" t="str">
        <f xml:space="preserve"> B2448 &amp; B2449</f>
        <v>Z000191002Z020701006</v>
      </c>
    </row>
    <row r="2450" spans="1:11" outlineLevel="1" x14ac:dyDescent="0.2">
      <c r="A2450" s="29"/>
      <c r="B2450" s="30" t="s">
        <v>5241</v>
      </c>
      <c r="C2450" s="30" t="s">
        <v>5242</v>
      </c>
      <c r="D2450" s="34" t="s">
        <v>1819</v>
      </c>
      <c r="E2450" s="31">
        <v>120</v>
      </c>
      <c r="F2450" s="31">
        <v>450</v>
      </c>
      <c r="G2450" s="32">
        <f t="shared" si="389"/>
        <v>54000</v>
      </c>
      <c r="H2450" s="33">
        <f t="shared" si="382"/>
        <v>2.7999274836153042E-4</v>
      </c>
      <c r="K2450" t="str">
        <f xml:space="preserve"> B2448 &amp; B2450</f>
        <v>Z000191002Z040311026</v>
      </c>
    </row>
    <row r="2451" spans="1:11" outlineLevel="1" x14ac:dyDescent="0.2">
      <c r="A2451" s="11" t="s">
        <v>5252</v>
      </c>
      <c r="B2451" s="11" t="s">
        <v>5249</v>
      </c>
      <c r="C2451" s="11" t="s">
        <v>5254</v>
      </c>
      <c r="D2451" s="12" t="s">
        <v>1152</v>
      </c>
      <c r="E2451" s="13">
        <v>12</v>
      </c>
      <c r="F2451" s="14">
        <v>5650</v>
      </c>
      <c r="G2451" s="15">
        <f>SUM(G2452:G2453)</f>
        <v>67800</v>
      </c>
      <c r="H2451" s="16">
        <f t="shared" ref="H2451:H2456" si="390">G2451/$F$2</f>
        <v>3.5154645072058818E-4</v>
      </c>
    </row>
    <row r="2452" spans="1:11" outlineLevel="1" x14ac:dyDescent="0.2">
      <c r="A2452" s="29"/>
      <c r="B2452" s="30" t="s">
        <v>5250</v>
      </c>
      <c r="C2452" s="30" t="s">
        <v>5251</v>
      </c>
      <c r="D2452" s="34" t="s">
        <v>1819</v>
      </c>
      <c r="E2452" s="31">
        <v>12</v>
      </c>
      <c r="F2452" s="31">
        <v>5200</v>
      </c>
      <c r="G2452" s="32">
        <f t="shared" ref="G2452:G2453" si="391">F2452*E2452</f>
        <v>62400</v>
      </c>
      <c r="H2452" s="33">
        <f t="shared" si="390"/>
        <v>3.2354717588443515E-4</v>
      </c>
      <c r="K2452" t="str">
        <f xml:space="preserve"> B2451 &amp; B2452</f>
        <v>Z000191003Z020701007</v>
      </c>
    </row>
    <row r="2453" spans="1:11" outlineLevel="1" x14ac:dyDescent="0.2">
      <c r="A2453" s="29"/>
      <c r="B2453" s="30" t="s">
        <v>5255</v>
      </c>
      <c r="C2453" s="30" t="s">
        <v>5256</v>
      </c>
      <c r="D2453" s="34" t="s">
        <v>1819</v>
      </c>
      <c r="E2453" s="31">
        <v>12</v>
      </c>
      <c r="F2453" s="31">
        <v>450</v>
      </c>
      <c r="G2453" s="32">
        <f t="shared" si="391"/>
        <v>5400</v>
      </c>
      <c r="H2453" s="33">
        <f t="shared" si="390"/>
        <v>2.7999274836153043E-5</v>
      </c>
      <c r="K2453" t="str">
        <f xml:space="preserve"> B2451 &amp; B2453</f>
        <v>Z000191003Z040311027</v>
      </c>
    </row>
    <row r="2454" spans="1:11" outlineLevel="1" x14ac:dyDescent="0.2">
      <c r="A2454" s="11" t="s">
        <v>5261</v>
      </c>
      <c r="B2454" s="11" t="s">
        <v>5258</v>
      </c>
      <c r="C2454" s="11" t="s">
        <v>5263</v>
      </c>
      <c r="D2454" s="12" t="s">
        <v>1152</v>
      </c>
      <c r="E2454" s="13">
        <v>108</v>
      </c>
      <c r="F2454" s="14">
        <v>6850</v>
      </c>
      <c r="G2454" s="15">
        <f>SUM(G2455:G2456)</f>
        <v>739800</v>
      </c>
      <c r="H2454" s="16">
        <f t="shared" si="390"/>
        <v>3.8359006525529667E-3</v>
      </c>
    </row>
    <row r="2455" spans="1:11" outlineLevel="1" x14ac:dyDescent="0.2">
      <c r="A2455" s="29"/>
      <c r="B2455" s="30" t="s">
        <v>5259</v>
      </c>
      <c r="C2455" s="30" t="s">
        <v>5260</v>
      </c>
      <c r="D2455" s="34" t="s">
        <v>1819</v>
      </c>
      <c r="E2455" s="31">
        <v>108</v>
      </c>
      <c r="F2455" s="31">
        <v>6400</v>
      </c>
      <c r="G2455" s="32">
        <f t="shared" ref="G2455:G2456" si="392">F2455*E2455</f>
        <v>691200</v>
      </c>
      <c r="H2455" s="33">
        <f t="shared" si="390"/>
        <v>3.5839071790275895E-3</v>
      </c>
      <c r="K2455" t="str">
        <f xml:space="preserve"> B2454 &amp; B2455</f>
        <v>Z000191004Z020701008</v>
      </c>
    </row>
    <row r="2456" spans="1:11" outlineLevel="1" x14ac:dyDescent="0.2">
      <c r="A2456" s="29"/>
      <c r="B2456" s="30" t="s">
        <v>5264</v>
      </c>
      <c r="C2456" s="30" t="s">
        <v>5265</v>
      </c>
      <c r="D2456" s="34" t="s">
        <v>1819</v>
      </c>
      <c r="E2456" s="31">
        <v>108</v>
      </c>
      <c r="F2456" s="31">
        <v>450</v>
      </c>
      <c r="G2456" s="32">
        <f t="shared" si="392"/>
        <v>48600</v>
      </c>
      <c r="H2456" s="33">
        <f t="shared" si="390"/>
        <v>2.5199347352537738E-4</v>
      </c>
      <c r="K2456" t="str">
        <f xml:space="preserve"> B2454 &amp; B2456</f>
        <v>Z000191004Z040311028</v>
      </c>
    </row>
    <row r="2457" spans="1:11" ht="18.75" x14ac:dyDescent="0.2">
      <c r="A2457" s="5">
        <v>20</v>
      </c>
      <c r="B2457" s="5" t="s">
        <v>328</v>
      </c>
      <c r="C2457" s="5" t="s">
        <v>1048</v>
      </c>
      <c r="D2457" s="6"/>
      <c r="E2457" s="7"/>
      <c r="F2457" s="8"/>
      <c r="G2457" s="9">
        <f>SUM(G2458)</f>
        <v>1732953.2450000001</v>
      </c>
      <c r="H2457" s="10">
        <f t="shared" si="382"/>
        <v>8.9854507749922707E-3</v>
      </c>
    </row>
    <row r="2458" spans="1:11" ht="15" x14ac:dyDescent="0.2">
      <c r="A2458" s="17" t="s">
        <v>2055</v>
      </c>
      <c r="B2458" s="17" t="s">
        <v>328</v>
      </c>
      <c r="C2458" s="17" t="s">
        <v>12</v>
      </c>
      <c r="D2458" s="18"/>
      <c r="E2458" s="19"/>
      <c r="F2458" s="20"/>
      <c r="G2458" s="21">
        <f>SUM(G2459,G2462,G2465)</f>
        <v>1732953.2450000001</v>
      </c>
      <c r="H2458" s="22">
        <f t="shared" si="382"/>
        <v>8.9854507749922707E-3</v>
      </c>
    </row>
    <row r="2459" spans="1:11" outlineLevel="1" x14ac:dyDescent="0.2">
      <c r="A2459" s="11" t="s">
        <v>70</v>
      </c>
      <c r="B2459" s="11" t="s">
        <v>775</v>
      </c>
      <c r="C2459" s="11" t="s">
        <v>4265</v>
      </c>
      <c r="D2459" s="12" t="s">
        <v>1152</v>
      </c>
      <c r="E2459" s="13">
        <v>21263.23</v>
      </c>
      <c r="F2459" s="14">
        <v>48</v>
      </c>
      <c r="G2459" s="15">
        <f>SUM(G2460:G2461)</f>
        <v>1020635.04</v>
      </c>
      <c r="H2459" s="16">
        <f t="shared" si="382"/>
        <v>5.2920446282163063E-3</v>
      </c>
    </row>
    <row r="2460" spans="1:11" outlineLevel="1" x14ac:dyDescent="0.2">
      <c r="A2460" s="29"/>
      <c r="B2460" s="30" t="s">
        <v>774</v>
      </c>
      <c r="C2460" s="30" t="s">
        <v>4263</v>
      </c>
      <c r="D2460" s="34" t="s">
        <v>1819</v>
      </c>
      <c r="E2460" s="31">
        <v>21263.23</v>
      </c>
      <c r="F2460" s="31">
        <v>43.2</v>
      </c>
      <c r="G2460" s="32">
        <f t="shared" ref="G2460:G2461" si="393">F2460*E2460</f>
        <v>918571.53600000008</v>
      </c>
      <c r="H2460" s="33">
        <f t="shared" si="382"/>
        <v>4.7628401653946762E-3</v>
      </c>
      <c r="K2460" t="str">
        <f xml:space="preserve"> B2459 &amp; B2460</f>
        <v>Z000201001Z020701002</v>
      </c>
    </row>
    <row r="2461" spans="1:11" outlineLevel="1" x14ac:dyDescent="0.2">
      <c r="A2461" s="29"/>
      <c r="B2461" s="30" t="s">
        <v>1600</v>
      </c>
      <c r="C2461" s="30" t="s">
        <v>4266</v>
      </c>
      <c r="D2461" s="34" t="s">
        <v>1819</v>
      </c>
      <c r="E2461" s="31">
        <v>21263.23</v>
      </c>
      <c r="F2461" s="31">
        <v>4.8</v>
      </c>
      <c r="G2461" s="32">
        <f t="shared" si="393"/>
        <v>102063.504</v>
      </c>
      <c r="H2461" s="33">
        <f t="shared" si="382"/>
        <v>5.2920446282163065E-4</v>
      </c>
      <c r="K2461" t="str">
        <f xml:space="preserve"> B2459 &amp; B2461</f>
        <v>Z000201001Z040311002</v>
      </c>
    </row>
    <row r="2462" spans="1:11" outlineLevel="1" x14ac:dyDescent="0.2">
      <c r="A2462" s="11" t="s">
        <v>74</v>
      </c>
      <c r="B2462" s="11" t="s">
        <v>648</v>
      </c>
      <c r="C2462" s="11" t="s">
        <v>4270</v>
      </c>
      <c r="D2462" s="12" t="s">
        <v>1152</v>
      </c>
      <c r="E2462" s="13">
        <v>21263.23</v>
      </c>
      <c r="F2462" s="14">
        <v>25</v>
      </c>
      <c r="G2462" s="15">
        <f>SUM(G2463:G2464)</f>
        <v>531580.75</v>
      </c>
      <c r="H2462" s="16">
        <f t="shared" si="382"/>
        <v>2.7562732438626597E-3</v>
      </c>
    </row>
    <row r="2463" spans="1:11" outlineLevel="1" x14ac:dyDescent="0.2">
      <c r="A2463" s="29"/>
      <c r="B2463" s="30" t="s">
        <v>779</v>
      </c>
      <c r="C2463" s="30" t="s">
        <v>4268</v>
      </c>
      <c r="D2463" s="34" t="s">
        <v>1819</v>
      </c>
      <c r="E2463" s="31">
        <v>21263.23</v>
      </c>
      <c r="F2463" s="31">
        <v>22.5</v>
      </c>
      <c r="G2463" s="32">
        <f t="shared" ref="G2463:G2464" si="394">F2463*E2463</f>
        <v>478422.67499999999</v>
      </c>
      <c r="H2463" s="33">
        <f t="shared" si="382"/>
        <v>2.4806459194763935E-3</v>
      </c>
      <c r="K2463" t="str">
        <f xml:space="preserve"> B2462 &amp; B2463</f>
        <v>Z000202001Z020701003</v>
      </c>
    </row>
    <row r="2464" spans="1:11" outlineLevel="1" x14ac:dyDescent="0.2">
      <c r="A2464" s="29"/>
      <c r="B2464" s="30" t="s">
        <v>1602</v>
      </c>
      <c r="C2464" s="30" t="s">
        <v>4271</v>
      </c>
      <c r="D2464" s="34" t="s">
        <v>1819</v>
      </c>
      <c r="E2464" s="31">
        <v>21263.23</v>
      </c>
      <c r="F2464" s="31">
        <v>2.5</v>
      </c>
      <c r="G2464" s="32">
        <f t="shared" si="394"/>
        <v>53158.074999999997</v>
      </c>
      <c r="H2464" s="33">
        <f t="shared" si="382"/>
        <v>2.7562732438626592E-4</v>
      </c>
      <c r="K2464" t="str">
        <f xml:space="preserve"> B2462 &amp; B2464</f>
        <v>Z000202001Z040311003</v>
      </c>
    </row>
    <row r="2465" spans="1:11" outlineLevel="1" x14ac:dyDescent="0.2">
      <c r="A2465" s="11" t="s">
        <v>76</v>
      </c>
      <c r="B2465" s="11" t="s">
        <v>542</v>
      </c>
      <c r="C2465" s="11" t="s">
        <v>4275</v>
      </c>
      <c r="D2465" s="12" t="s">
        <v>1152</v>
      </c>
      <c r="E2465" s="13">
        <v>21263.23</v>
      </c>
      <c r="F2465" s="14">
        <v>8.5</v>
      </c>
      <c r="G2465" s="15">
        <f>SUM(G2466:G2467)</f>
        <v>180737.45499999999</v>
      </c>
      <c r="H2465" s="16">
        <f t="shared" si="382"/>
        <v>9.3713290291330415E-4</v>
      </c>
    </row>
    <row r="2466" spans="1:11" outlineLevel="1" x14ac:dyDescent="0.2">
      <c r="A2466" s="29"/>
      <c r="B2466" s="30" t="s">
        <v>782</v>
      </c>
      <c r="C2466" s="30" t="s">
        <v>4273</v>
      </c>
      <c r="D2466" s="34" t="s">
        <v>1819</v>
      </c>
      <c r="E2466" s="31">
        <v>21263.23</v>
      </c>
      <c r="F2466" s="31">
        <v>7.65</v>
      </c>
      <c r="G2466" s="32">
        <f t="shared" ref="G2466:G2467" si="395">F2466*E2466</f>
        <v>162663.7095</v>
      </c>
      <c r="H2466" s="33">
        <f t="shared" si="382"/>
        <v>8.4341961262197386E-4</v>
      </c>
      <c r="K2466" t="str">
        <f xml:space="preserve"> B2465 &amp; B2466</f>
        <v>Z000203001Z020701004</v>
      </c>
    </row>
    <row r="2467" spans="1:11" outlineLevel="1" x14ac:dyDescent="0.2">
      <c r="A2467" s="29"/>
      <c r="B2467" s="30" t="s">
        <v>1603</v>
      </c>
      <c r="C2467" s="30" t="s">
        <v>4276</v>
      </c>
      <c r="D2467" s="34" t="s">
        <v>1819</v>
      </c>
      <c r="E2467" s="31">
        <v>21263.23</v>
      </c>
      <c r="F2467" s="31">
        <v>0.85</v>
      </c>
      <c r="G2467" s="32">
        <f t="shared" si="395"/>
        <v>18073.745500000001</v>
      </c>
      <c r="H2467" s="33">
        <f t="shared" si="382"/>
        <v>9.3713290291330432E-5</v>
      </c>
      <c r="K2467" t="str">
        <f xml:space="preserve"> B2465 &amp; B2467</f>
        <v>Z000203001Z040311004</v>
      </c>
    </row>
    <row r="2468" spans="1:11" ht="18.75" x14ac:dyDescent="0.2">
      <c r="A2468" s="5">
        <v>21</v>
      </c>
      <c r="B2468" s="5" t="s">
        <v>328</v>
      </c>
      <c r="C2468" s="5" t="s">
        <v>899</v>
      </c>
      <c r="D2468" s="6"/>
      <c r="E2468" s="7"/>
      <c r="F2468" s="8"/>
      <c r="G2468" s="9">
        <f>SUM(G2469,G2475,G2482,G2488,G2493,G2499,G2503,G2509,G2515,G2519,G2523,G2529,G2535,G2539)</f>
        <v>23365289.528246995</v>
      </c>
      <c r="H2468" s="10">
        <f t="shared" si="382"/>
        <v>0.12115021539401413</v>
      </c>
    </row>
    <row r="2469" spans="1:11" ht="15" x14ac:dyDescent="0.2">
      <c r="A2469" s="17" t="s">
        <v>2056</v>
      </c>
      <c r="B2469" s="17" t="s">
        <v>328</v>
      </c>
      <c r="C2469" s="17" t="s">
        <v>181</v>
      </c>
      <c r="D2469" s="18"/>
      <c r="E2469" s="19"/>
      <c r="F2469" s="20"/>
      <c r="G2469" s="21">
        <f>SUM(G2470)</f>
        <v>4940086.2259</v>
      </c>
      <c r="H2469" s="22">
        <f t="shared" si="382"/>
        <v>2.5614598509864469E-2</v>
      </c>
    </row>
    <row r="2470" spans="1:11" outlineLevel="1" x14ac:dyDescent="0.2">
      <c r="A2470" s="11" t="s">
        <v>1</v>
      </c>
      <c r="B2470" s="11" t="s">
        <v>611</v>
      </c>
      <c r="C2470" s="11" t="s">
        <v>1421</v>
      </c>
      <c r="D2470" s="12" t="s">
        <v>1152</v>
      </c>
      <c r="E2470" s="13">
        <v>21263.23</v>
      </c>
      <c r="F2470" s="14">
        <v>232.33</v>
      </c>
      <c r="G2470" s="15">
        <f>SUM(G2471:G2474)</f>
        <v>4940086.2259</v>
      </c>
      <c r="H2470" s="16">
        <f t="shared" si="382"/>
        <v>2.5614598509864469E-2</v>
      </c>
    </row>
    <row r="2471" spans="1:11" outlineLevel="1" x14ac:dyDescent="0.2">
      <c r="A2471" s="29"/>
      <c r="B2471" s="30" t="s">
        <v>27</v>
      </c>
      <c r="C2471" s="30" t="s">
        <v>4278</v>
      </c>
      <c r="D2471" s="34" t="s">
        <v>1819</v>
      </c>
      <c r="E2471" s="31">
        <v>21263.23</v>
      </c>
      <c r="F2471" s="31">
        <v>55.79</v>
      </c>
      <c r="G2471" s="32">
        <f t="shared" ref="G2471:G2474" si="396">F2471*E2471</f>
        <v>1186275.6017</v>
      </c>
      <c r="H2471" s="33">
        <f t="shared" si="382"/>
        <v>6.1508993710039112E-3</v>
      </c>
      <c r="K2471" t="str">
        <f xml:space="preserve"> B2470 &amp; B2471</f>
        <v>Z000211001Z011101001</v>
      </c>
    </row>
    <row r="2472" spans="1:11" outlineLevel="1" x14ac:dyDescent="0.2">
      <c r="A2472" s="29"/>
      <c r="B2472" s="30" t="s">
        <v>29</v>
      </c>
      <c r="C2472" s="30" t="s">
        <v>4280</v>
      </c>
      <c r="D2472" s="34" t="s">
        <v>1819</v>
      </c>
      <c r="E2472" s="31">
        <v>21263.23</v>
      </c>
      <c r="F2472" s="31">
        <v>17.010000000000002</v>
      </c>
      <c r="G2472" s="32">
        <f t="shared" si="396"/>
        <v>361687.54230000003</v>
      </c>
      <c r="H2472" s="33">
        <f t="shared" si="382"/>
        <v>1.8753683151241536E-3</v>
      </c>
      <c r="K2472" t="str">
        <f xml:space="preserve"> B2470 &amp; B2472</f>
        <v>Z000211001Z011101002</v>
      </c>
    </row>
    <row r="2473" spans="1:11" outlineLevel="1" x14ac:dyDescent="0.2">
      <c r="A2473" s="29"/>
      <c r="B2473" s="30" t="s">
        <v>32</v>
      </c>
      <c r="C2473" s="30" t="s">
        <v>4282</v>
      </c>
      <c r="D2473" s="34" t="s">
        <v>1819</v>
      </c>
      <c r="E2473" s="31">
        <v>21263.23</v>
      </c>
      <c r="F2473" s="31">
        <v>39.880000000000003</v>
      </c>
      <c r="G2473" s="32">
        <f t="shared" si="396"/>
        <v>847977.61239999998</v>
      </c>
      <c r="H2473" s="33">
        <f t="shared" si="382"/>
        <v>4.3968070786097142E-3</v>
      </c>
      <c r="K2473" t="str">
        <f xml:space="preserve"> B2470 &amp; B2473</f>
        <v>Z000211001Z011101003</v>
      </c>
    </row>
    <row r="2474" spans="1:11" outlineLevel="1" x14ac:dyDescent="0.2">
      <c r="A2474" s="29"/>
      <c r="B2474" s="30" t="s">
        <v>1605</v>
      </c>
      <c r="C2474" s="30" t="s">
        <v>4284</v>
      </c>
      <c r="D2474" s="34" t="s">
        <v>1819</v>
      </c>
      <c r="E2474" s="31">
        <v>21263.23</v>
      </c>
      <c r="F2474" s="31">
        <v>119.65</v>
      </c>
      <c r="G2474" s="32">
        <f t="shared" si="396"/>
        <v>2544145.4695000001</v>
      </c>
      <c r="H2474" s="33">
        <f t="shared" si="382"/>
        <v>1.319152374512669E-2</v>
      </c>
      <c r="K2474" t="str">
        <f xml:space="preserve"> B2470 &amp; B2474</f>
        <v>Z000211001Z040311005</v>
      </c>
    </row>
    <row r="2475" spans="1:11" ht="15" x14ac:dyDescent="0.2">
      <c r="A2475" s="17" t="s">
        <v>2057</v>
      </c>
      <c r="B2475" s="17" t="s">
        <v>328</v>
      </c>
      <c r="C2475" s="17" t="s">
        <v>1935</v>
      </c>
      <c r="D2475" s="18"/>
      <c r="E2475" s="19"/>
      <c r="F2475" s="20"/>
      <c r="G2475" s="21">
        <f>SUM(G2476)</f>
        <v>8477862.4332999997</v>
      </c>
      <c r="H2475" s="22">
        <f t="shared" si="382"/>
        <v>4.3958148202419237E-2</v>
      </c>
    </row>
    <row r="2476" spans="1:11" outlineLevel="1" x14ac:dyDescent="0.2">
      <c r="A2476" s="11" t="s">
        <v>1873</v>
      </c>
      <c r="B2476" s="11" t="s">
        <v>512</v>
      </c>
      <c r="C2476" s="11" t="s">
        <v>711</v>
      </c>
      <c r="D2476" s="12" t="s">
        <v>1152</v>
      </c>
      <c r="E2476" s="13">
        <v>21263.23</v>
      </c>
      <c r="F2476" s="14">
        <v>398.71</v>
      </c>
      <c r="G2476" s="15">
        <f>SUM(G2477:G2481)</f>
        <v>8477862.4332999997</v>
      </c>
      <c r="H2476" s="16">
        <f t="shared" si="382"/>
        <v>4.3958148202419237E-2</v>
      </c>
    </row>
    <row r="2477" spans="1:11" outlineLevel="1" x14ac:dyDescent="0.2">
      <c r="A2477" s="29"/>
      <c r="B2477" s="30" t="s">
        <v>36</v>
      </c>
      <c r="C2477" s="30" t="s">
        <v>4313</v>
      </c>
      <c r="D2477" s="34" t="s">
        <v>1819</v>
      </c>
      <c r="E2477" s="31">
        <v>21263.23</v>
      </c>
      <c r="F2477" s="31">
        <v>17.2</v>
      </c>
      <c r="G2477" s="32">
        <f t="shared" ref="G2477:G2481" si="397">F2477*E2477</f>
        <v>365727.55599999998</v>
      </c>
      <c r="H2477" s="33">
        <f t="shared" si="382"/>
        <v>1.8963159917775097E-3</v>
      </c>
      <c r="K2477" t="str">
        <f xml:space="preserve"> B2476 &amp; B2477</f>
        <v>Z000212003Z011101004</v>
      </c>
    </row>
    <row r="2478" spans="1:11" outlineLevel="1" x14ac:dyDescent="0.2">
      <c r="A2478" s="29"/>
      <c r="B2478" s="30" t="s">
        <v>39</v>
      </c>
      <c r="C2478" s="30" t="s">
        <v>4315</v>
      </c>
      <c r="D2478" s="34" t="s">
        <v>1819</v>
      </c>
      <c r="E2478" s="31">
        <v>21263.23</v>
      </c>
      <c r="F2478" s="31">
        <v>55.78</v>
      </c>
      <c r="G2478" s="32">
        <f t="shared" si="397"/>
        <v>1186062.9694000001</v>
      </c>
      <c r="H2478" s="33">
        <f t="shared" si="382"/>
        <v>6.1497968617063659E-3</v>
      </c>
      <c r="K2478" t="str">
        <f xml:space="preserve"> B2476 &amp; B2478</f>
        <v>Z000212003Z011101005</v>
      </c>
    </row>
    <row r="2479" spans="1:11" outlineLevel="1" x14ac:dyDescent="0.2">
      <c r="A2479" s="29"/>
      <c r="B2479" s="30" t="s">
        <v>42</v>
      </c>
      <c r="C2479" s="30" t="s">
        <v>4307</v>
      </c>
      <c r="D2479" s="34" t="s">
        <v>1819</v>
      </c>
      <c r="E2479" s="31">
        <v>21263.23</v>
      </c>
      <c r="F2479" s="31">
        <v>123.85</v>
      </c>
      <c r="G2479" s="32">
        <f t="shared" si="397"/>
        <v>2633451.0354999998</v>
      </c>
      <c r="H2479" s="33">
        <f t="shared" si="382"/>
        <v>1.3654577650095614E-2</v>
      </c>
      <c r="K2479" t="str">
        <f xml:space="preserve"> B2476 &amp; B2479</f>
        <v>Z000212003Z011101006</v>
      </c>
    </row>
    <row r="2480" spans="1:11" outlineLevel="1" x14ac:dyDescent="0.2">
      <c r="A2480" s="29"/>
      <c r="B2480" s="30" t="s">
        <v>47</v>
      </c>
      <c r="C2480" s="30" t="s">
        <v>4309</v>
      </c>
      <c r="D2480" s="34" t="s">
        <v>1819</v>
      </c>
      <c r="E2480" s="31">
        <v>21263.23</v>
      </c>
      <c r="F2480" s="31">
        <v>25.8</v>
      </c>
      <c r="G2480" s="32">
        <f t="shared" si="397"/>
        <v>548591.33400000003</v>
      </c>
      <c r="H2480" s="33">
        <f t="shared" si="382"/>
        <v>2.8444739876662649E-3</v>
      </c>
      <c r="K2480" t="str">
        <f xml:space="preserve"> B2476 &amp; B2480</f>
        <v>Z000212003Z011101007</v>
      </c>
    </row>
    <row r="2481" spans="1:11" outlineLevel="1" x14ac:dyDescent="0.2">
      <c r="A2481" s="29"/>
      <c r="B2481" s="30" t="s">
        <v>1607</v>
      </c>
      <c r="C2481" s="30" t="s">
        <v>4311</v>
      </c>
      <c r="D2481" s="34" t="s">
        <v>1819</v>
      </c>
      <c r="E2481" s="31">
        <v>21263.23</v>
      </c>
      <c r="F2481" s="31">
        <v>176.08</v>
      </c>
      <c r="G2481" s="32">
        <f t="shared" si="397"/>
        <v>3744029.5384</v>
      </c>
      <c r="H2481" s="33">
        <f t="shared" si="382"/>
        <v>1.9412983711173483E-2</v>
      </c>
      <c r="K2481" t="str">
        <f xml:space="preserve"> B2476 &amp; B2481</f>
        <v>Z000212003Z040311006</v>
      </c>
    </row>
    <row r="2482" spans="1:11" ht="15" x14ac:dyDescent="0.2">
      <c r="A2482" s="17" t="s">
        <v>2058</v>
      </c>
      <c r="B2482" s="17" t="s">
        <v>328</v>
      </c>
      <c r="C2482" s="17" t="s">
        <v>4748</v>
      </c>
      <c r="D2482" s="18"/>
      <c r="E2482" s="19"/>
      <c r="F2482" s="20"/>
      <c r="G2482" s="21">
        <f>SUM(G2483)</f>
        <v>661924.34990000003</v>
      </c>
      <c r="H2482" s="22">
        <f t="shared" si="382"/>
        <v>3.4321114432577836E-3</v>
      </c>
    </row>
    <row r="2483" spans="1:11" outlineLevel="1" x14ac:dyDescent="0.2">
      <c r="A2483" s="11" t="s">
        <v>1766</v>
      </c>
      <c r="B2483" s="11" t="s">
        <v>414</v>
      </c>
      <c r="C2483" s="11" t="s">
        <v>4318</v>
      </c>
      <c r="D2483" s="12" t="s">
        <v>1152</v>
      </c>
      <c r="E2483" s="13">
        <v>21263.23</v>
      </c>
      <c r="F2483" s="14">
        <v>31.130000000000003</v>
      </c>
      <c r="G2483" s="15">
        <f>SUM(G2484:G2487)</f>
        <v>661924.34990000003</v>
      </c>
      <c r="H2483" s="16">
        <f t="shared" si="382"/>
        <v>3.4321114432577836E-3</v>
      </c>
    </row>
    <row r="2484" spans="1:11" outlineLevel="1" x14ac:dyDescent="0.2">
      <c r="A2484" s="29"/>
      <c r="B2484" s="30" t="s">
        <v>49</v>
      </c>
      <c r="C2484" s="30" t="s">
        <v>1348</v>
      </c>
      <c r="D2484" s="34" t="s">
        <v>1819</v>
      </c>
      <c r="E2484" s="31">
        <v>21263.23</v>
      </c>
      <c r="F2484" s="31">
        <v>12.65</v>
      </c>
      <c r="G2484" s="32">
        <f t="shared" ref="G2484:G2487" si="398">F2484*E2484</f>
        <v>268979.85950000002</v>
      </c>
      <c r="H2484" s="33">
        <f t="shared" si="382"/>
        <v>1.3946742613945059E-3</v>
      </c>
      <c r="K2484" t="str">
        <f xml:space="preserve"> B2483 &amp; B2484</f>
        <v>Z000213001Z011101008</v>
      </c>
    </row>
    <row r="2485" spans="1:11" outlineLevel="1" x14ac:dyDescent="0.2">
      <c r="A2485" s="29"/>
      <c r="B2485" s="30" t="s">
        <v>52</v>
      </c>
      <c r="C2485" s="30" t="s">
        <v>588</v>
      </c>
      <c r="D2485" s="34" t="s">
        <v>1819</v>
      </c>
      <c r="E2485" s="31">
        <v>21263.23</v>
      </c>
      <c r="F2485" s="31">
        <v>17.72</v>
      </c>
      <c r="G2485" s="32">
        <f t="shared" si="398"/>
        <v>376784.43559999997</v>
      </c>
      <c r="H2485" s="33">
        <f t="shared" si="382"/>
        <v>1.9536464752498528E-3</v>
      </c>
      <c r="K2485" t="str">
        <f xml:space="preserve"> B2483 &amp; B2485</f>
        <v>Z000213001Z011101009</v>
      </c>
    </row>
    <row r="2486" spans="1:11" outlineLevel="1" x14ac:dyDescent="0.2">
      <c r="A2486" s="29"/>
      <c r="B2486" s="30" t="s">
        <v>1658</v>
      </c>
      <c r="C2486" s="30" t="s">
        <v>4320</v>
      </c>
      <c r="D2486" s="34" t="s">
        <v>1819</v>
      </c>
      <c r="E2486" s="31">
        <v>21263.23</v>
      </c>
      <c r="F2486" s="31">
        <v>0</v>
      </c>
      <c r="G2486" s="32">
        <f t="shared" si="398"/>
        <v>0</v>
      </c>
      <c r="H2486" s="33">
        <f t="shared" si="382"/>
        <v>0</v>
      </c>
      <c r="K2486" t="str">
        <f xml:space="preserve"> B2483 &amp; B2486</f>
        <v>Z000213001Z040311010</v>
      </c>
    </row>
    <row r="2487" spans="1:11" outlineLevel="1" x14ac:dyDescent="0.2">
      <c r="A2487" s="29"/>
      <c r="B2487" s="30" t="s">
        <v>1659</v>
      </c>
      <c r="C2487" s="30" t="s">
        <v>4322</v>
      </c>
      <c r="D2487" s="34" t="s">
        <v>1819</v>
      </c>
      <c r="E2487" s="31">
        <v>21263.23</v>
      </c>
      <c r="F2487" s="31">
        <v>0.76</v>
      </c>
      <c r="G2487" s="32">
        <f t="shared" si="398"/>
        <v>16160.0548</v>
      </c>
      <c r="H2487" s="33">
        <f t="shared" si="382"/>
        <v>8.3790706613424845E-5</v>
      </c>
      <c r="K2487" t="str">
        <f xml:space="preserve"> B2483 &amp; B2487</f>
        <v>Z000213001Z040311011</v>
      </c>
    </row>
    <row r="2488" spans="1:11" ht="15" x14ac:dyDescent="0.2">
      <c r="A2488" s="17" t="s">
        <v>2059</v>
      </c>
      <c r="B2488" s="17" t="s">
        <v>328</v>
      </c>
      <c r="C2488" s="17" t="s">
        <v>4749</v>
      </c>
      <c r="D2488" s="18"/>
      <c r="E2488" s="19"/>
      <c r="F2488" s="20"/>
      <c r="G2488" s="21">
        <f>SUM(G2489)</f>
        <v>86116.0815</v>
      </c>
      <c r="H2488" s="22">
        <f t="shared" si="382"/>
        <v>4.4651626550575084E-4</v>
      </c>
    </row>
    <row r="2489" spans="1:11" outlineLevel="1" x14ac:dyDescent="0.2">
      <c r="A2489" s="11" t="s">
        <v>1614</v>
      </c>
      <c r="B2489" s="11" t="s">
        <v>417</v>
      </c>
      <c r="C2489" s="11" t="s">
        <v>4326</v>
      </c>
      <c r="D2489" s="12" t="s">
        <v>1152</v>
      </c>
      <c r="E2489" s="13">
        <v>21263.23</v>
      </c>
      <c r="F2489" s="14">
        <v>4.05</v>
      </c>
      <c r="G2489" s="15">
        <f>SUM(G2490:G2492)</f>
        <v>86116.0815</v>
      </c>
      <c r="H2489" s="16">
        <f t="shared" si="382"/>
        <v>4.4651626550575084E-4</v>
      </c>
    </row>
    <row r="2490" spans="1:11" outlineLevel="1" x14ac:dyDescent="0.2">
      <c r="A2490" s="29"/>
      <c r="B2490" s="30" t="s">
        <v>1609</v>
      </c>
      <c r="C2490" s="30" t="s">
        <v>4324</v>
      </c>
      <c r="D2490" s="34" t="s">
        <v>1819</v>
      </c>
      <c r="E2490" s="31">
        <v>21263.23</v>
      </c>
      <c r="F2490" s="31">
        <v>1.35</v>
      </c>
      <c r="G2490" s="32">
        <f t="shared" ref="G2490:G2492" si="399">F2490*E2490</f>
        <v>28705.360500000003</v>
      </c>
      <c r="H2490" s="33">
        <f t="shared" si="382"/>
        <v>1.4883875516858363E-4</v>
      </c>
      <c r="K2490" t="str">
        <f xml:space="preserve"> B2489 &amp; B2490</f>
        <v>Z000213002Z040311007</v>
      </c>
    </row>
    <row r="2491" spans="1:11" outlineLevel="1" x14ac:dyDescent="0.2">
      <c r="A2491" s="29"/>
      <c r="B2491" s="30" t="s">
        <v>1611</v>
      </c>
      <c r="C2491" s="30" t="s">
        <v>4327</v>
      </c>
      <c r="D2491" s="34" t="s">
        <v>1819</v>
      </c>
      <c r="E2491" s="31">
        <v>21263.23</v>
      </c>
      <c r="F2491" s="31">
        <v>1.35</v>
      </c>
      <c r="G2491" s="32">
        <f t="shared" si="399"/>
        <v>28705.360500000003</v>
      </c>
      <c r="H2491" s="33">
        <f t="shared" si="382"/>
        <v>1.4883875516858363E-4</v>
      </c>
      <c r="K2491" t="str">
        <f xml:space="preserve"> B2489 &amp; B2491</f>
        <v>Z000213002Z040311008</v>
      </c>
    </row>
    <row r="2492" spans="1:11" outlineLevel="1" x14ac:dyDescent="0.2">
      <c r="A2492" s="29"/>
      <c r="B2492" s="30" t="s">
        <v>1613</v>
      </c>
      <c r="C2492" s="30" t="s">
        <v>4329</v>
      </c>
      <c r="D2492" s="34" t="s">
        <v>1819</v>
      </c>
      <c r="E2492" s="31">
        <v>21263.23</v>
      </c>
      <c r="F2492" s="31">
        <v>1.35</v>
      </c>
      <c r="G2492" s="32">
        <f t="shared" si="399"/>
        <v>28705.360500000003</v>
      </c>
      <c r="H2492" s="33">
        <f t="shared" si="382"/>
        <v>1.4883875516858363E-4</v>
      </c>
      <c r="K2492" t="str">
        <f xml:space="preserve"> B2489 &amp; B2492</f>
        <v>Z000213002Z040311009</v>
      </c>
    </row>
    <row r="2493" spans="1:11" ht="15" x14ac:dyDescent="0.2">
      <c r="A2493" s="17" t="s">
        <v>2060</v>
      </c>
      <c r="B2493" s="17" t="s">
        <v>328</v>
      </c>
      <c r="C2493" s="17" t="s">
        <v>4750</v>
      </c>
      <c r="D2493" s="18"/>
      <c r="E2493" s="19"/>
      <c r="F2493" s="20"/>
      <c r="G2493" s="21">
        <f>SUM(G2494)</f>
        <v>106316.15</v>
      </c>
      <c r="H2493" s="22">
        <f t="shared" si="382"/>
        <v>5.5125464877253184E-4</v>
      </c>
    </row>
    <row r="2494" spans="1:11" outlineLevel="1" x14ac:dyDescent="0.2">
      <c r="A2494" s="11" t="s">
        <v>1472</v>
      </c>
      <c r="B2494" s="11" t="s">
        <v>306</v>
      </c>
      <c r="C2494" s="11" t="s">
        <v>4332</v>
      </c>
      <c r="D2494" s="12" t="s">
        <v>1152</v>
      </c>
      <c r="E2494" s="13">
        <v>21263.23</v>
      </c>
      <c r="F2494" s="14">
        <v>5</v>
      </c>
      <c r="G2494" s="15">
        <f>SUM(G2495:G2498)</f>
        <v>106316.15</v>
      </c>
      <c r="H2494" s="16">
        <f t="shared" si="382"/>
        <v>5.5125464877253184E-4</v>
      </c>
    </row>
    <row r="2495" spans="1:11" outlineLevel="1" x14ac:dyDescent="0.2">
      <c r="A2495" s="29"/>
      <c r="B2495" s="30" t="s">
        <v>100</v>
      </c>
      <c r="C2495" s="30" t="s">
        <v>262</v>
      </c>
      <c r="D2495" s="34" t="s">
        <v>1819</v>
      </c>
      <c r="E2495" s="31">
        <v>21263.23</v>
      </c>
      <c r="F2495" s="31">
        <v>3</v>
      </c>
      <c r="G2495" s="32">
        <f t="shared" ref="G2495:G2498" si="400">F2495*E2495</f>
        <v>63789.69</v>
      </c>
      <c r="H2495" s="33">
        <f t="shared" si="382"/>
        <v>3.3075278926351915E-4</v>
      </c>
      <c r="K2495" t="str">
        <f xml:space="preserve"> B2494 &amp; B2495</f>
        <v>Z000214001Z011101010</v>
      </c>
    </row>
    <row r="2496" spans="1:11" outlineLevel="1" x14ac:dyDescent="0.2">
      <c r="A2496" s="29"/>
      <c r="B2496" s="30" t="s">
        <v>104</v>
      </c>
      <c r="C2496" s="30" t="s">
        <v>678</v>
      </c>
      <c r="D2496" s="34" t="s">
        <v>1819</v>
      </c>
      <c r="E2496" s="31">
        <v>21263.23</v>
      </c>
      <c r="F2496" s="31">
        <v>0</v>
      </c>
      <c r="G2496" s="32">
        <f t="shared" si="400"/>
        <v>0</v>
      </c>
      <c r="H2496" s="33">
        <f t="shared" ref="H2496:H2559" si="401">G2496/$F$2</f>
        <v>0</v>
      </c>
      <c r="K2496" t="str">
        <f xml:space="preserve"> B2494 &amp; B2496</f>
        <v>Z000214001Z011101011</v>
      </c>
    </row>
    <row r="2497" spans="1:11" outlineLevel="1" x14ac:dyDescent="0.2">
      <c r="A2497" s="29"/>
      <c r="B2497" s="30" t="s">
        <v>1663</v>
      </c>
      <c r="C2497" s="30" t="s">
        <v>1885</v>
      </c>
      <c r="D2497" s="34" t="s">
        <v>1819</v>
      </c>
      <c r="E2497" s="31">
        <v>21263.23</v>
      </c>
      <c r="F2497" s="31">
        <v>2</v>
      </c>
      <c r="G2497" s="32">
        <f t="shared" si="400"/>
        <v>42526.46</v>
      </c>
      <c r="H2497" s="33">
        <f t="shared" si="401"/>
        <v>2.2050185950901275E-4</v>
      </c>
      <c r="K2497" t="str">
        <f xml:space="preserve"> B2494 &amp; B2497</f>
        <v>Z000214001Z040311012</v>
      </c>
    </row>
    <row r="2498" spans="1:11" outlineLevel="1" x14ac:dyDescent="0.2">
      <c r="A2498" s="29"/>
      <c r="B2498" s="30" t="s">
        <v>1665</v>
      </c>
      <c r="C2498" s="30" t="s">
        <v>4335</v>
      </c>
      <c r="D2498" s="34" t="s">
        <v>1819</v>
      </c>
      <c r="E2498" s="31">
        <v>21263.23</v>
      </c>
      <c r="F2498" s="31">
        <v>0</v>
      </c>
      <c r="G2498" s="32">
        <f t="shared" si="400"/>
        <v>0</v>
      </c>
      <c r="H2498" s="33">
        <f t="shared" si="401"/>
        <v>0</v>
      </c>
      <c r="K2498" t="str">
        <f xml:space="preserve"> B2494 &amp; B2498</f>
        <v>Z000214001Z040311013</v>
      </c>
    </row>
    <row r="2499" spans="1:11" ht="15" x14ac:dyDescent="0.2">
      <c r="A2499" s="17" t="s">
        <v>2061</v>
      </c>
      <c r="B2499" s="17" t="s">
        <v>328</v>
      </c>
      <c r="C2499" s="17" t="s">
        <v>840</v>
      </c>
      <c r="D2499" s="18"/>
      <c r="E2499" s="19"/>
      <c r="F2499" s="20"/>
      <c r="G2499" s="21">
        <f>SUM(G2500)</f>
        <v>587152.20160499995</v>
      </c>
      <c r="H2499" s="22">
        <f t="shared" si="401"/>
        <v>3.0444140487760618E-3</v>
      </c>
    </row>
    <row r="2500" spans="1:11" outlineLevel="1" x14ac:dyDescent="0.2">
      <c r="A2500" s="11" t="s">
        <v>1332</v>
      </c>
      <c r="B2500" s="11" t="s">
        <v>510</v>
      </c>
      <c r="C2500" s="11" t="s">
        <v>867</v>
      </c>
      <c r="D2500" s="12" t="s">
        <v>1152</v>
      </c>
      <c r="E2500" s="13">
        <v>21263.23</v>
      </c>
      <c r="F2500" s="14">
        <v>27.613499999999998</v>
      </c>
      <c r="G2500" s="15">
        <f>SUM(G2501:G2502)</f>
        <v>587152.20160499995</v>
      </c>
      <c r="H2500" s="16">
        <f t="shared" si="401"/>
        <v>3.0444140487760618E-3</v>
      </c>
    </row>
    <row r="2501" spans="1:11" outlineLevel="1" x14ac:dyDescent="0.2">
      <c r="A2501" s="29"/>
      <c r="B2501" s="30" t="s">
        <v>106</v>
      </c>
      <c r="C2501" s="30" t="s">
        <v>397</v>
      </c>
      <c r="D2501" s="34" t="s">
        <v>1819</v>
      </c>
      <c r="E2501" s="31">
        <v>21263.23</v>
      </c>
      <c r="F2501" s="31">
        <v>13.030200000000001</v>
      </c>
      <c r="G2501" s="32">
        <f t="shared" ref="G2501:G2502" si="402">F2501*E2501</f>
        <v>277064.13954599999</v>
      </c>
      <c r="H2501" s="33">
        <f t="shared" si="401"/>
        <v>1.4365916648871691E-3</v>
      </c>
      <c r="K2501" t="str">
        <f xml:space="preserve"> B2500 &amp; B2501</f>
        <v>Z000212002Z011101012</v>
      </c>
    </row>
    <row r="2502" spans="1:11" outlineLevel="1" x14ac:dyDescent="0.2">
      <c r="A2502" s="29"/>
      <c r="B2502" s="30" t="s">
        <v>1669</v>
      </c>
      <c r="C2502" s="30" t="s">
        <v>4305</v>
      </c>
      <c r="D2502" s="34" t="s">
        <v>1819</v>
      </c>
      <c r="E2502" s="31">
        <v>21263.23</v>
      </c>
      <c r="F2502" s="31">
        <v>14.583299999999999</v>
      </c>
      <c r="G2502" s="32">
        <f t="shared" si="402"/>
        <v>310088.06205899996</v>
      </c>
      <c r="H2502" s="33">
        <f t="shared" si="401"/>
        <v>1.6078223838888928E-3</v>
      </c>
      <c r="K2502" t="str">
        <f xml:space="preserve"> B2500 &amp; B2502</f>
        <v>Z000212002Z040311014</v>
      </c>
    </row>
    <row r="2503" spans="1:11" ht="15" x14ac:dyDescent="0.2">
      <c r="A2503" s="17" t="s">
        <v>2062</v>
      </c>
      <c r="B2503" s="17" t="s">
        <v>328</v>
      </c>
      <c r="C2503" s="17" t="s">
        <v>1308</v>
      </c>
      <c r="D2503" s="18"/>
      <c r="E2503" s="19"/>
      <c r="F2503" s="20"/>
      <c r="G2503" s="21">
        <f>SUM(G2504)</f>
        <v>771217.35210000002</v>
      </c>
      <c r="H2503" s="22">
        <f t="shared" si="401"/>
        <v>3.9988012221959463E-3</v>
      </c>
    </row>
    <row r="2504" spans="1:11" outlineLevel="1" x14ac:dyDescent="0.2">
      <c r="A2504" s="11" t="s">
        <v>1227</v>
      </c>
      <c r="B2504" s="11" t="s">
        <v>507</v>
      </c>
      <c r="C2504" s="11" t="s">
        <v>4297</v>
      </c>
      <c r="D2504" s="12" t="s">
        <v>1152</v>
      </c>
      <c r="E2504" s="13">
        <v>21263.23</v>
      </c>
      <c r="F2504" s="14">
        <v>36.270000000000003</v>
      </c>
      <c r="G2504" s="15">
        <f>SUM(G2505:G2508)</f>
        <v>771217.35210000002</v>
      </c>
      <c r="H2504" s="16">
        <f t="shared" si="401"/>
        <v>3.9988012221959463E-3</v>
      </c>
    </row>
    <row r="2505" spans="1:11" outlineLevel="1" x14ac:dyDescent="0.2">
      <c r="A2505" s="29"/>
      <c r="B2505" s="30" t="s">
        <v>108</v>
      </c>
      <c r="C2505" s="30" t="s">
        <v>4295</v>
      </c>
      <c r="D2505" s="34" t="s">
        <v>1819</v>
      </c>
      <c r="E2505" s="31">
        <v>21263.23</v>
      </c>
      <c r="F2505" s="31">
        <v>9.32</v>
      </c>
      <c r="G2505" s="32">
        <f t="shared" ref="G2505:G2508" si="403">F2505*E2505</f>
        <v>198173.30360000001</v>
      </c>
      <c r="H2505" s="33">
        <f t="shared" si="401"/>
        <v>1.0275386653119997E-3</v>
      </c>
      <c r="K2505" t="str">
        <f xml:space="preserve"> B2504 &amp; B2505</f>
        <v>Z000212001Z011101013</v>
      </c>
    </row>
    <row r="2506" spans="1:11" outlineLevel="1" x14ac:dyDescent="0.2">
      <c r="A2506" s="29"/>
      <c r="B2506" s="30" t="s">
        <v>111</v>
      </c>
      <c r="C2506" s="30" t="s">
        <v>4298</v>
      </c>
      <c r="D2506" s="34" t="s">
        <v>1819</v>
      </c>
      <c r="E2506" s="31">
        <v>21263.23</v>
      </c>
      <c r="F2506" s="31">
        <v>14.96</v>
      </c>
      <c r="G2506" s="32">
        <f t="shared" si="403"/>
        <v>318097.92080000002</v>
      </c>
      <c r="H2506" s="33">
        <f t="shared" si="401"/>
        <v>1.6493539091274156E-3</v>
      </c>
      <c r="K2506" t="str">
        <f xml:space="preserve"> B2504 &amp; B2506</f>
        <v>Z000212001Z011101014</v>
      </c>
    </row>
    <row r="2507" spans="1:11" outlineLevel="1" x14ac:dyDescent="0.2">
      <c r="A2507" s="29"/>
      <c r="B2507" s="30" t="s">
        <v>115</v>
      </c>
      <c r="C2507" s="30" t="s">
        <v>4300</v>
      </c>
      <c r="D2507" s="34" t="s">
        <v>1819</v>
      </c>
      <c r="E2507" s="31">
        <v>21263.23</v>
      </c>
      <c r="F2507" s="31">
        <v>1.58</v>
      </c>
      <c r="G2507" s="32">
        <f t="shared" si="403"/>
        <v>33595.903400000003</v>
      </c>
      <c r="H2507" s="33">
        <f t="shared" si="401"/>
        <v>1.741964690121201E-4</v>
      </c>
      <c r="K2507" t="str">
        <f xml:space="preserve"> B2504 &amp; B2507</f>
        <v>Z000212001Z011101015</v>
      </c>
    </row>
    <row r="2508" spans="1:11" outlineLevel="1" x14ac:dyDescent="0.2">
      <c r="A2508" s="29"/>
      <c r="B2508" s="30" t="s">
        <v>1671</v>
      </c>
      <c r="C2508" s="30" t="s">
        <v>4302</v>
      </c>
      <c r="D2508" s="34" t="s">
        <v>1819</v>
      </c>
      <c r="E2508" s="31">
        <v>21263.23</v>
      </c>
      <c r="F2508" s="31">
        <v>10.41</v>
      </c>
      <c r="G2508" s="32">
        <f t="shared" si="403"/>
        <v>221350.2243</v>
      </c>
      <c r="H2508" s="33">
        <f t="shared" si="401"/>
        <v>1.1477121787444114E-3</v>
      </c>
      <c r="K2508" t="str">
        <f xml:space="preserve"> B2504 &amp; B2508</f>
        <v>Z000212001Z040311015</v>
      </c>
    </row>
    <row r="2509" spans="1:11" ht="15" x14ac:dyDescent="0.2">
      <c r="A2509" s="17" t="s">
        <v>2063</v>
      </c>
      <c r="B2509" s="17" t="s">
        <v>328</v>
      </c>
      <c r="C2509" s="17" t="s">
        <v>258</v>
      </c>
      <c r="D2509" s="18"/>
      <c r="E2509" s="19"/>
      <c r="F2509" s="20"/>
      <c r="G2509" s="21">
        <f>SUM(G2510)</f>
        <v>2126323</v>
      </c>
      <c r="H2509" s="22">
        <f t="shared" si="401"/>
        <v>1.1025092975450639E-2</v>
      </c>
    </row>
    <row r="2510" spans="1:11" outlineLevel="1" x14ac:dyDescent="0.2">
      <c r="A2510" s="11" t="s">
        <v>1090</v>
      </c>
      <c r="B2510" s="11" t="s">
        <v>613</v>
      </c>
      <c r="C2510" s="11" t="s">
        <v>4288</v>
      </c>
      <c r="D2510" s="12" t="s">
        <v>1152</v>
      </c>
      <c r="E2510" s="13">
        <v>21263.23</v>
      </c>
      <c r="F2510" s="14">
        <v>100</v>
      </c>
      <c r="G2510" s="15">
        <f>SUM(G2511:G2514)</f>
        <v>2126323</v>
      </c>
      <c r="H2510" s="16">
        <f t="shared" si="401"/>
        <v>1.1025092975450639E-2</v>
      </c>
    </row>
    <row r="2511" spans="1:11" outlineLevel="1" x14ac:dyDescent="0.2">
      <c r="A2511" s="29"/>
      <c r="B2511" s="30" t="s">
        <v>117</v>
      </c>
      <c r="C2511" s="30" t="s">
        <v>4286</v>
      </c>
      <c r="D2511" s="34" t="s">
        <v>1819</v>
      </c>
      <c r="E2511" s="31">
        <v>21263.23</v>
      </c>
      <c r="F2511" s="31">
        <v>0.78</v>
      </c>
      <c r="G2511" s="32">
        <f t="shared" ref="G2511:G2514" si="404">F2511*E2511</f>
        <v>16585.3194</v>
      </c>
      <c r="H2511" s="33">
        <f t="shared" si="401"/>
        <v>8.5995725208514977E-5</v>
      </c>
      <c r="K2511" t="str">
        <f xml:space="preserve"> B2510 &amp; B2511</f>
        <v>Z000211002Z011101016</v>
      </c>
    </row>
    <row r="2512" spans="1:11" outlineLevel="1" x14ac:dyDescent="0.2">
      <c r="A2512" s="29"/>
      <c r="B2512" s="30" t="s">
        <v>121</v>
      </c>
      <c r="C2512" s="30" t="s">
        <v>4289</v>
      </c>
      <c r="D2512" s="34" t="s">
        <v>1819</v>
      </c>
      <c r="E2512" s="31">
        <v>21263.23</v>
      </c>
      <c r="F2512" s="31">
        <v>72.400000000000006</v>
      </c>
      <c r="G2512" s="32">
        <f t="shared" si="404"/>
        <v>1539457.8520000002</v>
      </c>
      <c r="H2512" s="33">
        <f t="shared" si="401"/>
        <v>7.9821673142262631E-3</v>
      </c>
      <c r="K2512" t="str">
        <f xml:space="preserve"> B2510 &amp; B2512</f>
        <v>Z000211002Z011101017</v>
      </c>
    </row>
    <row r="2513" spans="1:11" outlineLevel="1" x14ac:dyDescent="0.2">
      <c r="A2513" s="29"/>
      <c r="B2513" s="30" t="s">
        <v>1674</v>
      </c>
      <c r="C2513" s="30" t="s">
        <v>4291</v>
      </c>
      <c r="D2513" s="34" t="s">
        <v>1819</v>
      </c>
      <c r="E2513" s="31">
        <v>21263.23</v>
      </c>
      <c r="F2513" s="31">
        <v>6.47</v>
      </c>
      <c r="G2513" s="32">
        <f t="shared" si="404"/>
        <v>137573.0981</v>
      </c>
      <c r="H2513" s="33">
        <f t="shared" si="401"/>
        <v>7.1332351551165634E-4</v>
      </c>
      <c r="K2513" t="str">
        <f xml:space="preserve"> B2510 &amp; B2513</f>
        <v>Z000211002Z040311016</v>
      </c>
    </row>
    <row r="2514" spans="1:11" outlineLevel="1" x14ac:dyDescent="0.2">
      <c r="A2514" s="29"/>
      <c r="B2514" s="30" t="s">
        <v>1676</v>
      </c>
      <c r="C2514" s="30" t="s">
        <v>4293</v>
      </c>
      <c r="D2514" s="34" t="s">
        <v>1819</v>
      </c>
      <c r="E2514" s="31">
        <v>21263.23</v>
      </c>
      <c r="F2514" s="31">
        <v>20.350000000000001</v>
      </c>
      <c r="G2514" s="32">
        <f t="shared" si="404"/>
        <v>432706.73050000001</v>
      </c>
      <c r="H2514" s="33">
        <f t="shared" si="401"/>
        <v>2.2436064205042048E-3</v>
      </c>
      <c r="K2514" t="str">
        <f xml:space="preserve"> B2510 &amp; B2514</f>
        <v>Z000211002Z040311017</v>
      </c>
    </row>
    <row r="2515" spans="1:11" ht="15" x14ac:dyDescent="0.2">
      <c r="A2515" s="17" t="s">
        <v>2064</v>
      </c>
      <c r="B2515" s="17" t="s">
        <v>328</v>
      </c>
      <c r="C2515" s="17" t="s">
        <v>430</v>
      </c>
      <c r="D2515" s="18"/>
      <c r="E2515" s="19"/>
      <c r="F2515" s="20"/>
      <c r="G2515" s="21">
        <f>SUM(G2516)</f>
        <v>197322.77439999999</v>
      </c>
      <c r="H2515" s="22">
        <f t="shared" si="401"/>
        <v>1.0231286281218192E-3</v>
      </c>
    </row>
    <row r="2516" spans="1:11" outlineLevel="1" x14ac:dyDescent="0.2">
      <c r="A2516" s="11" t="s">
        <v>948</v>
      </c>
      <c r="B2516" s="11" t="s">
        <v>175</v>
      </c>
      <c r="C2516" s="11" t="s">
        <v>361</v>
      </c>
      <c r="D2516" s="12" t="s">
        <v>1152</v>
      </c>
      <c r="E2516" s="13">
        <v>21263.23</v>
      </c>
      <c r="F2516" s="14">
        <v>9.2799999999999994</v>
      </c>
      <c r="G2516" s="15">
        <f>SUM(G2517:G2518)</f>
        <v>197322.77439999999</v>
      </c>
      <c r="H2516" s="16">
        <f t="shared" si="401"/>
        <v>1.0231286281218192E-3</v>
      </c>
    </row>
    <row r="2517" spans="1:11" outlineLevel="1" x14ac:dyDescent="0.2">
      <c r="A2517" s="29"/>
      <c r="B2517" s="30" t="s">
        <v>124</v>
      </c>
      <c r="C2517" s="30" t="s">
        <v>1648</v>
      </c>
      <c r="D2517" s="34" t="s">
        <v>1819</v>
      </c>
      <c r="E2517" s="31">
        <v>21263.23</v>
      </c>
      <c r="F2517" s="31">
        <v>6.03</v>
      </c>
      <c r="G2517" s="32">
        <f t="shared" ref="G2517:G2518" si="405">F2517*E2517</f>
        <v>128217.2769</v>
      </c>
      <c r="H2517" s="33">
        <f t="shared" si="401"/>
        <v>6.6481310641967341E-4</v>
      </c>
      <c r="K2517" t="str">
        <f xml:space="preserve"> B2516 &amp; B2517</f>
        <v>Z000215001Z011101018</v>
      </c>
    </row>
    <row r="2518" spans="1:11" outlineLevel="1" x14ac:dyDescent="0.2">
      <c r="A2518" s="29"/>
      <c r="B2518" s="30" t="s">
        <v>1681</v>
      </c>
      <c r="C2518" s="30" t="s">
        <v>4338</v>
      </c>
      <c r="D2518" s="34" t="s">
        <v>1819</v>
      </c>
      <c r="E2518" s="31">
        <v>21263.23</v>
      </c>
      <c r="F2518" s="31">
        <v>3.25</v>
      </c>
      <c r="G2518" s="32">
        <f t="shared" si="405"/>
        <v>69105.497499999998</v>
      </c>
      <c r="H2518" s="33">
        <f t="shared" si="401"/>
        <v>3.5831552170214573E-4</v>
      </c>
      <c r="K2518" t="str">
        <f xml:space="preserve"> B2516 &amp; B2518</f>
        <v>Z000215001Z040311018</v>
      </c>
    </row>
    <row r="2519" spans="1:11" ht="15" x14ac:dyDescent="0.2">
      <c r="A2519" s="17" t="s">
        <v>2065</v>
      </c>
      <c r="B2519" s="17" t="s">
        <v>328</v>
      </c>
      <c r="C2519" s="17" t="s">
        <v>4751</v>
      </c>
      <c r="D2519" s="18"/>
      <c r="E2519" s="19"/>
      <c r="F2519" s="20"/>
      <c r="G2519" s="21">
        <f>SUM(G2520)</f>
        <v>1701058.4</v>
      </c>
      <c r="H2519" s="22">
        <f t="shared" si="401"/>
        <v>8.8200743803605094E-3</v>
      </c>
    </row>
    <row r="2520" spans="1:11" outlineLevel="1" x14ac:dyDescent="0.2">
      <c r="A2520" s="11" t="s">
        <v>1957</v>
      </c>
      <c r="B2520" s="11" t="s">
        <v>63</v>
      </c>
      <c r="C2520" s="11" t="s">
        <v>4342</v>
      </c>
      <c r="D2520" s="12" t="s">
        <v>1152</v>
      </c>
      <c r="E2520" s="13">
        <v>21263.23</v>
      </c>
      <c r="F2520" s="14">
        <v>80</v>
      </c>
      <c r="G2520" s="15">
        <f>SUM(G2521:G2522)</f>
        <v>1701058.4</v>
      </c>
      <c r="H2520" s="16">
        <f t="shared" si="401"/>
        <v>8.8200743803605094E-3</v>
      </c>
    </row>
    <row r="2521" spans="1:11" outlineLevel="1" x14ac:dyDescent="0.2">
      <c r="A2521" s="29"/>
      <c r="B2521" s="30" t="s">
        <v>127</v>
      </c>
      <c r="C2521" s="30" t="s">
        <v>4340</v>
      </c>
      <c r="D2521" s="34" t="s">
        <v>1819</v>
      </c>
      <c r="E2521" s="31">
        <v>21263.23</v>
      </c>
      <c r="F2521" s="31">
        <v>51.76</v>
      </c>
      <c r="G2521" s="32">
        <f t="shared" ref="G2521:G2522" si="406">F2521*E2521</f>
        <v>1100584.7848</v>
      </c>
      <c r="H2521" s="33">
        <f t="shared" si="401"/>
        <v>5.7065881240932507E-3</v>
      </c>
      <c r="K2521" t="str">
        <f xml:space="preserve"> B2520 &amp; B2521</f>
        <v>Z000216001Z011101019</v>
      </c>
    </row>
    <row r="2522" spans="1:11" outlineLevel="1" x14ac:dyDescent="0.2">
      <c r="A2522" s="29"/>
      <c r="B2522" s="30" t="s">
        <v>1685</v>
      </c>
      <c r="C2522" s="30" t="s">
        <v>4343</v>
      </c>
      <c r="D2522" s="34" t="s">
        <v>1819</v>
      </c>
      <c r="E2522" s="31">
        <v>21263.23</v>
      </c>
      <c r="F2522" s="31">
        <v>28.24</v>
      </c>
      <c r="G2522" s="32">
        <f t="shared" si="406"/>
        <v>600473.6152</v>
      </c>
      <c r="H2522" s="33">
        <f t="shared" si="401"/>
        <v>3.1134862562672604E-3</v>
      </c>
      <c r="K2522" t="str">
        <f xml:space="preserve"> B2520 &amp; B2522</f>
        <v>Z000216001Z040311019</v>
      </c>
    </row>
    <row r="2523" spans="1:11" ht="15" x14ac:dyDescent="0.2">
      <c r="A2523" s="17" t="s">
        <v>2066</v>
      </c>
      <c r="B2523" s="17" t="s">
        <v>328</v>
      </c>
      <c r="C2523" s="17" t="s">
        <v>924</v>
      </c>
      <c r="D2523" s="18"/>
      <c r="E2523" s="19"/>
      <c r="F2523" s="20"/>
      <c r="G2523" s="21">
        <f>SUM(G2524)</f>
        <v>1488638.7322999998</v>
      </c>
      <c r="H2523" s="22">
        <f t="shared" si="401"/>
        <v>7.7186675921129908E-3</v>
      </c>
    </row>
    <row r="2524" spans="1:11" outlineLevel="1" x14ac:dyDescent="0.2">
      <c r="A2524" s="11" t="s">
        <v>1845</v>
      </c>
      <c r="B2524" s="11" t="s">
        <v>1929</v>
      </c>
      <c r="C2524" s="11" t="s">
        <v>4347</v>
      </c>
      <c r="D2524" s="12" t="s">
        <v>1152</v>
      </c>
      <c r="E2524" s="13">
        <v>21263.23</v>
      </c>
      <c r="F2524" s="14">
        <v>70.009999999999991</v>
      </c>
      <c r="G2524" s="15">
        <f>SUM(G2525:G2528)</f>
        <v>1488638.7322999998</v>
      </c>
      <c r="H2524" s="16">
        <f t="shared" si="401"/>
        <v>7.7186675921129908E-3</v>
      </c>
    </row>
    <row r="2525" spans="1:11" outlineLevel="1" x14ac:dyDescent="0.2">
      <c r="A2525" s="29"/>
      <c r="B2525" s="30" t="s">
        <v>155</v>
      </c>
      <c r="C2525" s="30" t="s">
        <v>4345</v>
      </c>
      <c r="D2525" s="34" t="s">
        <v>1819</v>
      </c>
      <c r="E2525" s="31">
        <v>21263.23</v>
      </c>
      <c r="F2525" s="31">
        <v>0</v>
      </c>
      <c r="G2525" s="32">
        <f t="shared" ref="G2525:G2528" si="407">F2525*E2525</f>
        <v>0</v>
      </c>
      <c r="H2525" s="33">
        <f t="shared" si="401"/>
        <v>0</v>
      </c>
      <c r="K2525" t="str">
        <f xml:space="preserve"> B2524 &amp; B2525</f>
        <v>Z000217001Z011101020</v>
      </c>
    </row>
    <row r="2526" spans="1:11" outlineLevel="1" x14ac:dyDescent="0.2">
      <c r="A2526" s="29"/>
      <c r="B2526" s="30" t="s">
        <v>159</v>
      </c>
      <c r="C2526" s="30" t="s">
        <v>4348</v>
      </c>
      <c r="D2526" s="34" t="s">
        <v>1819</v>
      </c>
      <c r="E2526" s="31">
        <v>21263.23</v>
      </c>
      <c r="F2526" s="31">
        <v>39.380000000000003</v>
      </c>
      <c r="G2526" s="32">
        <f t="shared" si="407"/>
        <v>837345.99739999999</v>
      </c>
      <c r="H2526" s="33">
        <f t="shared" si="401"/>
        <v>4.3416816137324616E-3</v>
      </c>
      <c r="K2526" t="str">
        <f xml:space="preserve"> B2524 &amp; B2526</f>
        <v>Z000217001Z011101021</v>
      </c>
    </row>
    <row r="2527" spans="1:11" outlineLevel="1" x14ac:dyDescent="0.2">
      <c r="A2527" s="29"/>
      <c r="B2527" s="30" t="s">
        <v>1752</v>
      </c>
      <c r="C2527" s="30" t="s">
        <v>4350</v>
      </c>
      <c r="D2527" s="34" t="s">
        <v>1819</v>
      </c>
      <c r="E2527" s="31">
        <v>21263.23</v>
      </c>
      <c r="F2527" s="31">
        <v>0</v>
      </c>
      <c r="G2527" s="32">
        <f t="shared" si="407"/>
        <v>0</v>
      </c>
      <c r="H2527" s="33">
        <f t="shared" si="401"/>
        <v>0</v>
      </c>
      <c r="K2527" t="str">
        <f xml:space="preserve"> B2524 &amp; B2527</f>
        <v>Z000217001Z040311020</v>
      </c>
    </row>
    <row r="2528" spans="1:11" outlineLevel="1" x14ac:dyDescent="0.2">
      <c r="A2528" s="29"/>
      <c r="B2528" s="30" t="s">
        <v>1754</v>
      </c>
      <c r="C2528" s="30" t="s">
        <v>4352</v>
      </c>
      <c r="D2528" s="34" t="s">
        <v>1819</v>
      </c>
      <c r="E2528" s="31">
        <v>21263.23</v>
      </c>
      <c r="F2528" s="31">
        <v>30.63</v>
      </c>
      <c r="G2528" s="32">
        <f t="shared" si="407"/>
        <v>651292.73489999992</v>
      </c>
      <c r="H2528" s="33">
        <f t="shared" si="401"/>
        <v>3.3769859783805301E-3</v>
      </c>
      <c r="K2528" t="str">
        <f xml:space="preserve"> B2524 &amp; B2528</f>
        <v>Z000217001Z040311021</v>
      </c>
    </row>
    <row r="2529" spans="1:11" ht="15" x14ac:dyDescent="0.2">
      <c r="A2529" s="17" t="s">
        <v>2067</v>
      </c>
      <c r="B2529" s="17" t="s">
        <v>328</v>
      </c>
      <c r="C2529" s="17" t="s">
        <v>974</v>
      </c>
      <c r="D2529" s="18"/>
      <c r="E2529" s="19"/>
      <c r="F2529" s="20"/>
      <c r="G2529" s="21">
        <f>SUM(G2530)</f>
        <v>1509689.33</v>
      </c>
      <c r="H2529" s="22">
        <f t="shared" si="401"/>
        <v>7.8278160125699534E-3</v>
      </c>
    </row>
    <row r="2530" spans="1:11" outlineLevel="1" x14ac:dyDescent="0.2">
      <c r="A2530" s="11" t="s">
        <v>1722</v>
      </c>
      <c r="B2530" s="11" t="s">
        <v>1813</v>
      </c>
      <c r="C2530" s="11" t="s">
        <v>4356</v>
      </c>
      <c r="D2530" s="12" t="s">
        <v>1152</v>
      </c>
      <c r="E2530" s="13">
        <v>21263.23</v>
      </c>
      <c r="F2530" s="14">
        <v>71</v>
      </c>
      <c r="G2530" s="15">
        <f>SUM(G2531:G2534)</f>
        <v>1509689.33</v>
      </c>
      <c r="H2530" s="16">
        <f t="shared" si="401"/>
        <v>7.8278160125699534E-3</v>
      </c>
    </row>
    <row r="2531" spans="1:11" outlineLevel="1" x14ac:dyDescent="0.2">
      <c r="A2531" s="29"/>
      <c r="B2531" s="30" t="s">
        <v>162</v>
      </c>
      <c r="C2531" s="30" t="s">
        <v>4354</v>
      </c>
      <c r="D2531" s="34" t="s">
        <v>1819</v>
      </c>
      <c r="E2531" s="31">
        <v>21263.23</v>
      </c>
      <c r="F2531" s="31">
        <v>0</v>
      </c>
      <c r="G2531" s="32">
        <f t="shared" ref="G2531:G2534" si="408">F2531*E2531</f>
        <v>0</v>
      </c>
      <c r="H2531" s="33">
        <f t="shared" si="401"/>
        <v>0</v>
      </c>
      <c r="K2531" t="str">
        <f xml:space="preserve"> B2530 &amp; B2531</f>
        <v>Z000218001Z011101022</v>
      </c>
    </row>
    <row r="2532" spans="1:11" outlineLevel="1" x14ac:dyDescent="0.2">
      <c r="A2532" s="29"/>
      <c r="B2532" s="30" t="s">
        <v>164</v>
      </c>
      <c r="C2532" s="30" t="s">
        <v>4357</v>
      </c>
      <c r="D2532" s="34" t="s">
        <v>1819</v>
      </c>
      <c r="E2532" s="31">
        <v>21263.23</v>
      </c>
      <c r="F2532" s="31">
        <v>45</v>
      </c>
      <c r="G2532" s="32">
        <f t="shared" si="408"/>
        <v>956845.35</v>
      </c>
      <c r="H2532" s="33">
        <f t="shared" si="401"/>
        <v>4.9612918389527871E-3</v>
      </c>
      <c r="K2532" t="str">
        <f xml:space="preserve"> B2530 &amp; B2532</f>
        <v>Z000218001Z011101023</v>
      </c>
    </row>
    <row r="2533" spans="1:11" outlineLevel="1" x14ac:dyDescent="0.2">
      <c r="A2533" s="29"/>
      <c r="B2533" s="30" t="s">
        <v>1756</v>
      </c>
      <c r="C2533" s="30" t="s">
        <v>4359</v>
      </c>
      <c r="D2533" s="34" t="s">
        <v>1819</v>
      </c>
      <c r="E2533" s="31">
        <v>21263.23</v>
      </c>
      <c r="F2533" s="31">
        <v>0</v>
      </c>
      <c r="G2533" s="32">
        <f t="shared" si="408"/>
        <v>0</v>
      </c>
      <c r="H2533" s="33">
        <f t="shared" si="401"/>
        <v>0</v>
      </c>
      <c r="K2533" t="str">
        <f xml:space="preserve"> B2530 &amp; B2533</f>
        <v>Z000218001Z040311022</v>
      </c>
    </row>
    <row r="2534" spans="1:11" outlineLevel="1" x14ac:dyDescent="0.2">
      <c r="A2534" s="29"/>
      <c r="B2534" s="30" t="s">
        <v>1760</v>
      </c>
      <c r="C2534" s="30" t="s">
        <v>4361</v>
      </c>
      <c r="D2534" s="34" t="s">
        <v>1819</v>
      </c>
      <c r="E2534" s="31">
        <v>21263.23</v>
      </c>
      <c r="F2534" s="31">
        <v>26</v>
      </c>
      <c r="G2534" s="32">
        <f t="shared" si="408"/>
        <v>552843.98</v>
      </c>
      <c r="H2534" s="33">
        <f t="shared" si="401"/>
        <v>2.8665241736171659E-3</v>
      </c>
      <c r="K2534" t="str">
        <f xml:space="preserve"> B2530 &amp; B2534</f>
        <v>Z000218001Z040311023</v>
      </c>
    </row>
    <row r="2535" spans="1:11" ht="15" x14ac:dyDescent="0.2">
      <c r="A2535" s="17" t="s">
        <v>2068</v>
      </c>
      <c r="B2535" s="17" t="s">
        <v>328</v>
      </c>
      <c r="C2535" s="17" t="s">
        <v>1368</v>
      </c>
      <c r="D2535" s="18"/>
      <c r="E2535" s="19"/>
      <c r="F2535" s="20"/>
      <c r="G2535" s="21">
        <f>SUM(G2536)</f>
        <v>531580.75</v>
      </c>
      <c r="H2535" s="22">
        <f t="shared" si="401"/>
        <v>2.7562732438626597E-3</v>
      </c>
    </row>
    <row r="2536" spans="1:11" outlineLevel="1" x14ac:dyDescent="0.2">
      <c r="A2536" s="11" t="s">
        <v>1572</v>
      </c>
      <c r="B2536" s="11" t="s">
        <v>1664</v>
      </c>
      <c r="C2536" s="11" t="s">
        <v>4365</v>
      </c>
      <c r="D2536" s="12" t="s">
        <v>1152</v>
      </c>
      <c r="E2536" s="13">
        <v>21263.23</v>
      </c>
      <c r="F2536" s="14">
        <v>25</v>
      </c>
      <c r="G2536" s="15">
        <f>SUM(G2537:G2538)</f>
        <v>531580.75</v>
      </c>
      <c r="H2536" s="16">
        <f t="shared" si="401"/>
        <v>2.7562732438626597E-3</v>
      </c>
    </row>
    <row r="2537" spans="1:11" outlineLevel="1" x14ac:dyDescent="0.2">
      <c r="A2537" s="29"/>
      <c r="B2537" s="30" t="s">
        <v>165</v>
      </c>
      <c r="C2537" s="30" t="s">
        <v>4363</v>
      </c>
      <c r="D2537" s="34" t="s">
        <v>1819</v>
      </c>
      <c r="E2537" s="31">
        <v>21263.23</v>
      </c>
      <c r="F2537" s="31">
        <v>20</v>
      </c>
      <c r="G2537" s="32">
        <f t="shared" ref="G2537:G2538" si="409">F2537*E2537</f>
        <v>425264.6</v>
      </c>
      <c r="H2537" s="33">
        <f t="shared" si="401"/>
        <v>2.2050185950901273E-3</v>
      </c>
      <c r="K2537" t="str">
        <f xml:space="preserve"> B2536 &amp; B2537</f>
        <v>Z000219001Z011101024</v>
      </c>
    </row>
    <row r="2538" spans="1:11" outlineLevel="1" x14ac:dyDescent="0.2">
      <c r="A2538" s="29"/>
      <c r="B2538" s="30" t="s">
        <v>1762</v>
      </c>
      <c r="C2538" s="30" t="s">
        <v>4366</v>
      </c>
      <c r="D2538" s="34" t="s">
        <v>1819</v>
      </c>
      <c r="E2538" s="31">
        <v>21263.23</v>
      </c>
      <c r="F2538" s="31">
        <v>5</v>
      </c>
      <c r="G2538" s="32">
        <f t="shared" si="409"/>
        <v>106316.15</v>
      </c>
      <c r="H2538" s="33">
        <f t="shared" si="401"/>
        <v>5.5125464877253184E-4</v>
      </c>
      <c r="K2538" t="str">
        <f xml:space="preserve"> B2536 &amp; B2538</f>
        <v>Z000219001Z040311024</v>
      </c>
    </row>
    <row r="2539" spans="1:11" ht="15" x14ac:dyDescent="0.2">
      <c r="A2539" s="17" t="s">
        <v>2069</v>
      </c>
      <c r="B2539" s="17" t="s">
        <v>328</v>
      </c>
      <c r="C2539" s="17" t="s">
        <v>1509</v>
      </c>
      <c r="D2539" s="18"/>
      <c r="E2539" s="19"/>
      <c r="F2539" s="20"/>
      <c r="G2539" s="21">
        <f>SUM(G2540)</f>
        <v>180001.74724200001</v>
      </c>
      <c r="H2539" s="22">
        <f t="shared" si="401"/>
        <v>9.3331822074379839E-4</v>
      </c>
    </row>
    <row r="2540" spans="1:11" outlineLevel="1" x14ac:dyDescent="0.2">
      <c r="A2540" s="11" t="s">
        <v>1432</v>
      </c>
      <c r="B2540" s="11" t="s">
        <v>1668</v>
      </c>
      <c r="C2540" s="11" t="s">
        <v>60</v>
      </c>
      <c r="D2540" s="12" t="s">
        <v>1152</v>
      </c>
      <c r="E2540" s="13">
        <v>21263.23</v>
      </c>
      <c r="F2540" s="14">
        <v>8.4654000000000007</v>
      </c>
      <c r="G2540" s="15">
        <f>SUM(G2541:G2542)</f>
        <v>180001.74724200001</v>
      </c>
      <c r="H2540" s="16">
        <f t="shared" si="401"/>
        <v>9.3331822074379839E-4</v>
      </c>
    </row>
    <row r="2541" spans="1:11" outlineLevel="1" x14ac:dyDescent="0.2">
      <c r="A2541" s="29"/>
      <c r="B2541" s="30" t="s">
        <v>167</v>
      </c>
      <c r="C2541" s="30" t="s">
        <v>829</v>
      </c>
      <c r="D2541" s="34" t="s">
        <v>1819</v>
      </c>
      <c r="E2541" s="31">
        <v>21263.23</v>
      </c>
      <c r="F2541" s="31">
        <v>6.7723000000000004</v>
      </c>
      <c r="G2541" s="32">
        <f t="shared" ref="G2541:G2542" si="410">F2541*E2541</f>
        <v>144000.97252900002</v>
      </c>
      <c r="H2541" s="33">
        <f t="shared" si="401"/>
        <v>7.4665237157644365E-4</v>
      </c>
      <c r="K2541" t="str">
        <f xml:space="preserve"> B2540 &amp; B2541</f>
        <v>Z000219002Z011101025</v>
      </c>
    </row>
    <row r="2542" spans="1:11" outlineLevel="1" x14ac:dyDescent="0.2">
      <c r="A2542" s="29"/>
      <c r="B2542" s="30" t="s">
        <v>1765</v>
      </c>
      <c r="C2542" s="30" t="s">
        <v>451</v>
      </c>
      <c r="D2542" s="34" t="s">
        <v>1819</v>
      </c>
      <c r="E2542" s="31">
        <v>21263.23</v>
      </c>
      <c r="F2542" s="31">
        <v>1.6931</v>
      </c>
      <c r="G2542" s="32">
        <f t="shared" si="410"/>
        <v>36000.774712999999</v>
      </c>
      <c r="H2542" s="33">
        <f t="shared" si="401"/>
        <v>1.8666584916735476E-4</v>
      </c>
      <c r="K2542" t="str">
        <f xml:space="preserve"> B2540 &amp; B2542</f>
        <v>Z000219002Z040311025</v>
      </c>
    </row>
    <row r="2543" spans="1:11" ht="18.75" x14ac:dyDescent="0.2">
      <c r="A2543" s="5">
        <v>22</v>
      </c>
      <c r="B2543" s="5" t="s">
        <v>328</v>
      </c>
      <c r="C2543" s="5" t="s">
        <v>2101</v>
      </c>
      <c r="D2543" s="6"/>
      <c r="E2543" s="7"/>
      <c r="F2543" s="8"/>
      <c r="G2543" s="9">
        <f>SUM(G2544,G2552,G2557)</f>
        <v>1667000</v>
      </c>
      <c r="H2543" s="10">
        <f t="shared" si="401"/>
        <v>8.6434798429383553E-3</v>
      </c>
    </row>
    <row r="2544" spans="1:11" ht="15" x14ac:dyDescent="0.2">
      <c r="A2544" s="17" t="s">
        <v>2070</v>
      </c>
      <c r="B2544" s="17" t="s">
        <v>328</v>
      </c>
      <c r="C2544" s="17" t="s">
        <v>1171</v>
      </c>
      <c r="D2544" s="18"/>
      <c r="E2544" s="19"/>
      <c r="F2544" s="20"/>
      <c r="G2544" s="21">
        <f>SUM(G2545,G2549)</f>
        <v>475000</v>
      </c>
      <c r="H2544" s="22">
        <f t="shared" si="401"/>
        <v>2.4628991754023508E-3</v>
      </c>
    </row>
    <row r="2545" spans="1:11" outlineLevel="1" x14ac:dyDescent="0.2">
      <c r="A2545" s="11" t="s">
        <v>1942</v>
      </c>
      <c r="B2545" s="11" t="s">
        <v>479</v>
      </c>
      <c r="C2545" s="11" t="s">
        <v>321</v>
      </c>
      <c r="D2545" s="12" t="s">
        <v>1819</v>
      </c>
      <c r="E2545" s="13">
        <v>1368</v>
      </c>
      <c r="F2545" s="14">
        <v>0</v>
      </c>
      <c r="G2545" s="15">
        <f>SUM(G2546:G2548)</f>
        <v>0</v>
      </c>
      <c r="H2545" s="16">
        <f t="shared" si="401"/>
        <v>0</v>
      </c>
    </row>
    <row r="2546" spans="1:11" outlineLevel="1" x14ac:dyDescent="0.2">
      <c r="A2546" s="29"/>
      <c r="B2546" s="30" t="s">
        <v>1452</v>
      </c>
      <c r="C2546" s="30" t="s">
        <v>4374</v>
      </c>
      <c r="D2546" s="34" t="s">
        <v>1152</v>
      </c>
      <c r="E2546" s="31">
        <v>0</v>
      </c>
      <c r="F2546" s="31">
        <v>99</v>
      </c>
      <c r="G2546" s="32">
        <f t="shared" ref="G2546:G2548" si="411">F2546*E2546</f>
        <v>0</v>
      </c>
      <c r="H2546" s="33">
        <f t="shared" si="401"/>
        <v>0</v>
      </c>
      <c r="K2546" t="str">
        <f xml:space="preserve"> B2545 &amp; B2546</f>
        <v>Z000221001Z040312004</v>
      </c>
    </row>
    <row r="2547" spans="1:11" outlineLevel="1" x14ac:dyDescent="0.2">
      <c r="A2547" s="29"/>
      <c r="B2547" s="30" t="s">
        <v>1454</v>
      </c>
      <c r="C2547" s="30" t="s">
        <v>4370</v>
      </c>
      <c r="D2547" s="34" t="s">
        <v>1819</v>
      </c>
      <c r="E2547" s="31">
        <v>0</v>
      </c>
      <c r="F2547" s="31">
        <v>399</v>
      </c>
      <c r="G2547" s="32">
        <f t="shared" si="411"/>
        <v>0</v>
      </c>
      <c r="H2547" s="33">
        <f t="shared" si="401"/>
        <v>0</v>
      </c>
      <c r="K2547" t="str">
        <f xml:space="preserve"> B2545 &amp; B2547</f>
        <v>Z000221001Z040312005</v>
      </c>
    </row>
    <row r="2548" spans="1:11" outlineLevel="1" x14ac:dyDescent="0.2">
      <c r="A2548" s="29"/>
      <c r="B2548" s="30" t="s">
        <v>1458</v>
      </c>
      <c r="C2548" s="30" t="s">
        <v>4372</v>
      </c>
      <c r="D2548" s="34" t="s">
        <v>1819</v>
      </c>
      <c r="E2548" s="31">
        <v>0</v>
      </c>
      <c r="F2548" s="31">
        <v>60</v>
      </c>
      <c r="G2548" s="32">
        <f t="shared" si="411"/>
        <v>0</v>
      </c>
      <c r="H2548" s="33">
        <f t="shared" si="401"/>
        <v>0</v>
      </c>
      <c r="K2548" t="str">
        <f xml:space="preserve"> B2545 &amp; B2548</f>
        <v>Z000221001Z040312006</v>
      </c>
    </row>
    <row r="2549" spans="1:11" outlineLevel="1" x14ac:dyDescent="0.2">
      <c r="A2549" s="11" t="s">
        <v>1945</v>
      </c>
      <c r="B2549" s="11" t="s">
        <v>481</v>
      </c>
      <c r="C2549" s="11" t="s">
        <v>1868</v>
      </c>
      <c r="D2549" s="12" t="s">
        <v>1819</v>
      </c>
      <c r="E2549" s="13">
        <v>2</v>
      </c>
      <c r="F2549" s="14">
        <v>237500</v>
      </c>
      <c r="G2549" s="15">
        <f>SUM(G2550:G2551)</f>
        <v>475000</v>
      </c>
      <c r="H2549" s="16">
        <f t="shared" si="401"/>
        <v>2.4628991754023508E-3</v>
      </c>
    </row>
    <row r="2550" spans="1:11" outlineLevel="1" x14ac:dyDescent="0.2">
      <c r="A2550" s="29"/>
      <c r="B2550" s="30" t="s">
        <v>1462</v>
      </c>
      <c r="C2550" s="30" t="s">
        <v>4376</v>
      </c>
      <c r="D2550" s="34" t="s">
        <v>1152</v>
      </c>
      <c r="E2550" s="31">
        <v>2</v>
      </c>
      <c r="F2550" s="31">
        <v>71250</v>
      </c>
      <c r="G2550" s="32">
        <f t="shared" ref="G2550:G2551" si="412">F2550*E2550</f>
        <v>142500</v>
      </c>
      <c r="H2550" s="33">
        <f t="shared" si="401"/>
        <v>7.388697526207053E-4</v>
      </c>
      <c r="K2550" t="str">
        <f xml:space="preserve"> B2549 &amp; B2550</f>
        <v>Z000221002Z040312007</v>
      </c>
    </row>
    <row r="2551" spans="1:11" outlineLevel="1" x14ac:dyDescent="0.2">
      <c r="A2551" s="29"/>
      <c r="B2551" s="30" t="s">
        <v>1466</v>
      </c>
      <c r="C2551" s="30" t="s">
        <v>4378</v>
      </c>
      <c r="D2551" s="34" t="s">
        <v>1819</v>
      </c>
      <c r="E2551" s="31">
        <v>2</v>
      </c>
      <c r="F2551" s="31">
        <v>166250</v>
      </c>
      <c r="G2551" s="32">
        <f t="shared" si="412"/>
        <v>332500</v>
      </c>
      <c r="H2551" s="33">
        <f t="shared" si="401"/>
        <v>1.7240294227816456E-3</v>
      </c>
      <c r="K2551" t="str">
        <f xml:space="preserve"> B2549 &amp; B2551</f>
        <v>Z000221002Z040312008</v>
      </c>
    </row>
    <row r="2552" spans="1:11" ht="15" x14ac:dyDescent="0.2">
      <c r="A2552" s="17" t="s">
        <v>2071</v>
      </c>
      <c r="B2552" s="17" t="s">
        <v>328</v>
      </c>
      <c r="C2552" s="17" t="s">
        <v>353</v>
      </c>
      <c r="D2552" s="18"/>
      <c r="E2552" s="19"/>
      <c r="F2552" s="20"/>
      <c r="G2552" s="21">
        <f>SUM(G2553)</f>
        <v>1180000</v>
      </c>
      <c r="H2552" s="22">
        <f t="shared" si="401"/>
        <v>6.1183600567889986E-3</v>
      </c>
    </row>
    <row r="2553" spans="1:11" outlineLevel="1" x14ac:dyDescent="0.2">
      <c r="A2553" s="11" t="s">
        <v>1822</v>
      </c>
      <c r="B2553" s="11" t="s">
        <v>383</v>
      </c>
      <c r="C2553" s="11" t="s">
        <v>465</v>
      </c>
      <c r="D2553" s="12" t="s">
        <v>1819</v>
      </c>
      <c r="E2553" s="13">
        <v>1</v>
      </c>
      <c r="F2553" s="14">
        <v>1180000</v>
      </c>
      <c r="G2553" s="15">
        <f>SUM(G2554:G2556)</f>
        <v>1180000</v>
      </c>
      <c r="H2553" s="16">
        <f t="shared" si="401"/>
        <v>6.1183600567889986E-3</v>
      </c>
    </row>
    <row r="2554" spans="1:11" outlineLevel="1" x14ac:dyDescent="0.2">
      <c r="A2554" s="29"/>
      <c r="B2554" s="30" t="s">
        <v>1446</v>
      </c>
      <c r="C2554" s="30" t="s">
        <v>454</v>
      </c>
      <c r="D2554" s="34" t="s">
        <v>1819</v>
      </c>
      <c r="E2554" s="31">
        <v>1</v>
      </c>
      <c r="F2554" s="31">
        <v>10000</v>
      </c>
      <c r="G2554" s="32">
        <f t="shared" ref="G2554:G2556" si="413">F2554*E2554</f>
        <v>10000</v>
      </c>
      <c r="H2554" s="33">
        <f t="shared" si="401"/>
        <v>5.1850508955838967E-5</v>
      </c>
      <c r="K2554" t="str">
        <f xml:space="preserve"> B2553 &amp; B2554</f>
        <v>Z000222001Z040312001</v>
      </c>
    </row>
    <row r="2555" spans="1:11" outlineLevel="1" x14ac:dyDescent="0.2">
      <c r="A2555" s="29"/>
      <c r="B2555" s="30" t="s">
        <v>1448</v>
      </c>
      <c r="C2555" s="30" t="s">
        <v>365</v>
      </c>
      <c r="D2555" s="34" t="s">
        <v>1819</v>
      </c>
      <c r="E2555" s="31">
        <v>1</v>
      </c>
      <c r="F2555" s="31">
        <v>1150000</v>
      </c>
      <c r="G2555" s="32">
        <f t="shared" si="413"/>
        <v>1150000</v>
      </c>
      <c r="H2555" s="33">
        <f t="shared" si="401"/>
        <v>5.9628085299214817E-3</v>
      </c>
      <c r="K2555" t="str">
        <f xml:space="preserve"> B2553 &amp; B2555</f>
        <v>Z000222001Z040312002</v>
      </c>
    </row>
    <row r="2556" spans="1:11" outlineLevel="1" x14ac:dyDescent="0.2">
      <c r="A2556" s="29"/>
      <c r="B2556" s="30" t="s">
        <v>1450</v>
      </c>
      <c r="C2556" s="30" t="s">
        <v>559</v>
      </c>
      <c r="D2556" s="34" t="s">
        <v>1819</v>
      </c>
      <c r="E2556" s="31">
        <v>1</v>
      </c>
      <c r="F2556" s="31">
        <v>20000</v>
      </c>
      <c r="G2556" s="32">
        <f t="shared" si="413"/>
        <v>20000</v>
      </c>
      <c r="H2556" s="33">
        <f t="shared" si="401"/>
        <v>1.0370101791167793E-4</v>
      </c>
      <c r="K2556" t="str">
        <f xml:space="preserve"> B2553 &amp; B2556</f>
        <v>Z000222001Z040312003</v>
      </c>
    </row>
    <row r="2557" spans="1:11" ht="15" x14ac:dyDescent="0.2">
      <c r="A2557" s="17" t="s">
        <v>2072</v>
      </c>
      <c r="B2557" s="17" t="s">
        <v>328</v>
      </c>
      <c r="C2557" s="17" t="s">
        <v>550</v>
      </c>
      <c r="D2557" s="18"/>
      <c r="E2557" s="19"/>
      <c r="F2557" s="20"/>
      <c r="G2557" s="21">
        <f>SUM(G2558)</f>
        <v>12000</v>
      </c>
      <c r="H2557" s="22">
        <f t="shared" si="401"/>
        <v>6.2220610747006758E-5</v>
      </c>
    </row>
    <row r="2558" spans="1:11" outlineLevel="1" x14ac:dyDescent="0.2">
      <c r="A2558" s="11" t="s">
        <v>1680</v>
      </c>
      <c r="B2558" s="11" t="s">
        <v>271</v>
      </c>
      <c r="C2558" s="11" t="s">
        <v>1965</v>
      </c>
      <c r="D2558" s="12" t="s">
        <v>1819</v>
      </c>
      <c r="E2558" s="13">
        <v>1</v>
      </c>
      <c r="F2558" s="14">
        <v>12000</v>
      </c>
      <c r="G2558" s="15">
        <f>SUM(G2559:G2561)</f>
        <v>12000</v>
      </c>
      <c r="H2558" s="16">
        <f t="shared" si="401"/>
        <v>6.2220610747006758E-5</v>
      </c>
    </row>
    <row r="2559" spans="1:11" outlineLevel="1" x14ac:dyDescent="0.2">
      <c r="A2559" s="29"/>
      <c r="B2559" s="30" t="s">
        <v>1471</v>
      </c>
      <c r="C2559" s="30" t="s">
        <v>495</v>
      </c>
      <c r="D2559" s="34" t="s">
        <v>153</v>
      </c>
      <c r="E2559" s="31">
        <v>1</v>
      </c>
      <c r="F2559" s="31">
        <v>7000</v>
      </c>
      <c r="G2559" s="32">
        <f t="shared" ref="G2559:G2561" si="414">F2559*E2559</f>
        <v>7000</v>
      </c>
      <c r="H2559" s="33">
        <f t="shared" si="401"/>
        <v>3.6295356269087274E-5</v>
      </c>
      <c r="K2559" t="str">
        <f xml:space="preserve"> B2558 &amp; B2559</f>
        <v>Z000223001Z040312009</v>
      </c>
    </row>
    <row r="2560" spans="1:11" outlineLevel="1" x14ac:dyDescent="0.2">
      <c r="A2560" s="29"/>
      <c r="B2560" s="30" t="s">
        <v>1518</v>
      </c>
      <c r="C2560" s="30" t="s">
        <v>4384</v>
      </c>
      <c r="D2560" s="34" t="s">
        <v>1819</v>
      </c>
      <c r="E2560" s="31">
        <v>1</v>
      </c>
      <c r="F2560" s="31">
        <v>3000</v>
      </c>
      <c r="G2560" s="32">
        <f t="shared" si="414"/>
        <v>3000</v>
      </c>
      <c r="H2560" s="33">
        <f t="shared" ref="H2560:H2614" si="415">G2560/$F$2</f>
        <v>1.5555152686751689E-5</v>
      </c>
      <c r="K2560" t="str">
        <f xml:space="preserve"> B2558 &amp; B2560</f>
        <v>Z000223001Z040312010</v>
      </c>
    </row>
    <row r="2561" spans="1:11" outlineLevel="1" x14ac:dyDescent="0.2">
      <c r="A2561" s="29"/>
      <c r="B2561" s="30" t="s">
        <v>1520</v>
      </c>
      <c r="C2561" s="30" t="s">
        <v>330</v>
      </c>
      <c r="D2561" s="34" t="s">
        <v>153</v>
      </c>
      <c r="E2561" s="31">
        <v>1</v>
      </c>
      <c r="F2561" s="31">
        <v>2000</v>
      </c>
      <c r="G2561" s="32">
        <f t="shared" si="414"/>
        <v>2000</v>
      </c>
      <c r="H2561" s="33">
        <f t="shared" si="415"/>
        <v>1.0370101791167794E-5</v>
      </c>
      <c r="K2561" t="str">
        <f xml:space="preserve"> B2558 &amp; B2561</f>
        <v>Z000223001Z040312011</v>
      </c>
    </row>
    <row r="2562" spans="1:11" ht="18.75" x14ac:dyDescent="0.2">
      <c r="A2562" s="5">
        <v>23</v>
      </c>
      <c r="B2562" s="5" t="s">
        <v>328</v>
      </c>
      <c r="C2562" s="5" t="s">
        <v>1415</v>
      </c>
      <c r="D2562" s="6"/>
      <c r="E2562" s="7"/>
      <c r="F2562" s="8"/>
      <c r="G2562" s="9">
        <f>SUM(G2563,G2567,G2571,G2572,G2573,G2577,G2578,G2583,G2586,G2587,G2594,G2595,G2596,G2599,G2604)</f>
        <v>9338445.9360000007</v>
      </c>
      <c r="H2562" s="10">
        <f t="shared" si="415"/>
        <v>4.8420317463818606E-2</v>
      </c>
    </row>
    <row r="2563" spans="1:11" ht="15" x14ac:dyDescent="0.2">
      <c r="A2563" s="17" t="s">
        <v>2073</v>
      </c>
      <c r="B2563" s="17" t="s">
        <v>328</v>
      </c>
      <c r="C2563" s="17" t="s">
        <v>1113</v>
      </c>
      <c r="D2563" s="18"/>
      <c r="E2563" s="19"/>
      <c r="F2563" s="20"/>
      <c r="G2563" s="21">
        <f>SUM(G2564)</f>
        <v>1128600</v>
      </c>
      <c r="H2563" s="22">
        <f t="shared" si="415"/>
        <v>5.8518484407559862E-3</v>
      </c>
    </row>
    <row r="2564" spans="1:11" outlineLevel="1" x14ac:dyDescent="0.2">
      <c r="A2564" s="11" t="s">
        <v>1877</v>
      </c>
      <c r="B2564" s="11" t="s">
        <v>362</v>
      </c>
      <c r="C2564" s="11" t="s">
        <v>1113</v>
      </c>
      <c r="D2564" s="12" t="s">
        <v>1819</v>
      </c>
      <c r="E2564" s="13">
        <v>3</v>
      </c>
      <c r="F2564" s="14">
        <v>376200</v>
      </c>
      <c r="G2564" s="15">
        <f>SUM(G2565:G2566)</f>
        <v>1128600</v>
      </c>
      <c r="H2564" s="16">
        <f t="shared" si="415"/>
        <v>5.8518484407559862E-3</v>
      </c>
    </row>
    <row r="2565" spans="1:11" outlineLevel="1" x14ac:dyDescent="0.2">
      <c r="A2565" s="29"/>
      <c r="B2565" s="30" t="s">
        <v>1312</v>
      </c>
      <c r="C2565" s="30" t="s">
        <v>1743</v>
      </c>
      <c r="D2565" s="34" t="s">
        <v>1819</v>
      </c>
      <c r="E2565" s="31">
        <v>3</v>
      </c>
      <c r="F2565" s="31">
        <v>361700</v>
      </c>
      <c r="G2565" s="32">
        <f t="shared" ref="G2565:G2566" si="416">F2565*E2565</f>
        <v>1085100</v>
      </c>
      <c r="H2565" s="33">
        <f t="shared" si="415"/>
        <v>5.6262987267980862E-3</v>
      </c>
      <c r="K2565" t="str">
        <f xml:space="preserve"> B2564 &amp; B2565</f>
        <v>Z000231001Z040313001</v>
      </c>
    </row>
    <row r="2566" spans="1:11" outlineLevel="1" x14ac:dyDescent="0.2">
      <c r="A2566" s="29"/>
      <c r="B2566" s="30" t="s">
        <v>1314</v>
      </c>
      <c r="C2566" s="30" t="s">
        <v>1582</v>
      </c>
      <c r="D2566" s="34" t="s">
        <v>1819</v>
      </c>
      <c r="E2566" s="31">
        <v>3</v>
      </c>
      <c r="F2566" s="31">
        <v>14500</v>
      </c>
      <c r="G2566" s="32">
        <f t="shared" si="416"/>
        <v>43500</v>
      </c>
      <c r="H2566" s="33">
        <f t="shared" si="415"/>
        <v>2.2554971395789952E-4</v>
      </c>
      <c r="K2566" t="str">
        <f xml:space="preserve"> B2564 &amp; B2566</f>
        <v>Z000231001Z040313002</v>
      </c>
    </row>
    <row r="2567" spans="1:11" ht="15" x14ac:dyDescent="0.2">
      <c r="A2567" s="17" t="s">
        <v>2074</v>
      </c>
      <c r="B2567" s="17" t="s">
        <v>328</v>
      </c>
      <c r="C2567" s="17" t="s">
        <v>1859</v>
      </c>
      <c r="D2567" s="18"/>
      <c r="E2567" s="19"/>
      <c r="F2567" s="20"/>
      <c r="G2567" s="21">
        <f>SUM(G2568)</f>
        <v>2623842</v>
      </c>
      <c r="H2567" s="22">
        <f t="shared" si="415"/>
        <v>1.3604754311970642E-2</v>
      </c>
    </row>
    <row r="2568" spans="1:11" outlineLevel="1" x14ac:dyDescent="0.2">
      <c r="A2568" s="11" t="s">
        <v>1770</v>
      </c>
      <c r="B2568" s="11" t="s">
        <v>247</v>
      </c>
      <c r="C2568" s="11" t="s">
        <v>55</v>
      </c>
      <c r="D2568" s="12" t="s">
        <v>1152</v>
      </c>
      <c r="E2568" s="13">
        <v>4373.07</v>
      </c>
      <c r="F2568" s="14">
        <v>600</v>
      </c>
      <c r="G2568" s="15">
        <f>SUM(G2569:G2570)</f>
        <v>2623842</v>
      </c>
      <c r="H2568" s="16">
        <f t="shared" si="415"/>
        <v>1.3604754311970642E-2</v>
      </c>
    </row>
    <row r="2569" spans="1:11" outlineLevel="1" x14ac:dyDescent="0.2">
      <c r="A2569" s="29"/>
      <c r="B2569" s="30" t="s">
        <v>1788</v>
      </c>
      <c r="C2569" s="30" t="s">
        <v>99</v>
      </c>
      <c r="D2569" s="34" t="s">
        <v>1152</v>
      </c>
      <c r="E2569" s="31">
        <v>4373.07</v>
      </c>
      <c r="F2569" s="31">
        <v>380</v>
      </c>
      <c r="G2569" s="32">
        <f t="shared" ref="G2569:G2570" si="417">F2569*E2569</f>
        <v>1661766.5999999999</v>
      </c>
      <c r="H2569" s="33">
        <f t="shared" si="415"/>
        <v>8.6163443975814068E-3</v>
      </c>
      <c r="K2569" t="str">
        <f xml:space="preserve"> B2568 &amp; B2569</f>
        <v>Z000232001Z020612001</v>
      </c>
    </row>
    <row r="2570" spans="1:11" outlineLevel="1" x14ac:dyDescent="0.2">
      <c r="A2570" s="29"/>
      <c r="B2570" s="30" t="s">
        <v>1871</v>
      </c>
      <c r="C2570" s="30" t="s">
        <v>4390</v>
      </c>
      <c r="D2570" s="34" t="s">
        <v>1819</v>
      </c>
      <c r="E2570" s="31">
        <v>4373.07</v>
      </c>
      <c r="F2570" s="31">
        <v>220</v>
      </c>
      <c r="G2570" s="32">
        <f t="shared" si="417"/>
        <v>962075.39999999991</v>
      </c>
      <c r="H2570" s="33">
        <f t="shared" si="415"/>
        <v>4.9884099143892354E-3</v>
      </c>
      <c r="K2570" t="str">
        <f xml:space="preserve"> B2568 &amp; B2570</f>
        <v>Z000232001Z040310025</v>
      </c>
    </row>
    <row r="2571" spans="1:11" ht="15" x14ac:dyDescent="0.2">
      <c r="A2571" s="17" t="s">
        <v>2075</v>
      </c>
      <c r="B2571" s="17" t="s">
        <v>328</v>
      </c>
      <c r="C2571" s="17" t="s">
        <v>1862</v>
      </c>
      <c r="D2571" s="18"/>
      <c r="E2571" s="19"/>
      <c r="F2571" s="20"/>
      <c r="G2571" s="21">
        <v>0</v>
      </c>
      <c r="H2571" s="22">
        <f t="shared" si="415"/>
        <v>0</v>
      </c>
    </row>
    <row r="2572" spans="1:11" ht="15" x14ac:dyDescent="0.2">
      <c r="A2572" s="17" t="s">
        <v>2076</v>
      </c>
      <c r="B2572" s="17" t="s">
        <v>328</v>
      </c>
      <c r="C2572" s="17" t="s">
        <v>1185</v>
      </c>
      <c r="D2572" s="18"/>
      <c r="E2572" s="19"/>
      <c r="F2572" s="20"/>
      <c r="G2572" s="21">
        <v>0</v>
      </c>
      <c r="H2572" s="22">
        <f t="shared" si="415"/>
        <v>0</v>
      </c>
    </row>
    <row r="2573" spans="1:11" ht="15" x14ac:dyDescent="0.2">
      <c r="A2573" s="17" t="s">
        <v>2077</v>
      </c>
      <c r="B2573" s="17" t="s">
        <v>328</v>
      </c>
      <c r="C2573" s="17" t="s">
        <v>1914</v>
      </c>
      <c r="D2573" s="18"/>
      <c r="E2573" s="19"/>
      <c r="F2573" s="20"/>
      <c r="G2573" s="21">
        <f>SUM(G2574)</f>
        <v>605224.22399999993</v>
      </c>
      <c r="H2573" s="22">
        <f t="shared" si="415"/>
        <v>3.1381184046802685E-3</v>
      </c>
    </row>
    <row r="2574" spans="1:11" outlineLevel="1" x14ac:dyDescent="0.2">
      <c r="A2574" s="11" t="s">
        <v>1336</v>
      </c>
      <c r="B2574" s="11" t="s">
        <v>1975</v>
      </c>
      <c r="C2574" s="11" t="s">
        <v>4393</v>
      </c>
      <c r="D2574" s="12" t="s">
        <v>1052</v>
      </c>
      <c r="E2574" s="13">
        <v>2851.2</v>
      </c>
      <c r="F2574" s="14">
        <v>212.26999999999998</v>
      </c>
      <c r="G2574" s="15">
        <f>SUM(G2575:G2576)</f>
        <v>605224.22399999993</v>
      </c>
      <c r="H2574" s="16">
        <f t="shared" si="415"/>
        <v>3.1381184046802685E-3</v>
      </c>
    </row>
    <row r="2575" spans="1:11" outlineLevel="1" x14ac:dyDescent="0.2">
      <c r="A2575" s="29"/>
      <c r="B2575" s="30" t="s">
        <v>1496</v>
      </c>
      <c r="C2575" s="30" t="s">
        <v>1198</v>
      </c>
      <c r="D2575" s="34" t="s">
        <v>1152</v>
      </c>
      <c r="E2575" s="31">
        <v>2851.2</v>
      </c>
      <c r="F2575" s="31">
        <v>194.55</v>
      </c>
      <c r="G2575" s="32">
        <f t="shared" ref="G2575:G2576" si="418">F2575*E2575</f>
        <v>554700.96</v>
      </c>
      <c r="H2575" s="33">
        <f t="shared" si="415"/>
        <v>2.876152709429247E-3</v>
      </c>
      <c r="K2575" t="str">
        <f xml:space="preserve"> B2574 &amp; B2575</f>
        <v>Z000234002Z020614003</v>
      </c>
    </row>
    <row r="2576" spans="1:11" outlineLevel="1" x14ac:dyDescent="0.2">
      <c r="A2576" s="29"/>
      <c r="B2576" s="30" t="s">
        <v>1876</v>
      </c>
      <c r="C2576" s="30" t="s">
        <v>4394</v>
      </c>
      <c r="D2576" s="34" t="s">
        <v>1819</v>
      </c>
      <c r="E2576" s="31">
        <v>2851.2</v>
      </c>
      <c r="F2576" s="31">
        <v>17.72</v>
      </c>
      <c r="G2576" s="32">
        <f t="shared" si="418"/>
        <v>50523.263999999996</v>
      </c>
      <c r="H2576" s="33">
        <f t="shared" si="415"/>
        <v>2.6196569525102165E-4</v>
      </c>
      <c r="K2576" t="str">
        <f xml:space="preserve"> B2574 &amp; B2576</f>
        <v>Z000234002Z040310027</v>
      </c>
    </row>
    <row r="2577" spans="1:11" ht="15" x14ac:dyDescent="0.2">
      <c r="A2577" s="17" t="s">
        <v>2078</v>
      </c>
      <c r="B2577" s="17" t="s">
        <v>328</v>
      </c>
      <c r="C2577" s="17" t="s">
        <v>922</v>
      </c>
      <c r="D2577" s="18"/>
      <c r="E2577" s="19"/>
      <c r="F2577" s="20"/>
      <c r="G2577" s="21">
        <v>0</v>
      </c>
      <c r="H2577" s="22">
        <f t="shared" si="415"/>
        <v>0</v>
      </c>
    </row>
    <row r="2578" spans="1:11" ht="15" x14ac:dyDescent="0.2">
      <c r="A2578" s="17" t="s">
        <v>2079</v>
      </c>
      <c r="B2578" s="17" t="s">
        <v>328</v>
      </c>
      <c r="C2578" s="17" t="s">
        <v>858</v>
      </c>
      <c r="D2578" s="18"/>
      <c r="E2578" s="19"/>
      <c r="F2578" s="20"/>
      <c r="G2578" s="21">
        <f>SUM(G2579,G2581)</f>
        <v>1643330.8</v>
      </c>
      <c r="H2578" s="22">
        <f t="shared" si="415"/>
        <v>8.520753836280601E-3</v>
      </c>
    </row>
    <row r="2579" spans="1:11" outlineLevel="1" x14ac:dyDescent="0.2">
      <c r="A2579" s="11" t="s">
        <v>1095</v>
      </c>
      <c r="B2579" s="11" t="s">
        <v>1866</v>
      </c>
      <c r="C2579" s="11" t="s">
        <v>4397</v>
      </c>
      <c r="D2579" s="12" t="s">
        <v>1781</v>
      </c>
      <c r="E2579" s="13">
        <v>8</v>
      </c>
      <c r="F2579" s="14">
        <v>197916.35</v>
      </c>
      <c r="G2579" s="15">
        <f>SUM(G2580:G2580)</f>
        <v>1583330.8</v>
      </c>
      <c r="H2579" s="16">
        <f t="shared" si="415"/>
        <v>8.2096507825455672E-3</v>
      </c>
    </row>
    <row r="2580" spans="1:11" outlineLevel="1" x14ac:dyDescent="0.2">
      <c r="A2580" s="29"/>
      <c r="B2580" s="30" t="s">
        <v>1389</v>
      </c>
      <c r="C2580" s="30" t="s">
        <v>1036</v>
      </c>
      <c r="D2580" s="34" t="s">
        <v>1781</v>
      </c>
      <c r="E2580" s="31">
        <v>8</v>
      </c>
      <c r="F2580" s="31">
        <v>197916.35</v>
      </c>
      <c r="G2580" s="32">
        <f>F2580*E2580</f>
        <v>1583330.8</v>
      </c>
      <c r="H2580" s="33">
        <f t="shared" si="415"/>
        <v>8.2096507825455672E-3</v>
      </c>
      <c r="K2580" t="str">
        <f xml:space="preserve"> B2579 &amp; B2580</f>
        <v>Z000235001Z040313014</v>
      </c>
    </row>
    <row r="2581" spans="1:11" outlineLevel="1" x14ac:dyDescent="0.2">
      <c r="A2581" s="11" t="s">
        <v>1098</v>
      </c>
      <c r="B2581" s="11" t="s">
        <v>1867</v>
      </c>
      <c r="C2581" s="11" t="s">
        <v>531</v>
      </c>
      <c r="D2581" s="12" t="s">
        <v>1819</v>
      </c>
      <c r="E2581" s="13">
        <v>1</v>
      </c>
      <c r="F2581" s="14">
        <v>60000</v>
      </c>
      <c r="G2581" s="15">
        <f>SUM(G2582:G2582)</f>
        <v>60000</v>
      </c>
      <c r="H2581" s="16">
        <f t="shared" si="415"/>
        <v>3.111030537350338E-4</v>
      </c>
    </row>
    <row r="2582" spans="1:11" outlineLevel="1" x14ac:dyDescent="0.2">
      <c r="A2582" s="29"/>
      <c r="B2582" s="30" t="s">
        <v>1404</v>
      </c>
      <c r="C2582" s="30" t="s">
        <v>4398</v>
      </c>
      <c r="D2582" s="34" t="s">
        <v>1781</v>
      </c>
      <c r="E2582" s="31">
        <v>1</v>
      </c>
      <c r="F2582" s="31">
        <v>60000</v>
      </c>
      <c r="G2582" s="32">
        <f>F2582*E2582</f>
        <v>60000</v>
      </c>
      <c r="H2582" s="33">
        <f t="shared" si="415"/>
        <v>3.111030537350338E-4</v>
      </c>
      <c r="K2582" t="str">
        <f xml:space="preserve"> B2581 &amp; B2582</f>
        <v>Z000235002Z040313018</v>
      </c>
    </row>
    <row r="2583" spans="1:11" ht="15" x14ac:dyDescent="0.2">
      <c r="A2583" s="17" t="s">
        <v>2080</v>
      </c>
      <c r="B2583" s="17" t="s">
        <v>328</v>
      </c>
      <c r="C2583" s="17" t="s">
        <v>1081</v>
      </c>
      <c r="D2583" s="18"/>
      <c r="E2583" s="19"/>
      <c r="F2583" s="20"/>
      <c r="G2583" s="21">
        <f>SUM(G2584)</f>
        <v>4070</v>
      </c>
      <c r="H2583" s="22">
        <f t="shared" si="415"/>
        <v>2.1103157145026461E-5</v>
      </c>
    </row>
    <row r="2584" spans="1:11" outlineLevel="1" x14ac:dyDescent="0.2">
      <c r="A2584" s="11" t="s">
        <v>952</v>
      </c>
      <c r="B2584" s="11" t="s">
        <v>1753</v>
      </c>
      <c r="C2584" s="11" t="s">
        <v>585</v>
      </c>
      <c r="D2584" s="12" t="s">
        <v>1819</v>
      </c>
      <c r="E2584" s="13">
        <v>37</v>
      </c>
      <c r="F2584" s="14">
        <v>110</v>
      </c>
      <c r="G2584" s="15">
        <f>SUM(G2585:G2585)</f>
        <v>4070</v>
      </c>
      <c r="H2584" s="16">
        <f t="shared" si="415"/>
        <v>2.1103157145026461E-5</v>
      </c>
    </row>
    <row r="2585" spans="1:11" outlineLevel="1" x14ac:dyDescent="0.2">
      <c r="A2585" s="29"/>
      <c r="B2585" s="30" t="s">
        <v>1382</v>
      </c>
      <c r="C2585" s="30" t="s">
        <v>751</v>
      </c>
      <c r="D2585" s="34" t="s">
        <v>1819</v>
      </c>
      <c r="E2585" s="31">
        <v>37</v>
      </c>
      <c r="F2585" s="31">
        <v>110</v>
      </c>
      <c r="G2585" s="32">
        <f>F2585*E2585</f>
        <v>4070</v>
      </c>
      <c r="H2585" s="33">
        <f t="shared" si="415"/>
        <v>2.1103157145026461E-5</v>
      </c>
      <c r="K2585" t="str">
        <f xml:space="preserve"> B2584 &amp; B2585</f>
        <v>Z000236001Z040313010</v>
      </c>
    </row>
    <row r="2586" spans="1:11" ht="15" x14ac:dyDescent="0.2">
      <c r="A2586" s="17" t="s">
        <v>2081</v>
      </c>
      <c r="B2586" s="17" t="s">
        <v>328</v>
      </c>
      <c r="C2586" s="17" t="s">
        <v>1688</v>
      </c>
      <c r="D2586" s="18"/>
      <c r="E2586" s="19"/>
      <c r="F2586" s="20"/>
      <c r="G2586" s="21">
        <v>0</v>
      </c>
      <c r="H2586" s="22">
        <f t="shared" si="415"/>
        <v>0</v>
      </c>
    </row>
    <row r="2587" spans="1:11" ht="15" x14ac:dyDescent="0.2">
      <c r="A2587" s="17" t="s">
        <v>2082</v>
      </c>
      <c r="B2587" s="17" t="s">
        <v>328</v>
      </c>
      <c r="C2587" s="17" t="s">
        <v>996</v>
      </c>
      <c r="D2587" s="18"/>
      <c r="E2587" s="19"/>
      <c r="F2587" s="20"/>
      <c r="G2587" s="21">
        <f>SUM(G2588,G2590,G2592)</f>
        <v>637896.9</v>
      </c>
      <c r="H2587" s="22">
        <f t="shared" si="415"/>
        <v>3.3075278926351917E-3</v>
      </c>
    </row>
    <row r="2588" spans="1:11" outlineLevel="1" x14ac:dyDescent="0.2">
      <c r="A2588" s="11" t="s">
        <v>1850</v>
      </c>
      <c r="B2588" s="11" t="s">
        <v>1604</v>
      </c>
      <c r="C2588" s="11" t="s">
        <v>1377</v>
      </c>
      <c r="D2588" s="12" t="s">
        <v>1152</v>
      </c>
      <c r="E2588" s="13">
        <v>21263.23</v>
      </c>
      <c r="F2588" s="14">
        <v>10</v>
      </c>
      <c r="G2588" s="15">
        <f>SUM(G2589:G2589)</f>
        <v>212632.3</v>
      </c>
      <c r="H2588" s="16">
        <f t="shared" si="415"/>
        <v>1.1025092975450637E-3</v>
      </c>
    </row>
    <row r="2589" spans="1:11" outlineLevel="1" x14ac:dyDescent="0.2">
      <c r="A2589" s="29"/>
      <c r="B2589" s="30" t="s">
        <v>1453</v>
      </c>
      <c r="C2589" s="30" t="s">
        <v>4401</v>
      </c>
      <c r="D2589" s="34" t="s">
        <v>1819</v>
      </c>
      <c r="E2589" s="31">
        <v>21263.23</v>
      </c>
      <c r="F2589" s="31">
        <v>10</v>
      </c>
      <c r="G2589" s="32">
        <f>F2589*E2589</f>
        <v>212632.3</v>
      </c>
      <c r="H2589" s="33">
        <f t="shared" si="415"/>
        <v>1.1025092975450637E-3</v>
      </c>
      <c r="K2589" t="str">
        <f xml:space="preserve"> B2588 &amp; B2589</f>
        <v>Z000237002Z040313022</v>
      </c>
    </row>
    <row r="2590" spans="1:11" outlineLevel="1" x14ac:dyDescent="0.2">
      <c r="A2590" s="11" t="s">
        <v>1853</v>
      </c>
      <c r="B2590" s="11" t="s">
        <v>1606</v>
      </c>
      <c r="C2590" s="11" t="s">
        <v>477</v>
      </c>
      <c r="D2590" s="12" t="s">
        <v>1152</v>
      </c>
      <c r="E2590" s="13">
        <v>21263.23</v>
      </c>
      <c r="F2590" s="14">
        <v>15</v>
      </c>
      <c r="G2590" s="15">
        <f>SUM(G2591:G2591)</f>
        <v>318948.45</v>
      </c>
      <c r="H2590" s="16">
        <f t="shared" si="415"/>
        <v>1.6537639463175958E-3</v>
      </c>
    </row>
    <row r="2591" spans="1:11" outlineLevel="1" x14ac:dyDescent="0.2">
      <c r="A2591" s="29"/>
      <c r="B2591" s="30" t="s">
        <v>1457</v>
      </c>
      <c r="C2591" s="30" t="s">
        <v>4403</v>
      </c>
      <c r="D2591" s="34" t="s">
        <v>1819</v>
      </c>
      <c r="E2591" s="31">
        <v>21263.23</v>
      </c>
      <c r="F2591" s="31">
        <v>15</v>
      </c>
      <c r="G2591" s="32">
        <f>F2591*E2591</f>
        <v>318948.45</v>
      </c>
      <c r="H2591" s="33">
        <f t="shared" si="415"/>
        <v>1.6537639463175958E-3</v>
      </c>
      <c r="K2591" t="str">
        <f xml:space="preserve"> B2590 &amp; B2591</f>
        <v>Z000237003Z040313023</v>
      </c>
    </row>
    <row r="2592" spans="1:11" outlineLevel="1" x14ac:dyDescent="0.2">
      <c r="A2592" s="11" t="s">
        <v>1858</v>
      </c>
      <c r="B2592" s="11" t="s">
        <v>1608</v>
      </c>
      <c r="C2592" s="11" t="s">
        <v>1411</v>
      </c>
      <c r="D2592" s="12" t="s">
        <v>1152</v>
      </c>
      <c r="E2592" s="13">
        <v>21263.23</v>
      </c>
      <c r="F2592" s="14">
        <v>5</v>
      </c>
      <c r="G2592" s="15">
        <f>SUM(G2593:G2593)</f>
        <v>106316.15</v>
      </c>
      <c r="H2592" s="16">
        <f t="shared" si="415"/>
        <v>5.5125464877253184E-4</v>
      </c>
    </row>
    <row r="2593" spans="1:11" outlineLevel="1" x14ac:dyDescent="0.2">
      <c r="A2593" s="29"/>
      <c r="B2593" s="30" t="s">
        <v>1461</v>
      </c>
      <c r="C2593" s="30" t="s">
        <v>4405</v>
      </c>
      <c r="D2593" s="34" t="s">
        <v>1819</v>
      </c>
      <c r="E2593" s="31">
        <v>21263.23</v>
      </c>
      <c r="F2593" s="31">
        <v>5</v>
      </c>
      <c r="G2593" s="32">
        <f>F2593*E2593</f>
        <v>106316.15</v>
      </c>
      <c r="H2593" s="33">
        <f t="shared" si="415"/>
        <v>5.5125464877253184E-4</v>
      </c>
      <c r="K2593" t="str">
        <f xml:space="preserve"> B2592 &amp; B2593</f>
        <v>Z000237004Z040313024</v>
      </c>
    </row>
    <row r="2594" spans="1:11" ht="15" x14ac:dyDescent="0.2">
      <c r="A2594" s="17" t="s">
        <v>2083</v>
      </c>
      <c r="B2594" s="17" t="s">
        <v>328</v>
      </c>
      <c r="C2594" s="17" t="s">
        <v>797</v>
      </c>
      <c r="D2594" s="18"/>
      <c r="E2594" s="19"/>
      <c r="F2594" s="20"/>
      <c r="G2594" s="21">
        <v>0</v>
      </c>
      <c r="H2594" s="22">
        <f t="shared" si="415"/>
        <v>0</v>
      </c>
    </row>
    <row r="2595" spans="1:11" ht="15" x14ac:dyDescent="0.2">
      <c r="A2595" s="17" t="s">
        <v>2084</v>
      </c>
      <c r="B2595" s="17" t="s">
        <v>328</v>
      </c>
      <c r="C2595" s="17" t="s">
        <v>1226</v>
      </c>
      <c r="D2595" s="18"/>
      <c r="E2595" s="19"/>
      <c r="F2595" s="20"/>
      <c r="G2595" s="21">
        <v>0</v>
      </c>
      <c r="H2595" s="22">
        <f t="shared" si="415"/>
        <v>0</v>
      </c>
    </row>
    <row r="2596" spans="1:11" ht="15" x14ac:dyDescent="0.2">
      <c r="A2596" s="17" t="s">
        <v>2085</v>
      </c>
      <c r="B2596" s="17" t="s">
        <v>328</v>
      </c>
      <c r="C2596" s="17" t="s">
        <v>1519</v>
      </c>
      <c r="D2596" s="18"/>
      <c r="E2596" s="19"/>
      <c r="F2596" s="20"/>
      <c r="G2596" s="21">
        <f>SUM(G2597)</f>
        <v>55482.012000000002</v>
      </c>
      <c r="H2596" s="22">
        <f t="shared" si="415"/>
        <v>2.8767705600939652E-4</v>
      </c>
    </row>
    <row r="2597" spans="1:11" outlineLevel="1" x14ac:dyDescent="0.2">
      <c r="A2597" s="11" t="s">
        <v>1435</v>
      </c>
      <c r="B2597" s="11" t="s">
        <v>1329</v>
      </c>
      <c r="C2597" s="11" t="s">
        <v>4409</v>
      </c>
      <c r="D2597" s="12" t="s">
        <v>1152</v>
      </c>
      <c r="E2597" s="13">
        <v>60</v>
      </c>
      <c r="F2597" s="14">
        <v>924.7002</v>
      </c>
      <c r="G2597" s="15">
        <f>SUM(G2598:G2598)</f>
        <v>55482.012000000002</v>
      </c>
      <c r="H2597" s="16">
        <f t="shared" si="415"/>
        <v>2.8767705600939652E-4</v>
      </c>
    </row>
    <row r="2598" spans="1:11" outlineLevel="1" x14ac:dyDescent="0.2">
      <c r="A2598" s="29"/>
      <c r="B2598" s="30" t="s">
        <v>1399</v>
      </c>
      <c r="C2598" s="30" t="s">
        <v>4407</v>
      </c>
      <c r="D2598" s="34" t="s">
        <v>1819</v>
      </c>
      <c r="E2598" s="31">
        <v>60</v>
      </c>
      <c r="F2598" s="31">
        <v>924.7002</v>
      </c>
      <c r="G2598" s="32">
        <f>F2598*E2598</f>
        <v>55482.012000000002</v>
      </c>
      <c r="H2598" s="33">
        <f t="shared" si="415"/>
        <v>2.8767705600939652E-4</v>
      </c>
      <c r="K2598" t="str">
        <f xml:space="preserve"> B2597 &amp; B2598</f>
        <v>Z000239005Z040313017</v>
      </c>
    </row>
    <row r="2599" spans="1:11" ht="15" x14ac:dyDescent="0.2">
      <c r="A2599" s="17" t="s">
        <v>2086</v>
      </c>
      <c r="B2599" s="17" t="s">
        <v>328</v>
      </c>
      <c r="C2599" s="17" t="s">
        <v>522</v>
      </c>
      <c r="D2599" s="18"/>
      <c r="E2599" s="19"/>
      <c r="F2599" s="20"/>
      <c r="G2599" s="21">
        <f>SUM(G2600)</f>
        <v>1440000</v>
      </c>
      <c r="H2599" s="22">
        <f t="shared" si="415"/>
        <v>7.4664732896408117E-3</v>
      </c>
    </row>
    <row r="2600" spans="1:11" outlineLevel="1" x14ac:dyDescent="0.2">
      <c r="A2600" s="11" t="s">
        <v>1299</v>
      </c>
      <c r="B2600" s="11" t="s">
        <v>1342</v>
      </c>
      <c r="C2600" s="11" t="s">
        <v>4411</v>
      </c>
      <c r="D2600" s="12" t="s">
        <v>1819</v>
      </c>
      <c r="E2600" s="13">
        <v>240</v>
      </c>
      <c r="F2600" s="14">
        <v>6000</v>
      </c>
      <c r="G2600" s="15">
        <f>SUM(G2601:G2603)</f>
        <v>1440000</v>
      </c>
      <c r="H2600" s="16">
        <f t="shared" si="415"/>
        <v>7.4664732896408117E-3</v>
      </c>
    </row>
    <row r="2601" spans="1:11" outlineLevel="1" x14ac:dyDescent="0.2">
      <c r="A2601" s="29"/>
      <c r="B2601" s="30" t="s">
        <v>1428</v>
      </c>
      <c r="C2601" s="30" t="s">
        <v>1283</v>
      </c>
      <c r="D2601" s="34" t="s">
        <v>1819</v>
      </c>
      <c r="E2601" s="31">
        <v>240</v>
      </c>
      <c r="F2601" s="31">
        <v>2635</v>
      </c>
      <c r="G2601" s="32">
        <f t="shared" ref="G2601:G2603" si="419">F2601*E2601</f>
        <v>632400</v>
      </c>
      <c r="H2601" s="33">
        <f t="shared" si="415"/>
        <v>3.2790261863672563E-3</v>
      </c>
      <c r="K2601" t="str">
        <f xml:space="preserve"> B2600 &amp; B2601</f>
        <v>Z000239009Z020303009</v>
      </c>
    </row>
    <row r="2602" spans="1:11" outlineLevel="1" x14ac:dyDescent="0.2">
      <c r="A2602" s="29"/>
      <c r="B2602" s="30" t="s">
        <v>1407</v>
      </c>
      <c r="C2602" s="30" t="s">
        <v>855</v>
      </c>
      <c r="D2602" s="34" t="s">
        <v>1819</v>
      </c>
      <c r="E2602" s="31">
        <v>240</v>
      </c>
      <c r="F2602" s="31">
        <v>1853</v>
      </c>
      <c r="G2602" s="32">
        <f t="shared" si="419"/>
        <v>444720</v>
      </c>
      <c r="H2602" s="33">
        <f t="shared" si="415"/>
        <v>2.3058958342840707E-3</v>
      </c>
      <c r="K2602" t="str">
        <f xml:space="preserve"> B2600 &amp; B2602</f>
        <v>Z000239009Z040313019</v>
      </c>
    </row>
    <row r="2603" spans="1:11" outlineLevel="1" x14ac:dyDescent="0.2">
      <c r="A2603" s="29"/>
      <c r="B2603" s="30" t="s">
        <v>1449</v>
      </c>
      <c r="C2603" s="30" t="s">
        <v>163</v>
      </c>
      <c r="D2603" s="34" t="s">
        <v>1819</v>
      </c>
      <c r="E2603" s="31">
        <v>240</v>
      </c>
      <c r="F2603" s="31">
        <v>1512</v>
      </c>
      <c r="G2603" s="32">
        <f t="shared" si="419"/>
        <v>362880</v>
      </c>
      <c r="H2603" s="33">
        <f t="shared" si="415"/>
        <v>1.8815512689894845E-3</v>
      </c>
      <c r="K2603" t="str">
        <f xml:space="preserve"> B2600 &amp; B2603</f>
        <v>Z000239009Z040313020</v>
      </c>
    </row>
    <row r="2604" spans="1:11" ht="15" x14ac:dyDescent="0.2">
      <c r="A2604" s="17" t="s">
        <v>2087</v>
      </c>
      <c r="B2604" s="17" t="s">
        <v>328</v>
      </c>
      <c r="C2604" s="17" t="s">
        <v>760</v>
      </c>
      <c r="D2604" s="18"/>
      <c r="E2604" s="19"/>
      <c r="F2604" s="20"/>
      <c r="G2604" s="21">
        <f>SUM(G2605)</f>
        <v>1200000</v>
      </c>
      <c r="H2604" s="22">
        <f t="shared" si="415"/>
        <v>6.2220610747006763E-3</v>
      </c>
    </row>
    <row r="2605" spans="1:11" outlineLevel="1" x14ac:dyDescent="0.2">
      <c r="A2605" s="11" t="s">
        <v>1177</v>
      </c>
      <c r="B2605" s="11" t="s">
        <v>1388</v>
      </c>
      <c r="C2605" s="11" t="s">
        <v>806</v>
      </c>
      <c r="D2605" s="12" t="s">
        <v>1819</v>
      </c>
      <c r="E2605" s="13">
        <v>1200</v>
      </c>
      <c r="F2605" s="14">
        <v>1000</v>
      </c>
      <c r="G2605" s="15">
        <f>SUM(G2606:G2606)</f>
        <v>1200000</v>
      </c>
      <c r="H2605" s="16">
        <f t="shared" si="415"/>
        <v>6.2220610747006763E-3</v>
      </c>
    </row>
    <row r="2606" spans="1:11" outlineLevel="1" x14ac:dyDescent="0.2">
      <c r="A2606" s="29"/>
      <c r="B2606" s="30" t="s">
        <v>1465</v>
      </c>
      <c r="C2606" s="30" t="s">
        <v>1632</v>
      </c>
      <c r="D2606" s="34" t="s">
        <v>1819</v>
      </c>
      <c r="E2606" s="31">
        <v>1200</v>
      </c>
      <c r="F2606" s="31">
        <v>1000</v>
      </c>
      <c r="G2606" s="32">
        <f>F2606*E2606</f>
        <v>1200000</v>
      </c>
      <c r="H2606" s="33">
        <f t="shared" si="415"/>
        <v>6.2220610747006763E-3</v>
      </c>
      <c r="K2606" t="str">
        <f xml:space="preserve"> B2605 &amp; B2606</f>
        <v>Z000239011Z040313025</v>
      </c>
    </row>
    <row r="2607" spans="1:11" ht="18.75" x14ac:dyDescent="0.2">
      <c r="A2607" s="5">
        <v>24</v>
      </c>
      <c r="B2607" s="5" t="s">
        <v>328</v>
      </c>
      <c r="C2607" s="5" t="s">
        <v>1135</v>
      </c>
      <c r="D2607" s="6"/>
      <c r="E2607" s="7"/>
      <c r="F2607" s="8"/>
      <c r="G2607" s="9">
        <f>SUM(G2608,G2645,G2652,G2656,G2867,G2744)</f>
        <v>8098951.8363277111</v>
      </c>
      <c r="H2607" s="10">
        <f t="shared" si="415"/>
        <v>4.1993477472241844E-2</v>
      </c>
    </row>
    <row r="2608" spans="1:11" ht="15" x14ac:dyDescent="0.2">
      <c r="A2608" s="17" t="s">
        <v>2088</v>
      </c>
      <c r="B2608" s="17" t="s">
        <v>328</v>
      </c>
      <c r="C2608" s="17" t="s">
        <v>1960</v>
      </c>
      <c r="D2608" s="18"/>
      <c r="E2608" s="19"/>
      <c r="F2608" s="20"/>
      <c r="G2608" s="21">
        <f>SUM(G2609,G2611,G2623,G2633)</f>
        <v>1894502.2761882399</v>
      </c>
      <c r="H2608" s="22">
        <f t="shared" si="415"/>
        <v>9.823090723835564E-3</v>
      </c>
    </row>
    <row r="2609" spans="1:11" outlineLevel="1" x14ac:dyDescent="0.2">
      <c r="A2609" s="11" t="s">
        <v>1184</v>
      </c>
      <c r="B2609" s="11" t="s">
        <v>1913</v>
      </c>
      <c r="C2609" s="11" t="s">
        <v>4504</v>
      </c>
      <c r="D2609" s="12" t="s">
        <v>1153</v>
      </c>
      <c r="E2609" s="13">
        <v>3490.32</v>
      </c>
      <c r="F2609" s="14">
        <v>2.81</v>
      </c>
      <c r="G2609" s="15">
        <f>SUM(G2610:G2610)</f>
        <v>9807.7992000000013</v>
      </c>
      <c r="H2609" s="16">
        <f t="shared" si="415"/>
        <v>5.0853938025667031E-5</v>
      </c>
    </row>
    <row r="2610" spans="1:11" outlineLevel="1" x14ac:dyDescent="0.2">
      <c r="A2610" s="29"/>
      <c r="B2610" s="30" t="s">
        <v>1268</v>
      </c>
      <c r="C2610" s="30" t="s">
        <v>4502</v>
      </c>
      <c r="D2610" s="34" t="s">
        <v>1052</v>
      </c>
      <c r="E2610" s="31">
        <v>3490.32</v>
      </c>
      <c r="F2610" s="31">
        <v>2.81</v>
      </c>
      <c r="G2610" s="32">
        <f t="shared" ref="G2610" si="420">F2610*E2610</f>
        <v>9807.7992000000013</v>
      </c>
      <c r="H2610" s="33">
        <f t="shared" si="415"/>
        <v>5.0853938025667031E-5</v>
      </c>
      <c r="K2610" t="str">
        <f xml:space="preserve"> B2609 &amp; B2610</f>
        <v>Z000244018Z040314012</v>
      </c>
    </row>
    <row r="2611" spans="1:11" outlineLevel="1" x14ac:dyDescent="0.2">
      <c r="A2611" s="11" t="s">
        <v>1188</v>
      </c>
      <c r="B2611" s="11" t="s">
        <v>1896</v>
      </c>
      <c r="C2611" s="11" t="s">
        <v>4489</v>
      </c>
      <c r="D2611" s="12" t="s">
        <v>153</v>
      </c>
      <c r="E2611" s="13">
        <v>451.32</v>
      </c>
      <c r="F2611" s="14">
        <v>123.46268000000002</v>
      </c>
      <c r="G2611" s="15">
        <f>SUM(G2612:G2622)</f>
        <v>55721.176737600006</v>
      </c>
      <c r="H2611" s="16">
        <f t="shared" si="415"/>
        <v>2.8891713734628151E-4</v>
      </c>
    </row>
    <row r="2612" spans="1:11" outlineLevel="1" x14ac:dyDescent="0.2">
      <c r="A2612" s="29"/>
      <c r="B2612" s="30" t="s">
        <v>305</v>
      </c>
      <c r="C2612" s="30" t="s">
        <v>1381</v>
      </c>
      <c r="D2612" s="34" t="s">
        <v>1052</v>
      </c>
      <c r="E2612" s="31">
        <v>0</v>
      </c>
      <c r="F2612" s="31">
        <v>71.92</v>
      </c>
      <c r="G2612" s="32">
        <f t="shared" ref="G2612:G2621" si="421">F2612*E2612</f>
        <v>0</v>
      </c>
      <c r="H2612" s="33">
        <f t="shared" si="415"/>
        <v>0</v>
      </c>
      <c r="K2612" t="str">
        <f xml:space="preserve"> B2611 &amp; B2612</f>
        <v>Z000244010Z050101018</v>
      </c>
    </row>
    <row r="2613" spans="1:11" outlineLevel="1" x14ac:dyDescent="0.2">
      <c r="A2613" s="29"/>
      <c r="B2613" s="30" t="s">
        <v>300</v>
      </c>
      <c r="C2613" s="30" t="s">
        <v>1398</v>
      </c>
      <c r="D2613" s="34" t="s">
        <v>1153</v>
      </c>
      <c r="E2613" s="31">
        <v>0</v>
      </c>
      <c r="F2613" s="31">
        <v>172.95</v>
      </c>
      <c r="G2613" s="32">
        <f t="shared" si="421"/>
        <v>0</v>
      </c>
      <c r="H2613" s="33">
        <f t="shared" si="415"/>
        <v>0</v>
      </c>
      <c r="K2613" t="str">
        <f xml:space="preserve"> B2611 &amp; B2613</f>
        <v>Z000244010Z050101017</v>
      </c>
    </row>
    <row r="2614" spans="1:11" outlineLevel="1" x14ac:dyDescent="0.2">
      <c r="A2614" s="29"/>
      <c r="B2614" s="30" t="s">
        <v>295</v>
      </c>
      <c r="C2614" s="30" t="s">
        <v>1928</v>
      </c>
      <c r="D2614" s="34" t="s">
        <v>1781</v>
      </c>
      <c r="E2614" s="31">
        <v>0</v>
      </c>
      <c r="F2614" s="31">
        <v>265.10000000000002</v>
      </c>
      <c r="G2614" s="32">
        <f t="shared" si="421"/>
        <v>0</v>
      </c>
      <c r="H2614" s="33">
        <f t="shared" si="415"/>
        <v>0</v>
      </c>
      <c r="K2614" t="str">
        <f xml:space="preserve"> B2611 &amp; B2614</f>
        <v>Z000244010Z050101015</v>
      </c>
    </row>
    <row r="2615" spans="1:11" outlineLevel="1" x14ac:dyDescent="0.2">
      <c r="A2615" s="29"/>
      <c r="B2615" s="30" t="s">
        <v>291</v>
      </c>
      <c r="C2615" s="30" t="s">
        <v>4494</v>
      </c>
      <c r="D2615" s="34" t="s">
        <v>151</v>
      </c>
      <c r="E2615" s="31">
        <v>0</v>
      </c>
      <c r="F2615" s="31">
        <v>233.33</v>
      </c>
      <c r="G2615" s="32">
        <f t="shared" si="421"/>
        <v>0</v>
      </c>
      <c r="H2615" s="33">
        <f t="shared" ref="H2615:H2647" si="422">G2615/$F$2</f>
        <v>0</v>
      </c>
      <c r="K2615" t="str">
        <f xml:space="preserve"> B2611 &amp; B2615</f>
        <v>Z000244010Z050101013</v>
      </c>
    </row>
    <row r="2616" spans="1:11" outlineLevel="1" x14ac:dyDescent="0.2">
      <c r="A2616" s="29"/>
      <c r="B2616" s="30" t="s">
        <v>233</v>
      </c>
      <c r="C2616" s="30" t="s">
        <v>420</v>
      </c>
      <c r="D2616" s="34" t="s">
        <v>151</v>
      </c>
      <c r="E2616" s="31">
        <v>0</v>
      </c>
      <c r="F2616" s="31">
        <v>327.60000000000002</v>
      </c>
      <c r="G2616" s="32">
        <f t="shared" si="421"/>
        <v>0</v>
      </c>
      <c r="H2616" s="33">
        <f t="shared" si="422"/>
        <v>0</v>
      </c>
      <c r="K2616" t="str">
        <f xml:space="preserve"> B2611 &amp; B2616</f>
        <v>Z000244010Z050101001</v>
      </c>
    </row>
    <row r="2617" spans="1:11" outlineLevel="1" x14ac:dyDescent="0.2">
      <c r="A2617" s="29"/>
      <c r="B2617" s="30" t="s">
        <v>235</v>
      </c>
      <c r="C2617" s="30" t="s">
        <v>413</v>
      </c>
      <c r="D2617" s="34" t="s">
        <v>151</v>
      </c>
      <c r="E2617" s="31">
        <v>0</v>
      </c>
      <c r="F2617" s="31">
        <v>72.41</v>
      </c>
      <c r="G2617" s="32">
        <f t="shared" si="421"/>
        <v>0</v>
      </c>
      <c r="H2617" s="33">
        <f t="shared" si="422"/>
        <v>0</v>
      </c>
      <c r="K2617" t="str">
        <f xml:space="preserve"> B2611 &amp; B2617</f>
        <v>Z000244010Z050101002</v>
      </c>
    </row>
    <row r="2618" spans="1:11" outlineLevel="1" x14ac:dyDescent="0.2">
      <c r="A2618" s="29"/>
      <c r="B2618" s="30" t="s">
        <v>616</v>
      </c>
      <c r="C2618" s="30" t="s">
        <v>859</v>
      </c>
      <c r="D2618" s="34" t="s">
        <v>1152</v>
      </c>
      <c r="E2618" s="31">
        <v>496.45200000000006</v>
      </c>
      <c r="F2618" s="31">
        <v>112.2388</v>
      </c>
      <c r="G2618" s="32">
        <f t="shared" si="421"/>
        <v>55721.176737600006</v>
      </c>
      <c r="H2618" s="33">
        <f t="shared" si="422"/>
        <v>2.8891713734628151E-4</v>
      </c>
      <c r="K2618" t="str">
        <f xml:space="preserve"> B2611 &amp; B2618</f>
        <v>Z000244010Z011202001</v>
      </c>
    </row>
    <row r="2619" spans="1:11" outlineLevel="1" x14ac:dyDescent="0.2">
      <c r="A2619" s="29"/>
      <c r="B2619" s="30" t="s">
        <v>299</v>
      </c>
      <c r="C2619" s="30" t="s">
        <v>1912</v>
      </c>
      <c r="D2619" s="34" t="s">
        <v>84</v>
      </c>
      <c r="E2619" s="31">
        <v>0</v>
      </c>
      <c r="F2619" s="31">
        <v>110.91</v>
      </c>
      <c r="G2619" s="32">
        <f t="shared" si="421"/>
        <v>0</v>
      </c>
      <c r="H2619" s="33">
        <f t="shared" si="422"/>
        <v>0</v>
      </c>
      <c r="K2619" t="str">
        <f xml:space="preserve"> B2611 &amp; B2619</f>
        <v>Z000244010Z050101016</v>
      </c>
    </row>
    <row r="2620" spans="1:11" outlineLevel="1" x14ac:dyDescent="0.2">
      <c r="A2620" s="29"/>
      <c r="B2620" s="30" t="s">
        <v>498</v>
      </c>
      <c r="C2620" s="30" t="s">
        <v>773</v>
      </c>
      <c r="D2620" s="34" t="s">
        <v>764</v>
      </c>
      <c r="E2620" s="31">
        <v>541.58399999999995</v>
      </c>
      <c r="F2620" s="31">
        <v>0</v>
      </c>
      <c r="G2620" s="32">
        <f t="shared" si="421"/>
        <v>0</v>
      </c>
      <c r="H2620" s="33">
        <f t="shared" si="422"/>
        <v>0</v>
      </c>
      <c r="K2620" t="str">
        <f xml:space="preserve"> B2611 &amp; B2620</f>
        <v>Z000244010Z040401001</v>
      </c>
    </row>
    <row r="2621" spans="1:11" outlineLevel="1" x14ac:dyDescent="0.2">
      <c r="A2621" s="29"/>
      <c r="B2621" s="30" t="s">
        <v>292</v>
      </c>
      <c r="C2621" s="30" t="s">
        <v>4496</v>
      </c>
      <c r="D2621" s="34" t="s">
        <v>742</v>
      </c>
      <c r="E2621" s="31">
        <v>0</v>
      </c>
      <c r="F2621" s="31">
        <v>98.71</v>
      </c>
      <c r="G2621" s="32">
        <f t="shared" si="421"/>
        <v>0</v>
      </c>
      <c r="H2621" s="33">
        <f t="shared" si="422"/>
        <v>0</v>
      </c>
      <c r="K2621" t="str">
        <f xml:space="preserve"> B2611 &amp; B2621</f>
        <v>Z000244010Z050101014</v>
      </c>
    </row>
    <row r="2622" spans="1:11" outlineLevel="1" x14ac:dyDescent="0.2">
      <c r="A2622" s="29"/>
      <c r="B2622" s="30" t="s">
        <v>801</v>
      </c>
      <c r="C2622" s="30" t="s">
        <v>402</v>
      </c>
      <c r="D2622" s="34" t="s">
        <v>742</v>
      </c>
      <c r="E2622" s="31">
        <v>0</v>
      </c>
      <c r="F2622" s="31">
        <v>10.3</v>
      </c>
      <c r="G2622" s="32">
        <f t="shared" ref="G2622" si="423">F2622*E2622</f>
        <v>0</v>
      </c>
      <c r="H2622" s="33">
        <f t="shared" ref="H2622" si="424">G2622/$F$2</f>
        <v>0</v>
      </c>
      <c r="K2622" t="str">
        <f xml:space="preserve"> B2611 &amp; B2622</f>
        <v>Z000244010Z040202006</v>
      </c>
    </row>
    <row r="2623" spans="1:11" outlineLevel="1" x14ac:dyDescent="0.2">
      <c r="A2623" s="11" t="s">
        <v>1204</v>
      </c>
      <c r="B2623" s="11" t="s">
        <v>1857</v>
      </c>
      <c r="C2623" s="11" t="s">
        <v>4478</v>
      </c>
      <c r="D2623" s="12" t="s">
        <v>1152</v>
      </c>
      <c r="E2623" s="13">
        <v>3490.32</v>
      </c>
      <c r="F2623" s="14">
        <v>154.35630699999999</v>
      </c>
      <c r="G2623" s="15">
        <f>SUM(G2624:G2632)</f>
        <v>538752.90544824</v>
      </c>
      <c r="H2623" s="16">
        <f t="shared" si="422"/>
        <v>2.7934612348928232E-3</v>
      </c>
    </row>
    <row r="2624" spans="1:11" outlineLevel="1" x14ac:dyDescent="0.2">
      <c r="A2624" s="29"/>
      <c r="B2624" s="30" t="s">
        <v>1376</v>
      </c>
      <c r="C2624" s="30" t="s">
        <v>1622</v>
      </c>
      <c r="D2624" s="34" t="s">
        <v>1153</v>
      </c>
      <c r="E2624" s="31">
        <v>198.25017600000001</v>
      </c>
      <c r="F2624" s="31">
        <v>134.02000000000001</v>
      </c>
      <c r="G2624" s="32">
        <f t="shared" ref="G2624:G2632" si="425">F2624*E2624</f>
        <v>26569.488587520005</v>
      </c>
      <c r="H2624" s="33">
        <f t="shared" si="422"/>
        <v>1.3776415059592672E-4</v>
      </c>
      <c r="K2624" t="str">
        <f xml:space="preserve"> B2623 &amp; B2624</f>
        <v>Z000244009Z010303002</v>
      </c>
    </row>
    <row r="2625" spans="1:11" outlineLevel="1" x14ac:dyDescent="0.2">
      <c r="A2625" s="29"/>
      <c r="B2625" s="30" t="s">
        <v>1260</v>
      </c>
      <c r="C2625" s="30" t="s">
        <v>1455</v>
      </c>
      <c r="D2625" s="34" t="s">
        <v>1153</v>
      </c>
      <c r="E2625" s="31">
        <v>20.592888000000002</v>
      </c>
      <c r="F2625" s="31">
        <v>131.69</v>
      </c>
      <c r="G2625" s="32">
        <f t="shared" si="425"/>
        <v>2711.8774207200004</v>
      </c>
      <c r="H2625" s="33">
        <f t="shared" si="422"/>
        <v>1.4061222449017986E-5</v>
      </c>
      <c r="K2625" t="str">
        <f xml:space="preserve"> B2623 &amp; B2625</f>
        <v>Z000244009Z010304002</v>
      </c>
    </row>
    <row r="2626" spans="1:11" outlineLevel="1" x14ac:dyDescent="0.2">
      <c r="A2626" s="29"/>
      <c r="B2626" s="30" t="s">
        <v>309</v>
      </c>
      <c r="C2626" s="30" t="s">
        <v>4482</v>
      </c>
      <c r="D2626" s="34" t="s">
        <v>1152</v>
      </c>
      <c r="E2626" s="31">
        <v>3721.7282160000004</v>
      </c>
      <c r="F2626" s="31">
        <v>90</v>
      </c>
      <c r="G2626" s="32">
        <f t="shared" si="425"/>
        <v>334955.53944000002</v>
      </c>
      <c r="H2626" s="33">
        <f t="shared" si="422"/>
        <v>1.7367615197541593E-3</v>
      </c>
      <c r="K2626" t="str">
        <f xml:space="preserve"> B2623 &amp; B2626</f>
        <v>Z000244009Z010705004</v>
      </c>
    </row>
    <row r="2627" spans="1:11" outlineLevel="1" x14ac:dyDescent="0.2">
      <c r="A2627" s="29"/>
      <c r="B2627" s="30" t="s">
        <v>940</v>
      </c>
      <c r="C2627" s="30" t="s">
        <v>1003</v>
      </c>
      <c r="D2627" s="34" t="s">
        <v>151</v>
      </c>
      <c r="E2627" s="31">
        <v>0</v>
      </c>
      <c r="F2627" s="31">
        <v>21.3</v>
      </c>
      <c r="G2627" s="32">
        <f t="shared" si="425"/>
        <v>0</v>
      </c>
      <c r="H2627" s="33">
        <f t="shared" si="422"/>
        <v>0</v>
      </c>
      <c r="K2627" t="str">
        <f xml:space="preserve"> B2623 &amp; B2627</f>
        <v>Z000244009Z040201004</v>
      </c>
    </row>
    <row r="2628" spans="1:11" outlineLevel="1" x14ac:dyDescent="0.2">
      <c r="A2628" s="29"/>
      <c r="B2628" s="30" t="s">
        <v>801</v>
      </c>
      <c r="C2628" s="30" t="s">
        <v>402</v>
      </c>
      <c r="D2628" s="34" t="s">
        <v>151</v>
      </c>
      <c r="E2628" s="31">
        <v>0</v>
      </c>
      <c r="F2628" s="31">
        <v>10.3</v>
      </c>
      <c r="G2628" s="32">
        <f t="shared" si="425"/>
        <v>0</v>
      </c>
      <c r="H2628" s="33">
        <f t="shared" si="422"/>
        <v>0</v>
      </c>
      <c r="K2628" t="str">
        <f xml:space="preserve"> B2623 &amp; B2628</f>
        <v>Z000244009Z040202006</v>
      </c>
    </row>
    <row r="2629" spans="1:11" outlineLevel="1" x14ac:dyDescent="0.2">
      <c r="A2629" s="29"/>
      <c r="B2629" s="30" t="s">
        <v>1269</v>
      </c>
      <c r="C2629" s="30" t="s">
        <v>4468</v>
      </c>
      <c r="D2629" s="34" t="s">
        <v>1152</v>
      </c>
      <c r="E2629" s="31">
        <v>3490.32</v>
      </c>
      <c r="F2629" s="31">
        <v>50</v>
      </c>
      <c r="G2629" s="32">
        <f t="shared" si="425"/>
        <v>174516</v>
      </c>
      <c r="H2629" s="33">
        <f t="shared" si="422"/>
        <v>9.048743420937193E-4</v>
      </c>
      <c r="K2629" t="str">
        <f xml:space="preserve"> B2623 &amp; B2629</f>
        <v>Z000244009Z040314013</v>
      </c>
    </row>
    <row r="2630" spans="1:11" outlineLevel="1" x14ac:dyDescent="0.2">
      <c r="A2630" s="29"/>
      <c r="B2630" s="30" t="s">
        <v>498</v>
      </c>
      <c r="C2630" s="30" t="s">
        <v>773</v>
      </c>
      <c r="D2630" s="34" t="s">
        <v>84</v>
      </c>
      <c r="E2630" s="31">
        <v>4188.384</v>
      </c>
      <c r="F2630" s="31">
        <v>0</v>
      </c>
      <c r="G2630" s="32">
        <f t="shared" si="425"/>
        <v>0</v>
      </c>
      <c r="H2630" s="33">
        <f t="shared" si="422"/>
        <v>0</v>
      </c>
      <c r="K2630" t="str">
        <f xml:space="preserve"> B2623 &amp; B2630</f>
        <v>Z000244009Z040401001</v>
      </c>
    </row>
    <row r="2631" spans="1:11" outlineLevel="1" x14ac:dyDescent="0.2">
      <c r="A2631" s="29"/>
      <c r="B2631" s="30" t="s">
        <v>57</v>
      </c>
      <c r="C2631" s="30" t="s">
        <v>4473</v>
      </c>
      <c r="D2631" s="34" t="s">
        <v>764</v>
      </c>
      <c r="E2631" s="31">
        <v>0</v>
      </c>
      <c r="F2631" s="31">
        <v>11.24</v>
      </c>
      <c r="G2631" s="32">
        <f t="shared" si="425"/>
        <v>0</v>
      </c>
      <c r="H2631" s="33">
        <f t="shared" si="422"/>
        <v>0</v>
      </c>
      <c r="K2631" t="str">
        <f xml:space="preserve"> B2623 &amp; B2631</f>
        <v>Z000244009Z050103015</v>
      </c>
    </row>
    <row r="2632" spans="1:11" outlineLevel="1" x14ac:dyDescent="0.2">
      <c r="A2632" s="29"/>
      <c r="B2632" s="30" t="s">
        <v>58</v>
      </c>
      <c r="C2632" s="30" t="s">
        <v>4475</v>
      </c>
      <c r="D2632" s="34" t="s">
        <v>742</v>
      </c>
      <c r="E2632" s="31">
        <v>0</v>
      </c>
      <c r="F2632" s="31">
        <v>1.31</v>
      </c>
      <c r="G2632" s="32">
        <f t="shared" si="425"/>
        <v>0</v>
      </c>
      <c r="H2632" s="33">
        <f t="shared" si="422"/>
        <v>0</v>
      </c>
      <c r="K2632" t="str">
        <f xml:space="preserve"> B2623 &amp; B2632</f>
        <v>Z000244009Z050103016</v>
      </c>
    </row>
    <row r="2633" spans="1:11" outlineLevel="1" x14ac:dyDescent="0.2">
      <c r="A2633" s="11" t="s">
        <v>1209</v>
      </c>
      <c r="B2633" s="11" t="s">
        <v>1839</v>
      </c>
      <c r="C2633" s="11" t="s">
        <v>4462</v>
      </c>
      <c r="D2633" s="12" t="s">
        <v>1152</v>
      </c>
      <c r="E2633" s="13">
        <v>9277.9599999999991</v>
      </c>
      <c r="F2633" s="14">
        <v>139.06294</v>
      </c>
      <c r="G2633" s="15">
        <f>SUM(G2634:G2644)</f>
        <v>1290220.3948023999</v>
      </c>
      <c r="H2633" s="16">
        <f t="shared" si="422"/>
        <v>6.689858413570793E-3</v>
      </c>
    </row>
    <row r="2634" spans="1:11" outlineLevel="1" x14ac:dyDescent="0.2">
      <c r="A2634" s="29"/>
      <c r="B2634" s="30" t="s">
        <v>1258</v>
      </c>
      <c r="C2634" s="30" t="s">
        <v>1526</v>
      </c>
      <c r="D2634" s="34" t="s">
        <v>1052</v>
      </c>
      <c r="E2634" s="31">
        <v>526.98812799999996</v>
      </c>
      <c r="F2634" s="31">
        <v>148</v>
      </c>
      <c r="G2634" s="32">
        <f t="shared" ref="G2634:G2644" si="426">F2634*E2634</f>
        <v>77994.242943999998</v>
      </c>
      <c r="H2634" s="33">
        <f t="shared" si="422"/>
        <v>4.044041192271752E-4</v>
      </c>
      <c r="K2634" t="str">
        <f xml:space="preserve"> B2633 &amp; B2634</f>
        <v>Z000244004Z010304001</v>
      </c>
    </row>
    <row r="2635" spans="1:11" outlineLevel="1" x14ac:dyDescent="0.2">
      <c r="A2635" s="29"/>
      <c r="B2635" s="30" t="s">
        <v>1374</v>
      </c>
      <c r="C2635" s="30" t="s">
        <v>1112</v>
      </c>
      <c r="D2635" s="34" t="s">
        <v>1052</v>
      </c>
      <c r="E2635" s="31">
        <v>90.924007999999986</v>
      </c>
      <c r="F2635" s="31">
        <v>95</v>
      </c>
      <c r="G2635" s="32">
        <f t="shared" si="426"/>
        <v>8637.7807599999978</v>
      </c>
      <c r="H2635" s="33">
        <f t="shared" si="422"/>
        <v>4.4787332865495343E-5</v>
      </c>
      <c r="K2635" t="str">
        <f xml:space="preserve"> B2633 &amp; B2635</f>
        <v>Z000244004Z010303001</v>
      </c>
    </row>
    <row r="2636" spans="1:11" outlineLevel="1" x14ac:dyDescent="0.2">
      <c r="A2636" s="29"/>
      <c r="B2636" s="30" t="s">
        <v>46</v>
      </c>
      <c r="C2636" s="30" t="s">
        <v>114</v>
      </c>
      <c r="D2636" s="34" t="s">
        <v>1152</v>
      </c>
      <c r="E2636" s="31">
        <v>0</v>
      </c>
      <c r="F2636" s="31">
        <v>1</v>
      </c>
      <c r="G2636" s="32">
        <f t="shared" si="426"/>
        <v>0</v>
      </c>
      <c r="H2636" s="33">
        <f t="shared" si="422"/>
        <v>0</v>
      </c>
      <c r="K2636" t="str">
        <f xml:space="preserve"> B2633 &amp; B2636</f>
        <v>Z000244004Z050103011</v>
      </c>
    </row>
    <row r="2637" spans="1:11" outlineLevel="1" x14ac:dyDescent="0.2">
      <c r="A2637" s="29"/>
      <c r="B2637" s="30" t="s">
        <v>801</v>
      </c>
      <c r="C2637" s="30" t="s">
        <v>402</v>
      </c>
      <c r="D2637" s="34" t="s">
        <v>1152</v>
      </c>
      <c r="E2637" s="31">
        <v>0</v>
      </c>
      <c r="F2637" s="31">
        <v>10.3</v>
      </c>
      <c r="G2637" s="32">
        <f t="shared" si="426"/>
        <v>0</v>
      </c>
      <c r="H2637" s="33">
        <f t="shared" si="422"/>
        <v>0</v>
      </c>
      <c r="K2637" t="str">
        <f xml:space="preserve"> B2633 &amp; B2637</f>
        <v>Z000244004Z040202006</v>
      </c>
    </row>
    <row r="2638" spans="1:11" outlineLevel="1" x14ac:dyDescent="0.2">
      <c r="A2638" s="29"/>
      <c r="B2638" s="30" t="s">
        <v>498</v>
      </c>
      <c r="C2638" s="30" t="s">
        <v>773</v>
      </c>
      <c r="D2638" s="34" t="s">
        <v>153</v>
      </c>
      <c r="E2638" s="31">
        <v>11133.551999999998</v>
      </c>
      <c r="F2638" s="31">
        <v>0</v>
      </c>
      <c r="G2638" s="32">
        <f t="shared" si="426"/>
        <v>0</v>
      </c>
      <c r="H2638" s="33">
        <f t="shared" si="422"/>
        <v>0</v>
      </c>
      <c r="K2638" t="str">
        <f xml:space="preserve"> B2633 &amp; B2638</f>
        <v>Z000244004Z040401001</v>
      </c>
    </row>
    <row r="2639" spans="1:11" outlineLevel="1" x14ac:dyDescent="0.2">
      <c r="A2639" s="29"/>
      <c r="B2639" s="30" t="s">
        <v>1009</v>
      </c>
      <c r="C2639" s="30" t="s">
        <v>672</v>
      </c>
      <c r="D2639" s="34" t="s">
        <v>1052</v>
      </c>
      <c r="E2639" s="31">
        <v>0</v>
      </c>
      <c r="F2639" s="31">
        <v>16.489999999999998</v>
      </c>
      <c r="G2639" s="32">
        <f t="shared" si="426"/>
        <v>0</v>
      </c>
      <c r="H2639" s="33">
        <f t="shared" si="422"/>
        <v>0</v>
      </c>
      <c r="K2639" t="str">
        <f xml:space="preserve"> B2633 &amp; B2639</f>
        <v>Z000244004Z040201013</v>
      </c>
    </row>
    <row r="2640" spans="1:11" outlineLevel="1" x14ac:dyDescent="0.2">
      <c r="A2640" s="29"/>
      <c r="B2640" s="30" t="s">
        <v>298</v>
      </c>
      <c r="C2640" s="30" t="s">
        <v>4464</v>
      </c>
      <c r="D2640" s="34" t="s">
        <v>1052</v>
      </c>
      <c r="E2640" s="31">
        <v>9315.9996359999986</v>
      </c>
      <c r="F2640" s="31">
        <v>79.400000000000006</v>
      </c>
      <c r="G2640" s="32">
        <f t="shared" si="426"/>
        <v>739690.37109839998</v>
      </c>
      <c r="H2640" s="33">
        <f t="shared" si="422"/>
        <v>3.8353322211185439E-3</v>
      </c>
      <c r="K2640" t="str">
        <f xml:space="preserve"> B2633 &amp; B2640</f>
        <v>Z000244004Z010705001</v>
      </c>
    </row>
    <row r="2641" spans="1:11" outlineLevel="1" x14ac:dyDescent="0.2">
      <c r="A2641" s="29"/>
      <c r="B2641" s="30" t="s">
        <v>1269</v>
      </c>
      <c r="C2641" s="30" t="s">
        <v>4468</v>
      </c>
      <c r="D2641" s="34" t="s">
        <v>1153</v>
      </c>
      <c r="E2641" s="31">
        <v>9277.9599999999991</v>
      </c>
      <c r="F2641" s="31">
        <v>50</v>
      </c>
      <c r="G2641" s="32">
        <f t="shared" si="426"/>
        <v>463897.99999999994</v>
      </c>
      <c r="H2641" s="33">
        <f t="shared" si="422"/>
        <v>2.4053347403595782E-3</v>
      </c>
      <c r="K2641" t="str">
        <f xml:space="preserve"> B2633 &amp; B2641</f>
        <v>Z000244004Z040314013</v>
      </c>
    </row>
    <row r="2642" spans="1:11" outlineLevel="1" x14ac:dyDescent="0.2">
      <c r="A2642" s="29"/>
      <c r="B2642" s="30" t="s">
        <v>57</v>
      </c>
      <c r="C2642" s="30" t="s">
        <v>4473</v>
      </c>
      <c r="D2642" s="34" t="s">
        <v>152</v>
      </c>
      <c r="E2642" s="31">
        <v>0</v>
      </c>
      <c r="F2642" s="31">
        <v>11.24</v>
      </c>
      <c r="G2642" s="32">
        <f t="shared" si="426"/>
        <v>0</v>
      </c>
      <c r="H2642" s="33">
        <f t="shared" si="422"/>
        <v>0</v>
      </c>
      <c r="K2642" t="str">
        <f xml:space="preserve"> B2633 &amp; B2642</f>
        <v>Z000244004Z050103015</v>
      </c>
    </row>
    <row r="2643" spans="1:11" outlineLevel="1" x14ac:dyDescent="0.2">
      <c r="A2643" s="29"/>
      <c r="B2643" s="30" t="s">
        <v>58</v>
      </c>
      <c r="C2643" s="30" t="s">
        <v>4475</v>
      </c>
      <c r="D2643" s="34" t="s">
        <v>1052</v>
      </c>
      <c r="E2643" s="31">
        <v>0</v>
      </c>
      <c r="F2643" s="31">
        <v>1.31</v>
      </c>
      <c r="G2643" s="32">
        <f t="shared" si="426"/>
        <v>0</v>
      </c>
      <c r="H2643" s="33">
        <f t="shared" si="422"/>
        <v>0</v>
      </c>
      <c r="K2643" t="str">
        <f xml:space="preserve"> B2633 &amp; B2643</f>
        <v>Z000244004Z050103016</v>
      </c>
    </row>
    <row r="2644" spans="1:11" outlineLevel="1" x14ac:dyDescent="0.2">
      <c r="A2644" s="29"/>
      <c r="B2644" s="30" t="s">
        <v>48</v>
      </c>
      <c r="C2644" s="30" t="s">
        <v>96</v>
      </c>
      <c r="D2644" s="34" t="s">
        <v>153</v>
      </c>
      <c r="E2644" s="31">
        <v>0</v>
      </c>
      <c r="F2644" s="31">
        <v>1</v>
      </c>
      <c r="G2644" s="32">
        <f t="shared" si="426"/>
        <v>0</v>
      </c>
      <c r="H2644" s="33">
        <f t="shared" si="422"/>
        <v>0</v>
      </c>
      <c r="K2644" t="str">
        <f xml:space="preserve"> B2633 &amp; B2644</f>
        <v>Z000244004Z050103012</v>
      </c>
    </row>
    <row r="2645" spans="1:11" ht="15" x14ac:dyDescent="0.2">
      <c r="A2645" s="17" t="s">
        <v>2089</v>
      </c>
      <c r="B2645" s="17" t="s">
        <v>328</v>
      </c>
      <c r="C2645" s="17" t="s">
        <v>347</v>
      </c>
      <c r="D2645" s="18"/>
      <c r="E2645" s="19"/>
      <c r="F2645" s="20"/>
      <c r="G2645" s="21">
        <f>SUM(G2646,G2649)</f>
        <v>3531447.4820969999</v>
      </c>
      <c r="H2645" s="22">
        <f t="shared" si="422"/>
        <v>1.8310734929754546E-2</v>
      </c>
    </row>
    <row r="2646" spans="1:11" outlineLevel="1" x14ac:dyDescent="0.2">
      <c r="A2646" s="11" t="s">
        <v>1063</v>
      </c>
      <c r="B2646" s="11" t="s">
        <v>94</v>
      </c>
      <c r="C2646" s="11" t="s">
        <v>624</v>
      </c>
      <c r="D2646" s="12" t="s">
        <v>1152</v>
      </c>
      <c r="E2646" s="13">
        <v>21263.23</v>
      </c>
      <c r="F2646" s="14">
        <v>97.853899999999996</v>
      </c>
      <c r="G2646" s="15">
        <f>SUM(G2647:G2648)</f>
        <v>2080689.9820969999</v>
      </c>
      <c r="H2646" s="16">
        <f t="shared" si="422"/>
        <v>1.0788483455104492E-2</v>
      </c>
    </row>
    <row r="2647" spans="1:11" outlineLevel="1" x14ac:dyDescent="0.2">
      <c r="A2647" s="29"/>
      <c r="B2647" s="30" t="s">
        <v>1619</v>
      </c>
      <c r="C2647" s="30" t="s">
        <v>1921</v>
      </c>
      <c r="D2647" s="34" t="s">
        <v>1819</v>
      </c>
      <c r="E2647" s="31">
        <v>21263.23</v>
      </c>
      <c r="F2647" s="31">
        <v>88.0685</v>
      </c>
      <c r="G2647" s="32">
        <f t="shared" ref="G2647:G2648" si="427">F2647*E2647</f>
        <v>1872620.771255</v>
      </c>
      <c r="H2647" s="33">
        <f t="shared" si="422"/>
        <v>9.709634007084746E-3</v>
      </c>
      <c r="K2647" t="str">
        <f xml:space="preserve"> B2646 &amp; B2647</f>
        <v>Z000242002Z020801001</v>
      </c>
    </row>
    <row r="2648" spans="1:11" outlineLevel="1" x14ac:dyDescent="0.2">
      <c r="A2648" s="29"/>
      <c r="B2648" s="30" t="s">
        <v>1208</v>
      </c>
      <c r="C2648" s="30" t="s">
        <v>1488</v>
      </c>
      <c r="D2648" s="34" t="s">
        <v>1819</v>
      </c>
      <c r="E2648" s="31">
        <v>21263.23</v>
      </c>
      <c r="F2648" s="31">
        <v>9.7853999999999992</v>
      </c>
      <c r="G2648" s="32">
        <f t="shared" si="427"/>
        <v>208069.21084199997</v>
      </c>
      <c r="H2648" s="33">
        <f t="shared" ref="H2648:H2753" si="428">G2648/$F$2</f>
        <v>1.0788494480197465E-3</v>
      </c>
      <c r="K2648" t="str">
        <f xml:space="preserve"> B2646 &amp; B2648</f>
        <v>Z000242002Z040314003</v>
      </c>
    </row>
    <row r="2649" spans="1:11" outlineLevel="1" x14ac:dyDescent="0.2">
      <c r="A2649" s="11" t="s">
        <v>4943</v>
      </c>
      <c r="B2649" s="11" t="s">
        <v>1498</v>
      </c>
      <c r="C2649" s="11" t="s">
        <v>2979</v>
      </c>
      <c r="D2649" s="12" t="s">
        <v>1152</v>
      </c>
      <c r="E2649" s="13">
        <v>5803.03</v>
      </c>
      <c r="F2649" s="14">
        <v>250</v>
      </c>
      <c r="G2649" s="15">
        <f>SUM(G2650:G2651)</f>
        <v>1450757.5</v>
      </c>
      <c r="H2649" s="16">
        <f t="shared" si="428"/>
        <v>7.5222514746500551E-3</v>
      </c>
    </row>
    <row r="2650" spans="1:11" outlineLevel="1" x14ac:dyDescent="0.2">
      <c r="A2650" s="29"/>
      <c r="B2650" s="30" t="s">
        <v>1625</v>
      </c>
      <c r="C2650" s="30" t="s">
        <v>2977</v>
      </c>
      <c r="D2650" s="34" t="s">
        <v>1819</v>
      </c>
      <c r="E2650" s="31">
        <v>5803.03</v>
      </c>
      <c r="F2650" s="31">
        <v>180</v>
      </c>
      <c r="G2650" s="32">
        <f t="shared" ref="G2650:G2651" si="429">F2650*E2650</f>
        <v>1044545.3999999999</v>
      </c>
      <c r="H2650" s="33">
        <f t="shared" si="428"/>
        <v>5.416021061748039E-3</v>
      </c>
      <c r="K2650" t="str">
        <f xml:space="preserve"> B2649 &amp; B2650</f>
        <v>Z000114003Z020801003</v>
      </c>
    </row>
    <row r="2651" spans="1:11" outlineLevel="1" x14ac:dyDescent="0.2">
      <c r="A2651" s="29"/>
      <c r="B2651" s="30" t="s">
        <v>1111</v>
      </c>
      <c r="C2651" s="30" t="s">
        <v>2980</v>
      </c>
      <c r="D2651" s="34" t="s">
        <v>1819</v>
      </c>
      <c r="E2651" s="31">
        <v>5803.03</v>
      </c>
      <c r="F2651" s="31">
        <v>70</v>
      </c>
      <c r="G2651" s="32">
        <f t="shared" si="429"/>
        <v>406212.1</v>
      </c>
      <c r="H2651" s="33">
        <f t="shared" ref="H2651" si="430">G2651/$F$2</f>
        <v>2.1062304129020153E-3</v>
      </c>
      <c r="K2651" t="str">
        <f xml:space="preserve"> B2649 &amp; B2651</f>
        <v>Z000114003Z040306002</v>
      </c>
    </row>
    <row r="2652" spans="1:11" ht="15" x14ac:dyDescent="0.2">
      <c r="A2652" s="17" t="s">
        <v>2090</v>
      </c>
      <c r="B2652" s="17" t="s">
        <v>328</v>
      </c>
      <c r="C2652" s="17" t="s">
        <v>434</v>
      </c>
      <c r="D2652" s="18"/>
      <c r="E2652" s="19"/>
      <c r="F2652" s="20"/>
      <c r="G2652" s="21">
        <f>SUM(G2653)</f>
        <v>463325.78169999999</v>
      </c>
      <c r="H2652" s="22">
        <f t="shared" si="428"/>
        <v>2.4023677593506942E-3</v>
      </c>
    </row>
    <row r="2653" spans="1:11" outlineLevel="1" x14ac:dyDescent="0.2">
      <c r="A2653" s="11" t="s">
        <v>921</v>
      </c>
      <c r="B2653" s="11" t="s">
        <v>1953</v>
      </c>
      <c r="C2653" s="11" t="s">
        <v>1306</v>
      </c>
      <c r="D2653" s="12" t="s">
        <v>1152</v>
      </c>
      <c r="E2653" s="13">
        <v>21263.23</v>
      </c>
      <c r="F2653" s="14">
        <v>21.79</v>
      </c>
      <c r="G2653" s="15">
        <f>SUM(G2654:G2655)</f>
        <v>463325.78169999999</v>
      </c>
      <c r="H2653" s="16">
        <f t="shared" si="428"/>
        <v>2.4023677593506942E-3</v>
      </c>
    </row>
    <row r="2654" spans="1:11" outlineLevel="1" x14ac:dyDescent="0.2">
      <c r="A2654" s="29"/>
      <c r="B2654" s="30" t="s">
        <v>1196</v>
      </c>
      <c r="C2654" s="30" t="s">
        <v>1306</v>
      </c>
      <c r="D2654" s="34" t="s">
        <v>1819</v>
      </c>
      <c r="E2654" s="31">
        <v>21263.23</v>
      </c>
      <c r="F2654" s="31">
        <v>19.611000000000001</v>
      </c>
      <c r="G2654" s="32">
        <f t="shared" ref="G2654:G2655" si="431">F2654*E2654</f>
        <v>416993.20353</v>
      </c>
      <c r="H2654" s="33">
        <f t="shared" si="428"/>
        <v>2.1621309834156245E-3</v>
      </c>
      <c r="K2654" t="str">
        <f xml:space="preserve"> B2653 &amp; B2654</f>
        <v>Z000243001Z040314001</v>
      </c>
    </row>
    <row r="2655" spans="1:11" outlineLevel="1" x14ac:dyDescent="0.2">
      <c r="A2655" s="29"/>
      <c r="B2655" s="30" t="s">
        <v>1203</v>
      </c>
      <c r="C2655" s="30" t="s">
        <v>1247</v>
      </c>
      <c r="D2655" s="34" t="s">
        <v>1819</v>
      </c>
      <c r="E2655" s="31">
        <v>21263.23</v>
      </c>
      <c r="F2655" s="31">
        <v>2.1789999999999998</v>
      </c>
      <c r="G2655" s="32">
        <f t="shared" si="431"/>
        <v>46332.578169999993</v>
      </c>
      <c r="H2655" s="33">
        <f t="shared" si="428"/>
        <v>2.4023677593506938E-4</v>
      </c>
      <c r="K2655" t="str">
        <f xml:space="preserve"> B2653 &amp; B2655</f>
        <v>Z000243001Z040314002</v>
      </c>
    </row>
    <row r="2656" spans="1:11" ht="15" x14ac:dyDescent="0.2">
      <c r="A2656" s="17" t="s">
        <v>2091</v>
      </c>
      <c r="B2656" s="17" t="s">
        <v>328</v>
      </c>
      <c r="C2656" s="17" t="s">
        <v>1085</v>
      </c>
      <c r="D2656" s="18"/>
      <c r="E2656" s="19"/>
      <c r="F2656" s="20"/>
      <c r="G2656" s="21">
        <f>SUM(G2657,G2664,G2671,G2673,G2685,G2697,G2705,G2715,G2727,G2738)</f>
        <v>256398.67888706728</v>
      </c>
      <c r="H2656" s="22">
        <f t="shared" si="428"/>
        <v>1.3294401995899161E-3</v>
      </c>
    </row>
    <row r="2657" spans="1:11" outlineLevel="1" x14ac:dyDescent="0.2">
      <c r="A2657" s="11" t="s">
        <v>778</v>
      </c>
      <c r="B2657" s="11" t="s">
        <v>1708</v>
      </c>
      <c r="C2657" s="11" t="s">
        <v>4506</v>
      </c>
      <c r="D2657" s="12" t="s">
        <v>153</v>
      </c>
      <c r="E2657" s="13">
        <v>1639</v>
      </c>
      <c r="F2657" s="14">
        <v>22.980716899999997</v>
      </c>
      <c r="G2657" s="15">
        <f>SUM(G2658:G2663)</f>
        <v>37665.394999099997</v>
      </c>
      <c r="H2657" s="16">
        <f t="shared" si="428"/>
        <v>1.9529699007260468E-4</v>
      </c>
    </row>
    <row r="2658" spans="1:11" outlineLevel="1" x14ac:dyDescent="0.2">
      <c r="A2658" s="29"/>
      <c r="B2658" s="30" t="s">
        <v>844</v>
      </c>
      <c r="C2658" s="30" t="s">
        <v>4451</v>
      </c>
      <c r="D2658" s="34" t="s">
        <v>152</v>
      </c>
      <c r="E2658" s="31">
        <v>70.47699999999999</v>
      </c>
      <c r="F2658" s="31">
        <v>15.3283</v>
      </c>
      <c r="G2658" s="32">
        <f t="shared" ref="G2658:G2663" si="432">F2658*E2658</f>
        <v>1080.2925991</v>
      </c>
      <c r="H2658" s="33">
        <f t="shared" si="428"/>
        <v>5.6013721084561106E-6</v>
      </c>
      <c r="K2658" t="str">
        <f xml:space="preserve"> B2657 &amp; B2658</f>
        <v>Z000245003Z020504004</v>
      </c>
    </row>
    <row r="2659" spans="1:11" outlineLevel="1" x14ac:dyDescent="0.2">
      <c r="A2659" s="29"/>
      <c r="B2659" s="30" t="s">
        <v>1650</v>
      </c>
      <c r="C2659" s="30" t="s">
        <v>386</v>
      </c>
      <c r="D2659" s="34" t="s">
        <v>1781</v>
      </c>
      <c r="E2659" s="31">
        <v>65.56</v>
      </c>
      <c r="F2659" s="31">
        <v>8.0399999999999991</v>
      </c>
      <c r="G2659" s="32">
        <f t="shared" si="432"/>
        <v>527.10239999999999</v>
      </c>
      <c r="H2659" s="33">
        <f t="shared" si="428"/>
        <v>2.7330527711844215E-6</v>
      </c>
      <c r="K2659" t="str">
        <f xml:space="preserve"> B2657 &amp; B2659</f>
        <v>Z000245003Z030105003</v>
      </c>
    </row>
    <row r="2660" spans="1:11" outlineLevel="1" x14ac:dyDescent="0.2">
      <c r="A2660" s="29"/>
      <c r="B2660" s="30" t="s">
        <v>1010</v>
      </c>
      <c r="C2660" s="30" t="s">
        <v>1140</v>
      </c>
      <c r="D2660" s="34" t="s">
        <v>151</v>
      </c>
      <c r="E2660" s="31">
        <v>0</v>
      </c>
      <c r="F2660" s="31">
        <v>35</v>
      </c>
      <c r="G2660" s="32">
        <f t="shared" si="432"/>
        <v>0</v>
      </c>
      <c r="H2660" s="33">
        <f t="shared" si="428"/>
        <v>0</v>
      </c>
      <c r="K2660" t="str">
        <f xml:space="preserve"> B2657 &amp; B2660</f>
        <v>Z000245003Z040201014</v>
      </c>
    </row>
    <row r="2661" spans="1:11" outlineLevel="1" x14ac:dyDescent="0.2">
      <c r="A2661" s="29"/>
      <c r="B2661" s="30" t="s">
        <v>801</v>
      </c>
      <c r="C2661" s="30" t="s">
        <v>402</v>
      </c>
      <c r="D2661" s="34" t="s">
        <v>151</v>
      </c>
      <c r="E2661" s="31">
        <v>0</v>
      </c>
      <c r="F2661" s="31">
        <v>10.3</v>
      </c>
      <c r="G2661" s="32">
        <f t="shared" si="432"/>
        <v>0</v>
      </c>
      <c r="H2661" s="33">
        <f t="shared" si="428"/>
        <v>0</v>
      </c>
      <c r="K2661" t="str">
        <f xml:space="preserve"> B2657 &amp; B2661</f>
        <v>Z000245003Z040202006</v>
      </c>
    </row>
    <row r="2662" spans="1:11" outlineLevel="1" x14ac:dyDescent="0.2">
      <c r="A2662" s="29"/>
      <c r="B2662" s="30" t="s">
        <v>737</v>
      </c>
      <c r="C2662" s="30" t="s">
        <v>4510</v>
      </c>
      <c r="D2662" s="34" t="s">
        <v>153</v>
      </c>
      <c r="E2662" s="31">
        <v>1639</v>
      </c>
      <c r="F2662" s="31">
        <v>22</v>
      </c>
      <c r="G2662" s="32">
        <f t="shared" si="432"/>
        <v>36058</v>
      </c>
      <c r="H2662" s="33">
        <f t="shared" si="428"/>
        <v>1.8696256519296414E-4</v>
      </c>
      <c r="K2662" t="str">
        <f xml:space="preserve"> B2657 &amp; B2662</f>
        <v>Z000245003Z040309010</v>
      </c>
    </row>
    <row r="2663" spans="1:11" outlineLevel="1" x14ac:dyDescent="0.2">
      <c r="A2663" s="29"/>
      <c r="B2663" s="30" t="s">
        <v>498</v>
      </c>
      <c r="C2663" s="30" t="s">
        <v>773</v>
      </c>
      <c r="D2663" s="34" t="s">
        <v>84</v>
      </c>
      <c r="E2663" s="31">
        <v>1966.8</v>
      </c>
      <c r="F2663" s="31">
        <v>0</v>
      </c>
      <c r="G2663" s="32">
        <f t="shared" si="432"/>
        <v>0</v>
      </c>
      <c r="H2663" s="33">
        <f t="shared" si="428"/>
        <v>0</v>
      </c>
      <c r="K2663" t="str">
        <f xml:space="preserve"> B2657 &amp; B2663</f>
        <v>Z000245003Z040401001</v>
      </c>
    </row>
    <row r="2664" spans="1:11" outlineLevel="1" x14ac:dyDescent="0.2">
      <c r="A2664" s="11" t="s">
        <v>781</v>
      </c>
      <c r="B2664" s="11" t="s">
        <v>1712</v>
      </c>
      <c r="C2664" s="11" t="s">
        <v>4514</v>
      </c>
      <c r="D2664" s="12" t="s">
        <v>1152</v>
      </c>
      <c r="E2664" s="13">
        <v>233.1</v>
      </c>
      <c r="F2664" s="14">
        <v>120.4227841</v>
      </c>
      <c r="G2664" s="15">
        <f>SUM(G2665:G2670)</f>
        <v>28070.55097371</v>
      </c>
      <c r="H2664" s="16">
        <f t="shared" si="428"/>
        <v>1.4554723546576846E-4</v>
      </c>
    </row>
    <row r="2665" spans="1:11" outlineLevel="1" x14ac:dyDescent="0.2">
      <c r="A2665" s="29"/>
      <c r="B2665" s="30" t="s">
        <v>844</v>
      </c>
      <c r="C2665" s="30" t="s">
        <v>4451</v>
      </c>
      <c r="D2665" s="34" t="s">
        <v>152</v>
      </c>
      <c r="E2665" s="31">
        <v>99.533699999999996</v>
      </c>
      <c r="F2665" s="31">
        <v>15.3283</v>
      </c>
      <c r="G2665" s="32">
        <f t="shared" ref="G2665:G2670" si="433">F2665*E2665</f>
        <v>1525.68241371</v>
      </c>
      <c r="H2665" s="33">
        <f t="shared" si="428"/>
        <v>7.910740965583636E-6</v>
      </c>
      <c r="K2665" t="str">
        <f xml:space="preserve"> B2664 &amp; B2665</f>
        <v>Z000245004Z020504004</v>
      </c>
    </row>
    <row r="2666" spans="1:11" outlineLevel="1" x14ac:dyDescent="0.2">
      <c r="A2666" s="29"/>
      <c r="B2666" s="30" t="s">
        <v>1650</v>
      </c>
      <c r="C2666" s="30" t="s">
        <v>386</v>
      </c>
      <c r="D2666" s="34" t="s">
        <v>1781</v>
      </c>
      <c r="E2666" s="31">
        <v>53.613</v>
      </c>
      <c r="F2666" s="31">
        <v>8.0399999999999991</v>
      </c>
      <c r="G2666" s="32">
        <f t="shared" si="433"/>
        <v>431.04851999999994</v>
      </c>
      <c r="H2666" s="33">
        <f t="shared" si="428"/>
        <v>2.235008514666113E-6</v>
      </c>
      <c r="K2666" t="str">
        <f xml:space="preserve"> B2664 &amp; B2666</f>
        <v>Z000245004Z030105003</v>
      </c>
    </row>
    <row r="2667" spans="1:11" outlineLevel="1" x14ac:dyDescent="0.2">
      <c r="A2667" s="29"/>
      <c r="B2667" s="30" t="s">
        <v>1010</v>
      </c>
      <c r="C2667" s="30" t="s">
        <v>1140</v>
      </c>
      <c r="D2667" s="34" t="s">
        <v>151</v>
      </c>
      <c r="E2667" s="31">
        <v>0</v>
      </c>
      <c r="F2667" s="31">
        <v>35</v>
      </c>
      <c r="G2667" s="32">
        <f t="shared" si="433"/>
        <v>0</v>
      </c>
      <c r="H2667" s="33">
        <f t="shared" si="428"/>
        <v>0</v>
      </c>
      <c r="K2667" t="str">
        <f xml:space="preserve"> B2664 &amp; B2667</f>
        <v>Z000245004Z040201014</v>
      </c>
    </row>
    <row r="2668" spans="1:11" outlineLevel="1" x14ac:dyDescent="0.2">
      <c r="A2668" s="29"/>
      <c r="B2668" s="30" t="s">
        <v>801</v>
      </c>
      <c r="C2668" s="30" t="s">
        <v>402</v>
      </c>
      <c r="D2668" s="34" t="s">
        <v>151</v>
      </c>
      <c r="E2668" s="31">
        <v>0</v>
      </c>
      <c r="F2668" s="31">
        <v>10.3</v>
      </c>
      <c r="G2668" s="32">
        <f t="shared" si="433"/>
        <v>0</v>
      </c>
      <c r="H2668" s="33">
        <f t="shared" si="428"/>
        <v>0</v>
      </c>
      <c r="K2668" t="str">
        <f xml:space="preserve"> B2664 &amp; B2668</f>
        <v>Z000245004Z040202006</v>
      </c>
    </row>
    <row r="2669" spans="1:11" outlineLevel="1" x14ac:dyDescent="0.2">
      <c r="A2669" s="29"/>
      <c r="B2669" s="30" t="s">
        <v>739</v>
      </c>
      <c r="C2669" s="30" t="s">
        <v>4518</v>
      </c>
      <c r="D2669" s="34" t="s">
        <v>1152</v>
      </c>
      <c r="E2669" s="31">
        <v>233.1</v>
      </c>
      <c r="F2669" s="31">
        <v>112.0284</v>
      </c>
      <c r="G2669" s="32">
        <f t="shared" si="433"/>
        <v>26113.820039999999</v>
      </c>
      <c r="H2669" s="33">
        <f t="shared" si="428"/>
        <v>1.354014859855187E-4</v>
      </c>
      <c r="K2669" t="str">
        <f xml:space="preserve"> B2664 &amp; B2669</f>
        <v>Z000245004Z040309011</v>
      </c>
    </row>
    <row r="2670" spans="1:11" outlineLevel="1" x14ac:dyDescent="0.2">
      <c r="A2670" s="29"/>
      <c r="B2670" s="30" t="s">
        <v>498</v>
      </c>
      <c r="C2670" s="30" t="s">
        <v>773</v>
      </c>
      <c r="D2670" s="34" t="s">
        <v>84</v>
      </c>
      <c r="E2670" s="31">
        <v>279.71999999999997</v>
      </c>
      <c r="F2670" s="31">
        <v>0</v>
      </c>
      <c r="G2670" s="32">
        <f t="shared" si="433"/>
        <v>0</v>
      </c>
      <c r="H2670" s="33">
        <f t="shared" si="428"/>
        <v>0</v>
      </c>
      <c r="K2670" t="str">
        <f xml:space="preserve"> B2664 &amp; B2670</f>
        <v>Z000245004Z040401001</v>
      </c>
    </row>
    <row r="2671" spans="1:11" outlineLevel="1" x14ac:dyDescent="0.2">
      <c r="A2671" s="11" t="s">
        <v>785</v>
      </c>
      <c r="B2671" s="11" t="s">
        <v>1913</v>
      </c>
      <c r="C2671" s="11" t="s">
        <v>4504</v>
      </c>
      <c r="D2671" s="12" t="s">
        <v>1152</v>
      </c>
      <c r="E2671" s="13">
        <v>994.26</v>
      </c>
      <c r="F2671" s="14">
        <v>2.81</v>
      </c>
      <c r="G2671" s="15">
        <f>SUM(G2672:G2672)</f>
        <v>2793.8706000000002</v>
      </c>
      <c r="H2671" s="16">
        <f t="shared" si="428"/>
        <v>1.4486361256675521E-5</v>
      </c>
    </row>
    <row r="2672" spans="1:11" outlineLevel="1" x14ac:dyDescent="0.2">
      <c r="A2672" s="29"/>
      <c r="B2672" s="30" t="s">
        <v>1268</v>
      </c>
      <c r="C2672" s="30" t="s">
        <v>4502</v>
      </c>
      <c r="D2672" s="34" t="s">
        <v>1819</v>
      </c>
      <c r="E2672" s="31">
        <v>994.26</v>
      </c>
      <c r="F2672" s="31">
        <v>2.81</v>
      </c>
      <c r="G2672" s="32">
        <f>F2672*E2672</f>
        <v>2793.8706000000002</v>
      </c>
      <c r="H2672" s="33">
        <f t="shared" si="428"/>
        <v>1.4486361256675521E-5</v>
      </c>
      <c r="K2672" t="str">
        <f xml:space="preserve"> B2671 &amp; B2672</f>
        <v>Z000244018Z040314012</v>
      </c>
    </row>
    <row r="2673" spans="1:11" outlineLevel="1" x14ac:dyDescent="0.2">
      <c r="A2673" s="11" t="s">
        <v>787</v>
      </c>
      <c r="B2673" s="11" t="s">
        <v>1896</v>
      </c>
      <c r="C2673" s="11" t="s">
        <v>4489</v>
      </c>
      <c r="D2673" s="12" t="s">
        <v>1153</v>
      </c>
      <c r="E2673" s="13">
        <v>25.81</v>
      </c>
      <c r="F2673" s="14">
        <v>123.46268000000002</v>
      </c>
      <c r="G2673" s="15">
        <f>SUM(G2674:G2684)</f>
        <v>3186.5717708000002</v>
      </c>
      <c r="H2673" s="16">
        <f t="shared" si="428"/>
        <v>1.6522536814028906E-5</v>
      </c>
    </row>
    <row r="2674" spans="1:11" outlineLevel="1" x14ac:dyDescent="0.2">
      <c r="A2674" s="29"/>
      <c r="B2674" s="30" t="s">
        <v>616</v>
      </c>
      <c r="C2674" s="30" t="s">
        <v>859</v>
      </c>
      <c r="D2674" s="34" t="s">
        <v>1153</v>
      </c>
      <c r="E2674" s="31">
        <v>28.391000000000002</v>
      </c>
      <c r="F2674" s="31">
        <v>112.2388</v>
      </c>
      <c r="G2674" s="32">
        <f t="shared" ref="G2674:G2684" si="434">F2674*E2674</f>
        <v>3186.5717708000002</v>
      </c>
      <c r="H2674" s="33">
        <f t="shared" si="428"/>
        <v>1.6522536814028906E-5</v>
      </c>
      <c r="K2674" t="str">
        <f xml:space="preserve"> B2673 &amp; B2674</f>
        <v>Z000244010Z011202001</v>
      </c>
    </row>
    <row r="2675" spans="1:11" outlineLevel="1" x14ac:dyDescent="0.2">
      <c r="A2675" s="29"/>
      <c r="B2675" s="30" t="s">
        <v>801</v>
      </c>
      <c r="C2675" s="30" t="s">
        <v>402</v>
      </c>
      <c r="D2675" s="34" t="s">
        <v>151</v>
      </c>
      <c r="E2675" s="31">
        <v>0</v>
      </c>
      <c r="F2675" s="31">
        <v>10.3</v>
      </c>
      <c r="G2675" s="32">
        <f t="shared" si="434"/>
        <v>0</v>
      </c>
      <c r="H2675" s="33">
        <f t="shared" si="428"/>
        <v>0</v>
      </c>
      <c r="K2675" t="str">
        <f xml:space="preserve"> B2673 &amp; B2675</f>
        <v>Z000244010Z040202006</v>
      </c>
    </row>
    <row r="2676" spans="1:11" outlineLevel="1" x14ac:dyDescent="0.2">
      <c r="A2676" s="29"/>
      <c r="B2676" s="30" t="s">
        <v>498</v>
      </c>
      <c r="C2676" s="30" t="s">
        <v>773</v>
      </c>
      <c r="D2676" s="34" t="s">
        <v>84</v>
      </c>
      <c r="E2676" s="31">
        <v>30.971999999999998</v>
      </c>
      <c r="F2676" s="31">
        <v>0</v>
      </c>
      <c r="G2676" s="32">
        <f t="shared" si="434"/>
        <v>0</v>
      </c>
      <c r="H2676" s="33">
        <f t="shared" si="428"/>
        <v>0</v>
      </c>
      <c r="K2676" t="str">
        <f xml:space="preserve"> B2673 &amp; B2676</f>
        <v>Z000244010Z040401001</v>
      </c>
    </row>
    <row r="2677" spans="1:11" outlineLevel="1" x14ac:dyDescent="0.2">
      <c r="A2677" s="29"/>
      <c r="B2677" s="30" t="s">
        <v>233</v>
      </c>
      <c r="C2677" s="30" t="s">
        <v>420</v>
      </c>
      <c r="D2677" s="34" t="s">
        <v>764</v>
      </c>
      <c r="E2677" s="31">
        <v>0</v>
      </c>
      <c r="F2677" s="31">
        <v>327.60000000000002</v>
      </c>
      <c r="G2677" s="32">
        <f t="shared" si="434"/>
        <v>0</v>
      </c>
      <c r="H2677" s="33">
        <f t="shared" si="428"/>
        <v>0</v>
      </c>
      <c r="K2677" t="str">
        <f xml:space="preserve"> B2673 &amp; B2677</f>
        <v>Z000244010Z050101001</v>
      </c>
    </row>
    <row r="2678" spans="1:11" outlineLevel="1" x14ac:dyDescent="0.2">
      <c r="A2678" s="29"/>
      <c r="B2678" s="30" t="s">
        <v>235</v>
      </c>
      <c r="C2678" s="30" t="s">
        <v>413</v>
      </c>
      <c r="D2678" s="34" t="s">
        <v>742</v>
      </c>
      <c r="E2678" s="31">
        <v>0</v>
      </c>
      <c r="F2678" s="31">
        <v>72.41</v>
      </c>
      <c r="G2678" s="32">
        <f t="shared" si="434"/>
        <v>0</v>
      </c>
      <c r="H2678" s="33">
        <f t="shared" si="428"/>
        <v>0</v>
      </c>
      <c r="K2678" t="str">
        <f xml:space="preserve"> B2673 &amp; B2678</f>
        <v>Z000244010Z050101002</v>
      </c>
    </row>
    <row r="2679" spans="1:11" outlineLevel="1" x14ac:dyDescent="0.2">
      <c r="A2679" s="29"/>
      <c r="B2679" s="30" t="s">
        <v>291</v>
      </c>
      <c r="C2679" s="30" t="s">
        <v>4494</v>
      </c>
      <c r="D2679" s="34" t="s">
        <v>764</v>
      </c>
      <c r="E2679" s="31">
        <v>0</v>
      </c>
      <c r="F2679" s="31">
        <v>233.33</v>
      </c>
      <c r="G2679" s="32">
        <f t="shared" si="434"/>
        <v>0</v>
      </c>
      <c r="H2679" s="33">
        <f t="shared" si="428"/>
        <v>0</v>
      </c>
      <c r="K2679" t="str">
        <f xml:space="preserve"> B2673 &amp; B2679</f>
        <v>Z000244010Z050101013</v>
      </c>
    </row>
    <row r="2680" spans="1:11" outlineLevel="1" x14ac:dyDescent="0.2">
      <c r="A2680" s="29"/>
      <c r="B2680" s="30" t="s">
        <v>292</v>
      </c>
      <c r="C2680" s="30" t="s">
        <v>4496</v>
      </c>
      <c r="D2680" s="34" t="s">
        <v>742</v>
      </c>
      <c r="E2680" s="31">
        <v>0</v>
      </c>
      <c r="F2680" s="31">
        <v>98.71</v>
      </c>
      <c r="G2680" s="32">
        <f t="shared" si="434"/>
        <v>0</v>
      </c>
      <c r="H2680" s="33">
        <f t="shared" si="428"/>
        <v>0</v>
      </c>
      <c r="K2680" t="str">
        <f xml:space="preserve"> B2673 &amp; B2680</f>
        <v>Z000244010Z050101014</v>
      </c>
    </row>
    <row r="2681" spans="1:11" outlineLevel="1" x14ac:dyDescent="0.2">
      <c r="A2681" s="29"/>
      <c r="B2681" s="30" t="s">
        <v>295</v>
      </c>
      <c r="C2681" s="30" t="s">
        <v>1928</v>
      </c>
      <c r="D2681" s="34" t="s">
        <v>764</v>
      </c>
      <c r="E2681" s="31">
        <v>0</v>
      </c>
      <c r="F2681" s="31">
        <v>265.10000000000002</v>
      </c>
      <c r="G2681" s="32">
        <f t="shared" si="434"/>
        <v>0</v>
      </c>
      <c r="H2681" s="33">
        <f t="shared" si="428"/>
        <v>0</v>
      </c>
      <c r="K2681" t="str">
        <f xml:space="preserve"> B2673 &amp; B2681</f>
        <v>Z000244010Z050101015</v>
      </c>
    </row>
    <row r="2682" spans="1:11" outlineLevel="1" x14ac:dyDescent="0.2">
      <c r="A2682" s="29"/>
      <c r="B2682" s="30" t="s">
        <v>299</v>
      </c>
      <c r="C2682" s="30" t="s">
        <v>1912</v>
      </c>
      <c r="D2682" s="34" t="s">
        <v>742</v>
      </c>
      <c r="E2682" s="31">
        <v>0</v>
      </c>
      <c r="F2682" s="31">
        <v>110.91</v>
      </c>
      <c r="G2682" s="32">
        <f t="shared" si="434"/>
        <v>0</v>
      </c>
      <c r="H2682" s="33">
        <f t="shared" si="428"/>
        <v>0</v>
      </c>
      <c r="K2682" t="str">
        <f xml:space="preserve"> B2673 &amp; B2682</f>
        <v>Z000244010Z050101016</v>
      </c>
    </row>
    <row r="2683" spans="1:11" outlineLevel="1" x14ac:dyDescent="0.2">
      <c r="A2683" s="29"/>
      <c r="B2683" s="30" t="s">
        <v>300</v>
      </c>
      <c r="C2683" s="30" t="s">
        <v>1398</v>
      </c>
      <c r="D2683" s="34" t="s">
        <v>764</v>
      </c>
      <c r="E2683" s="31">
        <v>0</v>
      </c>
      <c r="F2683" s="31">
        <v>172.95</v>
      </c>
      <c r="G2683" s="32">
        <f t="shared" si="434"/>
        <v>0</v>
      </c>
      <c r="H2683" s="33">
        <f t="shared" si="428"/>
        <v>0</v>
      </c>
      <c r="K2683" t="str">
        <f xml:space="preserve"> B2673 &amp; B2683</f>
        <v>Z000244010Z050101017</v>
      </c>
    </row>
    <row r="2684" spans="1:11" outlineLevel="1" x14ac:dyDescent="0.2">
      <c r="A2684" s="29"/>
      <c r="B2684" s="30" t="s">
        <v>305</v>
      </c>
      <c r="C2684" s="30" t="s">
        <v>1381</v>
      </c>
      <c r="D2684" s="34" t="s">
        <v>742</v>
      </c>
      <c r="E2684" s="31">
        <v>0</v>
      </c>
      <c r="F2684" s="31">
        <v>71.92</v>
      </c>
      <c r="G2684" s="32">
        <f t="shared" si="434"/>
        <v>0</v>
      </c>
      <c r="H2684" s="33">
        <f t="shared" si="428"/>
        <v>0</v>
      </c>
      <c r="K2684" t="str">
        <f xml:space="preserve"> B2673 &amp; B2684</f>
        <v>Z000244010Z050101018</v>
      </c>
    </row>
    <row r="2685" spans="1:11" outlineLevel="1" x14ac:dyDescent="0.2">
      <c r="A2685" s="11" t="s">
        <v>788</v>
      </c>
      <c r="B2685" s="11" t="s">
        <v>1839</v>
      </c>
      <c r="C2685" s="11" t="s">
        <v>4462</v>
      </c>
      <c r="D2685" s="12" t="s">
        <v>1152</v>
      </c>
      <c r="E2685" s="13">
        <v>860.27</v>
      </c>
      <c r="F2685" s="14">
        <v>139.06294</v>
      </c>
      <c r="G2685" s="15">
        <f>SUM(G2686:G2696)</f>
        <v>119631.6753938</v>
      </c>
      <c r="H2685" s="16">
        <f t="shared" si="428"/>
        <v>6.2029632564082474E-4</v>
      </c>
    </row>
    <row r="2686" spans="1:11" outlineLevel="1" x14ac:dyDescent="0.2">
      <c r="A2686" s="29"/>
      <c r="B2686" s="30" t="s">
        <v>1374</v>
      </c>
      <c r="C2686" s="30" t="s">
        <v>1112</v>
      </c>
      <c r="D2686" s="34" t="s">
        <v>1153</v>
      </c>
      <c r="E2686" s="31">
        <v>8.4306459999999994</v>
      </c>
      <c r="F2686" s="31">
        <v>95</v>
      </c>
      <c r="G2686" s="32">
        <f t="shared" ref="G2686:G2696" si="435">F2686*E2686</f>
        <v>800.91136999999992</v>
      </c>
      <c r="H2686" s="33">
        <f t="shared" si="428"/>
        <v>4.1527662163018255E-6</v>
      </c>
      <c r="K2686" t="str">
        <f xml:space="preserve"> B2685 &amp; B2686</f>
        <v>Z000244004Z010303001</v>
      </c>
    </row>
    <row r="2687" spans="1:11" outlineLevel="1" x14ac:dyDescent="0.2">
      <c r="A2687" s="29"/>
      <c r="B2687" s="30" t="s">
        <v>1258</v>
      </c>
      <c r="C2687" s="30" t="s">
        <v>1526</v>
      </c>
      <c r="D2687" s="34" t="s">
        <v>1153</v>
      </c>
      <c r="E2687" s="31">
        <v>48.863336000000004</v>
      </c>
      <c r="F2687" s="31">
        <v>148</v>
      </c>
      <c r="G2687" s="32">
        <f t="shared" si="435"/>
        <v>7231.7737280000001</v>
      </c>
      <c r="H2687" s="33">
        <f t="shared" si="428"/>
        <v>3.7497114845026498E-5</v>
      </c>
      <c r="K2687" t="str">
        <f xml:space="preserve"> B2685 &amp; B2687</f>
        <v>Z000244004Z010304001</v>
      </c>
    </row>
    <row r="2688" spans="1:11" outlineLevel="1" x14ac:dyDescent="0.2">
      <c r="A2688" s="29"/>
      <c r="B2688" s="30" t="s">
        <v>298</v>
      </c>
      <c r="C2688" s="30" t="s">
        <v>4464</v>
      </c>
      <c r="D2688" s="34" t="s">
        <v>1152</v>
      </c>
      <c r="E2688" s="31">
        <v>863.79710699999998</v>
      </c>
      <c r="F2688" s="31">
        <v>79.400000000000006</v>
      </c>
      <c r="G2688" s="32">
        <f t="shared" si="435"/>
        <v>68585.490295800002</v>
      </c>
      <c r="H2688" s="33">
        <f t="shared" si="428"/>
        <v>3.5561925788229847E-4</v>
      </c>
      <c r="K2688" t="str">
        <f xml:space="preserve"> B2685 &amp; B2688</f>
        <v>Z000244004Z010705001</v>
      </c>
    </row>
    <row r="2689" spans="1:11" outlineLevel="1" x14ac:dyDescent="0.2">
      <c r="A2689" s="29"/>
      <c r="B2689" s="30" t="s">
        <v>1009</v>
      </c>
      <c r="C2689" s="30" t="s">
        <v>672</v>
      </c>
      <c r="D2689" s="34" t="s">
        <v>151</v>
      </c>
      <c r="E2689" s="31">
        <v>0</v>
      </c>
      <c r="F2689" s="31">
        <v>16.489999999999998</v>
      </c>
      <c r="G2689" s="32">
        <f t="shared" si="435"/>
        <v>0</v>
      </c>
      <c r="H2689" s="33">
        <f t="shared" si="428"/>
        <v>0</v>
      </c>
      <c r="K2689" t="str">
        <f xml:space="preserve"> B2685 &amp; B2689</f>
        <v>Z000244004Z040201013</v>
      </c>
    </row>
    <row r="2690" spans="1:11" outlineLevel="1" x14ac:dyDescent="0.2">
      <c r="A2690" s="29"/>
      <c r="B2690" s="30" t="s">
        <v>801</v>
      </c>
      <c r="C2690" s="30" t="s">
        <v>402</v>
      </c>
      <c r="D2690" s="34" t="s">
        <v>151</v>
      </c>
      <c r="E2690" s="31">
        <v>0</v>
      </c>
      <c r="F2690" s="31">
        <v>10.3</v>
      </c>
      <c r="G2690" s="32">
        <f t="shared" si="435"/>
        <v>0</v>
      </c>
      <c r="H2690" s="33">
        <f t="shared" si="428"/>
        <v>0</v>
      </c>
      <c r="K2690" t="str">
        <f xml:space="preserve"> B2685 &amp; B2690</f>
        <v>Z000244004Z040202006</v>
      </c>
    </row>
    <row r="2691" spans="1:11" outlineLevel="1" x14ac:dyDescent="0.2">
      <c r="A2691" s="29"/>
      <c r="B2691" s="30" t="s">
        <v>1269</v>
      </c>
      <c r="C2691" s="30" t="s">
        <v>4468</v>
      </c>
      <c r="D2691" s="34" t="s">
        <v>1152</v>
      </c>
      <c r="E2691" s="31">
        <v>860.27</v>
      </c>
      <c r="F2691" s="31">
        <v>50</v>
      </c>
      <c r="G2691" s="32">
        <f t="shared" si="435"/>
        <v>43013.5</v>
      </c>
      <c r="H2691" s="33">
        <f t="shared" si="428"/>
        <v>2.2302718669719795E-4</v>
      </c>
      <c r="K2691" t="str">
        <f xml:space="preserve"> B2685 &amp; B2691</f>
        <v>Z000244004Z040314013</v>
      </c>
    </row>
    <row r="2692" spans="1:11" outlineLevel="1" x14ac:dyDescent="0.2">
      <c r="A2692" s="29"/>
      <c r="B2692" s="30" t="s">
        <v>498</v>
      </c>
      <c r="C2692" s="30" t="s">
        <v>773</v>
      </c>
      <c r="D2692" s="34" t="s">
        <v>84</v>
      </c>
      <c r="E2692" s="31">
        <v>1032.3239999999998</v>
      </c>
      <c r="F2692" s="31">
        <v>0</v>
      </c>
      <c r="G2692" s="32">
        <f t="shared" si="435"/>
        <v>0</v>
      </c>
      <c r="H2692" s="33">
        <f t="shared" si="428"/>
        <v>0</v>
      </c>
      <c r="K2692" t="str">
        <f xml:space="preserve"> B2685 &amp; B2692</f>
        <v>Z000244004Z040401001</v>
      </c>
    </row>
    <row r="2693" spans="1:11" outlineLevel="1" x14ac:dyDescent="0.2">
      <c r="A2693" s="29"/>
      <c r="B2693" s="30" t="s">
        <v>46</v>
      </c>
      <c r="C2693" s="30" t="s">
        <v>114</v>
      </c>
      <c r="D2693" s="34" t="s">
        <v>764</v>
      </c>
      <c r="E2693" s="31">
        <v>0</v>
      </c>
      <c r="F2693" s="31">
        <v>1</v>
      </c>
      <c r="G2693" s="32">
        <f t="shared" si="435"/>
        <v>0</v>
      </c>
      <c r="H2693" s="33">
        <f t="shared" si="428"/>
        <v>0</v>
      </c>
      <c r="K2693" t="str">
        <f xml:space="preserve"> B2685 &amp; B2693</f>
        <v>Z000244004Z050103011</v>
      </c>
    </row>
    <row r="2694" spans="1:11" outlineLevel="1" x14ac:dyDescent="0.2">
      <c r="A2694" s="29"/>
      <c r="B2694" s="30" t="s">
        <v>48</v>
      </c>
      <c r="C2694" s="30" t="s">
        <v>96</v>
      </c>
      <c r="D2694" s="34" t="s">
        <v>742</v>
      </c>
      <c r="E2694" s="31">
        <v>0</v>
      </c>
      <c r="F2694" s="31">
        <v>1</v>
      </c>
      <c r="G2694" s="32">
        <f t="shared" si="435"/>
        <v>0</v>
      </c>
      <c r="H2694" s="33">
        <f t="shared" si="428"/>
        <v>0</v>
      </c>
      <c r="K2694" t="str">
        <f xml:space="preserve"> B2685 &amp; B2694</f>
        <v>Z000244004Z050103012</v>
      </c>
    </row>
    <row r="2695" spans="1:11" outlineLevel="1" x14ac:dyDescent="0.2">
      <c r="A2695" s="29"/>
      <c r="B2695" s="30" t="s">
        <v>57</v>
      </c>
      <c r="C2695" s="30" t="s">
        <v>4473</v>
      </c>
      <c r="D2695" s="34" t="s">
        <v>764</v>
      </c>
      <c r="E2695" s="31">
        <v>0</v>
      </c>
      <c r="F2695" s="31">
        <v>11.24</v>
      </c>
      <c r="G2695" s="32">
        <f t="shared" si="435"/>
        <v>0</v>
      </c>
      <c r="H2695" s="33">
        <f t="shared" si="428"/>
        <v>0</v>
      </c>
      <c r="K2695" t="str">
        <f xml:space="preserve"> B2685 &amp; B2695</f>
        <v>Z000244004Z050103015</v>
      </c>
    </row>
    <row r="2696" spans="1:11" outlineLevel="1" x14ac:dyDescent="0.2">
      <c r="A2696" s="29"/>
      <c r="B2696" s="30" t="s">
        <v>58</v>
      </c>
      <c r="C2696" s="30" t="s">
        <v>4475</v>
      </c>
      <c r="D2696" s="34" t="s">
        <v>742</v>
      </c>
      <c r="E2696" s="31">
        <v>0</v>
      </c>
      <c r="F2696" s="31">
        <v>1.31</v>
      </c>
      <c r="G2696" s="32">
        <f t="shared" si="435"/>
        <v>0</v>
      </c>
      <c r="H2696" s="33">
        <f t="shared" si="428"/>
        <v>0</v>
      </c>
      <c r="K2696" t="str">
        <f xml:space="preserve"> B2685 &amp; B2696</f>
        <v>Z000244004Z050103016</v>
      </c>
    </row>
    <row r="2697" spans="1:11" outlineLevel="1" x14ac:dyDescent="0.2">
      <c r="A2697" s="11" t="s">
        <v>793</v>
      </c>
      <c r="B2697" s="11" t="s">
        <v>1718</v>
      </c>
      <c r="C2697" s="11" t="s">
        <v>4523</v>
      </c>
      <c r="D2697" s="12" t="s">
        <v>1781</v>
      </c>
      <c r="E2697" s="13">
        <v>470</v>
      </c>
      <c r="F2697" s="14">
        <v>99.194000000000003</v>
      </c>
      <c r="G2697" s="15">
        <f>SUM(G2698:G2704)</f>
        <v>46621.18</v>
      </c>
      <c r="H2697" s="16">
        <f t="shared" si="428"/>
        <v>2.4173319111217806E-4</v>
      </c>
    </row>
    <row r="2698" spans="1:11" outlineLevel="1" x14ac:dyDescent="0.2">
      <c r="A2698" s="29"/>
      <c r="B2698" s="30" t="s">
        <v>1339</v>
      </c>
      <c r="C2698" s="30" t="s">
        <v>4521</v>
      </c>
      <c r="D2698" s="34" t="s">
        <v>1781</v>
      </c>
      <c r="E2698" s="31">
        <v>470</v>
      </c>
      <c r="F2698" s="31">
        <v>92</v>
      </c>
      <c r="G2698" s="32">
        <f t="shared" ref="G2698:G2704" si="436">F2698*E2698</f>
        <v>43240</v>
      </c>
      <c r="H2698" s="33">
        <f t="shared" si="428"/>
        <v>2.2420160072504769E-4</v>
      </c>
      <c r="K2698" t="str">
        <f xml:space="preserve"> B2697 &amp; B2698</f>
        <v>Z000245005Z020803001</v>
      </c>
    </row>
    <row r="2699" spans="1:11" outlineLevel="1" x14ac:dyDescent="0.2">
      <c r="A2699" s="29"/>
      <c r="B2699" s="30" t="s">
        <v>622</v>
      </c>
      <c r="C2699" s="30" t="s">
        <v>381</v>
      </c>
      <c r="D2699" s="34" t="s">
        <v>1052</v>
      </c>
      <c r="E2699" s="31">
        <v>102.46</v>
      </c>
      <c r="F2699" s="31">
        <v>33</v>
      </c>
      <c r="G2699" s="32">
        <f t="shared" si="436"/>
        <v>3381.18</v>
      </c>
      <c r="H2699" s="33">
        <f t="shared" si="428"/>
        <v>1.753159038713036E-5</v>
      </c>
      <c r="K2699" t="str">
        <f xml:space="preserve"> B2697 &amp; B2699</f>
        <v>Z000245005Z030203003</v>
      </c>
    </row>
    <row r="2700" spans="1:11" outlineLevel="1" x14ac:dyDescent="0.2">
      <c r="A2700" s="29"/>
      <c r="B2700" s="30" t="s">
        <v>1009</v>
      </c>
      <c r="C2700" s="30" t="s">
        <v>672</v>
      </c>
      <c r="D2700" s="34" t="s">
        <v>151</v>
      </c>
      <c r="E2700" s="31">
        <v>0</v>
      </c>
      <c r="F2700" s="31">
        <v>16.489999999999998</v>
      </c>
      <c r="G2700" s="32">
        <f t="shared" si="436"/>
        <v>0</v>
      </c>
      <c r="H2700" s="33">
        <f t="shared" si="428"/>
        <v>0</v>
      </c>
      <c r="K2700" t="str">
        <f xml:space="preserve"> B2697 &amp; B2700</f>
        <v>Z000245005Z040201013</v>
      </c>
    </row>
    <row r="2701" spans="1:11" outlineLevel="1" x14ac:dyDescent="0.2">
      <c r="A2701" s="29"/>
      <c r="B2701" s="30" t="s">
        <v>801</v>
      </c>
      <c r="C2701" s="30" t="s">
        <v>402</v>
      </c>
      <c r="D2701" s="34" t="s">
        <v>151</v>
      </c>
      <c r="E2701" s="31">
        <v>0</v>
      </c>
      <c r="F2701" s="31">
        <v>10.3</v>
      </c>
      <c r="G2701" s="32">
        <f t="shared" si="436"/>
        <v>0</v>
      </c>
      <c r="H2701" s="33">
        <f t="shared" si="428"/>
        <v>0</v>
      </c>
      <c r="K2701" t="str">
        <f xml:space="preserve"> B2697 &amp; B2701</f>
        <v>Z000245005Z040202006</v>
      </c>
    </row>
    <row r="2702" spans="1:11" outlineLevel="1" x14ac:dyDescent="0.2">
      <c r="A2702" s="29"/>
      <c r="B2702" s="30" t="s">
        <v>498</v>
      </c>
      <c r="C2702" s="30" t="s">
        <v>773</v>
      </c>
      <c r="D2702" s="34" t="s">
        <v>84</v>
      </c>
      <c r="E2702" s="31">
        <v>564</v>
      </c>
      <c r="F2702" s="31">
        <v>0</v>
      </c>
      <c r="G2702" s="32">
        <f t="shared" si="436"/>
        <v>0</v>
      </c>
      <c r="H2702" s="33">
        <f t="shared" si="428"/>
        <v>0</v>
      </c>
      <c r="K2702" t="str">
        <f xml:space="preserve"> B2697 &amp; B2702</f>
        <v>Z000245005Z040401001</v>
      </c>
    </row>
    <row r="2703" spans="1:11" outlineLevel="1" x14ac:dyDescent="0.2">
      <c r="A2703" s="29"/>
      <c r="B2703" s="30" t="s">
        <v>54</v>
      </c>
      <c r="C2703" s="30" t="s">
        <v>682</v>
      </c>
      <c r="D2703" s="34" t="s">
        <v>764</v>
      </c>
      <c r="E2703" s="31">
        <v>0</v>
      </c>
      <c r="F2703" s="31">
        <v>31.84</v>
      </c>
      <c r="G2703" s="32">
        <f t="shared" si="436"/>
        <v>0</v>
      </c>
      <c r="H2703" s="33">
        <f t="shared" si="428"/>
        <v>0</v>
      </c>
      <c r="K2703" t="str">
        <f xml:space="preserve"> B2697 &amp; B2703</f>
        <v>Z000245005Z050103013</v>
      </c>
    </row>
    <row r="2704" spans="1:11" outlineLevel="1" x14ac:dyDescent="0.2">
      <c r="A2704" s="29"/>
      <c r="B2704" s="30" t="s">
        <v>56</v>
      </c>
      <c r="C2704" s="30" t="s">
        <v>674</v>
      </c>
      <c r="D2704" s="34" t="s">
        <v>742</v>
      </c>
      <c r="E2704" s="31">
        <v>0</v>
      </c>
      <c r="F2704" s="31">
        <v>29.63</v>
      </c>
      <c r="G2704" s="32">
        <f t="shared" si="436"/>
        <v>0</v>
      </c>
      <c r="H2704" s="33">
        <f t="shared" si="428"/>
        <v>0</v>
      </c>
      <c r="K2704" t="str">
        <f xml:space="preserve"> B2697 &amp; B2704</f>
        <v>Z000245005Z050103014</v>
      </c>
    </row>
    <row r="2705" spans="1:11" outlineLevel="1" x14ac:dyDescent="0.2">
      <c r="A2705" s="11" t="s">
        <v>5313</v>
      </c>
      <c r="B2705" s="11" t="s">
        <v>208</v>
      </c>
      <c r="C2705" s="11" t="s">
        <v>4428</v>
      </c>
      <c r="D2705" s="12" t="s">
        <v>1781</v>
      </c>
      <c r="E2705" s="13">
        <v>8.0399999999999991</v>
      </c>
      <c r="F2705" s="14">
        <v>642.92407086000003</v>
      </c>
      <c r="G2705" s="15">
        <f>SUM(G2706:G2714)</f>
        <v>5169.1095297143993</v>
      </c>
      <c r="H2705" s="16">
        <f t="shared" ref="H2705:H2712" si="437">G2705/$F$2</f>
        <v>2.6802095996416903E-5</v>
      </c>
    </row>
    <row r="2706" spans="1:11" outlineLevel="1" x14ac:dyDescent="0.2">
      <c r="A2706" s="29"/>
      <c r="B2706" s="30" t="s">
        <v>1047</v>
      </c>
      <c r="C2706" s="30" t="s">
        <v>1127</v>
      </c>
      <c r="D2706" s="34" t="s">
        <v>1781</v>
      </c>
      <c r="E2706" s="31">
        <v>2.4071759999999998</v>
      </c>
      <c r="F2706" s="31">
        <v>13.77</v>
      </c>
      <c r="G2706" s="32">
        <f t="shared" ref="G2706:G2712" si="438">F2706*E2706</f>
        <v>33.146813519999995</v>
      </c>
      <c r="H2706" s="33">
        <f t="shared" si="437"/>
        <v>1.7186791512762838E-7</v>
      </c>
      <c r="K2706" t="str">
        <f xml:space="preserve"> B2705 &amp; B2706</f>
        <v>Z000241002Z010109004</v>
      </c>
    </row>
    <row r="2707" spans="1:11" outlineLevel="1" x14ac:dyDescent="0.2">
      <c r="A2707" s="29"/>
      <c r="B2707" s="30" t="s">
        <v>82</v>
      </c>
      <c r="C2707" s="30" t="s">
        <v>2688</v>
      </c>
      <c r="D2707" s="34" t="s">
        <v>1052</v>
      </c>
      <c r="E2707" s="31">
        <v>20.099999999999998</v>
      </c>
      <c r="F2707" s="31">
        <v>2.04</v>
      </c>
      <c r="G2707" s="32">
        <f t="shared" si="438"/>
        <v>41.003999999999998</v>
      </c>
      <c r="H2707" s="33">
        <f t="shared" si="437"/>
        <v>2.1260782692252208E-7</v>
      </c>
      <c r="K2707" t="str">
        <f xml:space="preserve"> B2705 &amp; B2707</f>
        <v>Z000241002Z010404002</v>
      </c>
    </row>
    <row r="2708" spans="1:11" outlineLevel="1" x14ac:dyDescent="0.2">
      <c r="A2708" s="29"/>
      <c r="B2708" s="30" t="s">
        <v>1129</v>
      </c>
      <c r="C2708" s="30" t="s">
        <v>2681</v>
      </c>
      <c r="D2708" s="34" t="s">
        <v>151</v>
      </c>
      <c r="E2708" s="31">
        <v>0.17125199999999999</v>
      </c>
      <c r="F2708" s="31">
        <v>19.722200000000001</v>
      </c>
      <c r="G2708" s="32">
        <f t="shared" si="438"/>
        <v>3.3774661943999997</v>
      </c>
      <c r="H2708" s="33">
        <f t="shared" si="437"/>
        <v>1.7512334116078056E-8</v>
      </c>
      <c r="K2708" t="str">
        <f xml:space="preserve"> B2705 &amp; B2708</f>
        <v>Z000241002Z010305001</v>
      </c>
    </row>
    <row r="2709" spans="1:11" outlineLevel="1" x14ac:dyDescent="0.2">
      <c r="A2709" s="29"/>
      <c r="B2709" s="30" t="s">
        <v>85</v>
      </c>
      <c r="C2709" s="30" t="s">
        <v>4432</v>
      </c>
      <c r="D2709" s="34" t="s">
        <v>151</v>
      </c>
      <c r="E2709" s="31">
        <v>25.124999999999996</v>
      </c>
      <c r="F2709" s="31">
        <v>5.61</v>
      </c>
      <c r="G2709" s="32">
        <f t="shared" si="438"/>
        <v>140.95124999999999</v>
      </c>
      <c r="H2709" s="33">
        <f t="shared" si="437"/>
        <v>7.3083940504616971E-7</v>
      </c>
      <c r="K2709" t="str">
        <f xml:space="preserve"> B2705 &amp; B2709</f>
        <v>Z000241002Z010404003</v>
      </c>
    </row>
    <row r="2710" spans="1:11" outlineLevel="1" x14ac:dyDescent="0.2">
      <c r="A2710" s="29"/>
      <c r="B2710" s="30" t="s">
        <v>498</v>
      </c>
      <c r="C2710" s="30" t="s">
        <v>773</v>
      </c>
      <c r="D2710" s="34" t="s">
        <v>84</v>
      </c>
      <c r="E2710" s="31">
        <v>9.6479999999999979</v>
      </c>
      <c r="F2710" s="31">
        <v>0</v>
      </c>
      <c r="G2710" s="32">
        <f t="shared" si="438"/>
        <v>0</v>
      </c>
      <c r="H2710" s="33">
        <f t="shared" si="437"/>
        <v>0</v>
      </c>
      <c r="K2710" t="str">
        <f xml:space="preserve"> B2705 &amp; B2710</f>
        <v>Z000241002Z040401001</v>
      </c>
    </row>
    <row r="2711" spans="1:11" outlineLevel="1" x14ac:dyDescent="0.2">
      <c r="A2711" s="29"/>
      <c r="B2711" s="30" t="s">
        <v>1009</v>
      </c>
      <c r="C2711" s="30" t="s">
        <v>672</v>
      </c>
      <c r="D2711" s="34" t="s">
        <v>764</v>
      </c>
      <c r="E2711" s="31">
        <v>0</v>
      </c>
      <c r="F2711" s="31">
        <v>16.489999999999998</v>
      </c>
      <c r="G2711" s="32">
        <f t="shared" si="438"/>
        <v>0</v>
      </c>
      <c r="H2711" s="33">
        <f t="shared" si="437"/>
        <v>0</v>
      </c>
      <c r="K2711" t="str">
        <f xml:space="preserve"> B2705 &amp; B2711</f>
        <v>Z000241002Z040201013</v>
      </c>
    </row>
    <row r="2712" spans="1:11" outlineLevel="1" x14ac:dyDescent="0.2">
      <c r="A2712" s="29"/>
      <c r="B2712" s="30" t="s">
        <v>681</v>
      </c>
      <c r="C2712" s="30" t="s">
        <v>1022</v>
      </c>
      <c r="D2712" s="34" t="s">
        <v>742</v>
      </c>
      <c r="E2712" s="31">
        <v>9.9012599999999988</v>
      </c>
      <c r="F2712" s="31">
        <v>500</v>
      </c>
      <c r="G2712" s="32">
        <f t="shared" si="438"/>
        <v>4950.6299999999992</v>
      </c>
      <c r="H2712" s="33">
        <f t="shared" si="437"/>
        <v>2.5669268515204501E-5</v>
      </c>
      <c r="K2712" t="str">
        <f xml:space="preserve"> B2705 &amp; B2712</f>
        <v>Z000241002Z010202002</v>
      </c>
    </row>
    <row r="2713" spans="1:11" outlineLevel="1" x14ac:dyDescent="0.2">
      <c r="A2713" s="29"/>
      <c r="B2713" s="30" t="s">
        <v>801</v>
      </c>
      <c r="C2713" s="30" t="s">
        <v>402</v>
      </c>
      <c r="D2713" s="34" t="s">
        <v>742</v>
      </c>
      <c r="E2713" s="31">
        <v>0</v>
      </c>
      <c r="F2713" s="31">
        <v>10.3</v>
      </c>
      <c r="G2713" s="32">
        <f t="shared" ref="G2713:G2714" si="439">F2713*E2713</f>
        <v>0</v>
      </c>
      <c r="H2713" s="33">
        <f t="shared" ref="H2713:H2722" si="440">G2713/$F$2</f>
        <v>0</v>
      </c>
      <c r="K2713" t="str">
        <f xml:space="preserve"> B2705 &amp; B2713</f>
        <v>Z000241002Z040202006</v>
      </c>
    </row>
    <row r="2714" spans="1:11" outlineLevel="1" x14ac:dyDescent="0.2">
      <c r="A2714" s="29"/>
      <c r="B2714" s="30" t="s">
        <v>944</v>
      </c>
      <c r="C2714" s="30" t="s">
        <v>1601</v>
      </c>
      <c r="D2714" s="34" t="s">
        <v>742</v>
      </c>
      <c r="E2714" s="31">
        <v>0</v>
      </c>
      <c r="F2714" s="31">
        <v>19.170000000000002</v>
      </c>
      <c r="G2714" s="32">
        <f t="shared" si="439"/>
        <v>0</v>
      </c>
      <c r="H2714" s="33">
        <f t="shared" si="440"/>
        <v>0</v>
      </c>
      <c r="K2714" t="str">
        <f xml:space="preserve"> B2705 &amp; B2714</f>
        <v>Z000241002Z040201005</v>
      </c>
    </row>
    <row r="2715" spans="1:11" outlineLevel="1" x14ac:dyDescent="0.2">
      <c r="A2715" s="11" t="s">
        <v>5288</v>
      </c>
      <c r="B2715" s="11" t="s">
        <v>205</v>
      </c>
      <c r="C2715" s="11" t="s">
        <v>4416</v>
      </c>
      <c r="D2715" s="12" t="s">
        <v>1781</v>
      </c>
      <c r="E2715" s="13">
        <v>133.99</v>
      </c>
      <c r="F2715" s="14">
        <v>14.45823914</v>
      </c>
      <c r="G2715" s="15">
        <f>SUM(G2716:G2726)</f>
        <v>1937.2594623686002</v>
      </c>
      <c r="H2715" s="16">
        <f t="shared" si="440"/>
        <v>1.004478891033269E-5</v>
      </c>
    </row>
    <row r="2716" spans="1:11" outlineLevel="1" x14ac:dyDescent="0.2">
      <c r="A2716" s="29"/>
      <c r="B2716" s="30" t="s">
        <v>1258</v>
      </c>
      <c r="C2716" s="30" t="s">
        <v>1526</v>
      </c>
      <c r="D2716" s="34" t="s">
        <v>1781</v>
      </c>
      <c r="E2716" s="31">
        <v>3.778518</v>
      </c>
      <c r="F2716" s="31">
        <v>148</v>
      </c>
      <c r="G2716" s="32">
        <f t="shared" ref="G2716:G2724" si="441">F2716*E2716</f>
        <v>559.22066400000006</v>
      </c>
      <c r="H2716" s="33">
        <f t="shared" si="440"/>
        <v>2.8995876047022217E-6</v>
      </c>
      <c r="K2716" t="str">
        <f xml:space="preserve"> B2715 &amp; B2716</f>
        <v>Z000241001Z010304001</v>
      </c>
    </row>
    <row r="2717" spans="1:11" outlineLevel="1" x14ac:dyDescent="0.2">
      <c r="A2717" s="29"/>
      <c r="B2717" s="30" t="s">
        <v>1654</v>
      </c>
      <c r="C2717" s="30" t="s">
        <v>1551</v>
      </c>
      <c r="D2717" s="34" t="s">
        <v>1052</v>
      </c>
      <c r="E2717" s="31">
        <v>969.56503900000007</v>
      </c>
      <c r="F2717" s="31">
        <v>0.7974</v>
      </c>
      <c r="G2717" s="32">
        <f t="shared" si="441"/>
        <v>773.13116209860004</v>
      </c>
      <c r="H2717" s="33">
        <f t="shared" si="440"/>
        <v>4.008724424443165E-6</v>
      </c>
      <c r="K2717" t="str">
        <f xml:space="preserve"> B2715 &amp; B2717</f>
        <v>Z000241001Z010301001</v>
      </c>
    </row>
    <row r="2718" spans="1:11" outlineLevel="1" x14ac:dyDescent="0.2">
      <c r="A2718" s="29"/>
      <c r="B2718" s="30" t="s">
        <v>120</v>
      </c>
      <c r="C2718" s="30" t="s">
        <v>597</v>
      </c>
      <c r="D2718" s="34" t="s">
        <v>151</v>
      </c>
      <c r="E2718" s="31">
        <v>0</v>
      </c>
      <c r="F2718" s="31">
        <v>1.52</v>
      </c>
      <c r="G2718" s="32">
        <f t="shared" si="441"/>
        <v>0</v>
      </c>
      <c r="H2718" s="33">
        <f t="shared" si="440"/>
        <v>0</v>
      </c>
      <c r="K2718" t="str">
        <f xml:space="preserve"> B2715 &amp; B2718</f>
        <v>Z000241001Z050103020</v>
      </c>
    </row>
    <row r="2719" spans="1:11" outlineLevel="1" x14ac:dyDescent="0.2">
      <c r="A2719" s="29"/>
      <c r="B2719" s="30" t="s">
        <v>801</v>
      </c>
      <c r="C2719" s="30" t="s">
        <v>402</v>
      </c>
      <c r="D2719" s="34" t="s">
        <v>151</v>
      </c>
      <c r="E2719" s="31">
        <v>0</v>
      </c>
      <c r="F2719" s="31">
        <v>10.3</v>
      </c>
      <c r="G2719" s="32">
        <f t="shared" si="441"/>
        <v>0</v>
      </c>
      <c r="H2719" s="33">
        <f t="shared" si="440"/>
        <v>0</v>
      </c>
      <c r="K2719" t="str">
        <f xml:space="preserve"> B2715 &amp; B2719</f>
        <v>Z000241001Z040202006</v>
      </c>
    </row>
    <row r="2720" spans="1:11" outlineLevel="1" x14ac:dyDescent="0.2">
      <c r="A2720" s="29"/>
      <c r="B2720" s="30" t="s">
        <v>1747</v>
      </c>
      <c r="C2720" s="30" t="s">
        <v>1296</v>
      </c>
      <c r="D2720" s="34" t="s">
        <v>84</v>
      </c>
      <c r="E2720" s="31">
        <v>139.34960000000001</v>
      </c>
      <c r="F2720" s="31">
        <v>1.19</v>
      </c>
      <c r="G2720" s="32">
        <f t="shared" si="441"/>
        <v>165.82602399999999</v>
      </c>
      <c r="H2720" s="33">
        <f t="shared" si="440"/>
        <v>8.5981637425231672E-7</v>
      </c>
      <c r="K2720" t="str">
        <f xml:space="preserve"> B2715 &amp; B2720</f>
        <v>Z000241001Z030301001</v>
      </c>
    </row>
    <row r="2721" spans="1:11" outlineLevel="1" x14ac:dyDescent="0.2">
      <c r="A2721" s="29"/>
      <c r="B2721" s="30" t="s">
        <v>66</v>
      </c>
      <c r="C2721" s="30" t="s">
        <v>617</v>
      </c>
      <c r="D2721" s="34" t="s">
        <v>764</v>
      </c>
      <c r="E2721" s="31">
        <v>0</v>
      </c>
      <c r="F2721" s="31">
        <v>5.45</v>
      </c>
      <c r="G2721" s="32">
        <f t="shared" si="441"/>
        <v>0</v>
      </c>
      <c r="H2721" s="33">
        <f t="shared" si="440"/>
        <v>0</v>
      </c>
      <c r="K2721" t="str">
        <f xml:space="preserve"> B2715 &amp; B2721</f>
        <v>Z000241001Z050103019</v>
      </c>
    </row>
    <row r="2722" spans="1:11" outlineLevel="1" x14ac:dyDescent="0.2">
      <c r="A2722" s="29"/>
      <c r="B2722" s="30" t="s">
        <v>1009</v>
      </c>
      <c r="C2722" s="30" t="s">
        <v>672</v>
      </c>
      <c r="D2722" s="34" t="s">
        <v>742</v>
      </c>
      <c r="E2722" s="31">
        <v>0</v>
      </c>
      <c r="F2722" s="31">
        <v>16.489999999999998</v>
      </c>
      <c r="G2722" s="32">
        <f t="shared" si="441"/>
        <v>0</v>
      </c>
      <c r="H2722" s="33">
        <f t="shared" si="440"/>
        <v>0</v>
      </c>
      <c r="K2722" t="str">
        <f xml:space="preserve"> B2715 &amp; B2722</f>
        <v>Z000241001Z040201013</v>
      </c>
    </row>
    <row r="2723" spans="1:11" outlineLevel="1" x14ac:dyDescent="0.2">
      <c r="A2723" s="29"/>
      <c r="B2723" s="30" t="s">
        <v>498</v>
      </c>
      <c r="C2723" s="30" t="s">
        <v>773</v>
      </c>
      <c r="D2723" s="34" t="s">
        <v>742</v>
      </c>
      <c r="E2723" s="31">
        <v>160.78800000000001</v>
      </c>
      <c r="F2723" s="31">
        <v>0</v>
      </c>
      <c r="G2723" s="32">
        <f t="shared" si="441"/>
        <v>0</v>
      </c>
      <c r="H2723" s="33">
        <f t="shared" ref="H2723:H2724" si="442">G2723/$F$2</f>
        <v>0</v>
      </c>
      <c r="K2723" t="str">
        <f xml:space="preserve"> B2715 &amp; B2723</f>
        <v>Z000241001Z040401001</v>
      </c>
    </row>
    <row r="2724" spans="1:11" outlineLevel="1" x14ac:dyDescent="0.2">
      <c r="A2724" s="29"/>
      <c r="B2724" s="30" t="s">
        <v>1636</v>
      </c>
      <c r="C2724" s="30" t="s">
        <v>2530</v>
      </c>
      <c r="D2724" s="34" t="s">
        <v>742</v>
      </c>
      <c r="E2724" s="31">
        <v>4.0197000000000003</v>
      </c>
      <c r="F2724" s="31">
        <v>33</v>
      </c>
      <c r="G2724" s="32">
        <f t="shared" si="441"/>
        <v>132.65010000000001</v>
      </c>
      <c r="H2724" s="33">
        <f t="shared" si="442"/>
        <v>6.8779751980429347E-7</v>
      </c>
      <c r="K2724" t="str">
        <f xml:space="preserve"> B2715 &amp; B2724</f>
        <v>Z000241001Z040303020</v>
      </c>
    </row>
    <row r="2725" spans="1:11" outlineLevel="1" x14ac:dyDescent="0.2">
      <c r="A2725" s="29"/>
      <c r="B2725" s="30" t="s">
        <v>1379</v>
      </c>
      <c r="C2725" s="30" t="s">
        <v>1626</v>
      </c>
      <c r="D2725" s="34" t="s">
        <v>742</v>
      </c>
      <c r="E2725" s="31">
        <v>2.6396030000000001</v>
      </c>
      <c r="F2725" s="31">
        <v>116.09</v>
      </c>
      <c r="G2725" s="32">
        <f t="shared" ref="G2725:G2726" si="443">F2725*E2725</f>
        <v>306.43151227000004</v>
      </c>
      <c r="H2725" s="33">
        <f t="shared" ref="H2725:H2736" si="444">G2725/$F$2</f>
        <v>1.5888629871306915E-6</v>
      </c>
      <c r="K2725" t="str">
        <f xml:space="preserve"> B2715 &amp; B2725</f>
        <v>Z000241001Z010303003</v>
      </c>
    </row>
    <row r="2726" spans="1:11" outlineLevel="1" x14ac:dyDescent="0.2">
      <c r="A2726" s="29"/>
      <c r="B2726" s="30" t="s">
        <v>547</v>
      </c>
      <c r="C2726" s="30" t="s">
        <v>2320</v>
      </c>
      <c r="D2726" s="34" t="s">
        <v>742</v>
      </c>
      <c r="E2726" s="31">
        <v>0</v>
      </c>
      <c r="F2726" s="31">
        <v>13.51</v>
      </c>
      <c r="G2726" s="32">
        <f t="shared" si="443"/>
        <v>0</v>
      </c>
      <c r="H2726" s="33">
        <f t="shared" si="444"/>
        <v>0</v>
      </c>
      <c r="K2726" t="str">
        <f xml:space="preserve"> B2715 &amp; B2726</f>
        <v>Z000241001Z040204001</v>
      </c>
    </row>
    <row r="2727" spans="1:11" outlineLevel="1" x14ac:dyDescent="0.2">
      <c r="A2727" s="11" t="s">
        <v>5268</v>
      </c>
      <c r="B2727" s="11" t="s">
        <v>213</v>
      </c>
      <c r="C2727" s="11" t="s">
        <v>4439</v>
      </c>
      <c r="D2727" s="12" t="s">
        <v>1781</v>
      </c>
      <c r="E2727" s="13">
        <v>176.17</v>
      </c>
      <c r="F2727" s="14">
        <v>58.619002379999998</v>
      </c>
      <c r="G2727" s="15">
        <f>SUM(G2728:G2737)</f>
        <v>10326.909649284598</v>
      </c>
      <c r="H2727" s="16">
        <f t="shared" si="444"/>
        <v>5.354555212563709E-5</v>
      </c>
    </row>
    <row r="2728" spans="1:11" outlineLevel="1" x14ac:dyDescent="0.2">
      <c r="A2728" s="29"/>
      <c r="B2728" s="30" t="s">
        <v>801</v>
      </c>
      <c r="C2728" s="30" t="s">
        <v>402</v>
      </c>
      <c r="D2728" s="34" t="s">
        <v>1781</v>
      </c>
      <c r="E2728" s="31">
        <v>0</v>
      </c>
      <c r="F2728" s="31">
        <v>10.3</v>
      </c>
      <c r="G2728" s="32">
        <f t="shared" ref="G2728:G2737" si="445">F2728*E2728</f>
        <v>0</v>
      </c>
      <c r="H2728" s="33">
        <f t="shared" si="444"/>
        <v>0</v>
      </c>
      <c r="K2728" t="str">
        <f xml:space="preserve"> B2727 &amp; B2728</f>
        <v>Z000241003Z040202006</v>
      </c>
    </row>
    <row r="2729" spans="1:11" outlineLevel="1" x14ac:dyDescent="0.2">
      <c r="A2729" s="29"/>
      <c r="B2729" s="30" t="s">
        <v>120</v>
      </c>
      <c r="C2729" s="30" t="s">
        <v>597</v>
      </c>
      <c r="D2729" s="34" t="s">
        <v>1052</v>
      </c>
      <c r="E2729" s="31">
        <v>0</v>
      </c>
      <c r="F2729" s="31">
        <v>1.52</v>
      </c>
      <c r="G2729" s="32">
        <f t="shared" si="445"/>
        <v>0</v>
      </c>
      <c r="H2729" s="33">
        <f t="shared" si="444"/>
        <v>0</v>
      </c>
      <c r="K2729" t="str">
        <f xml:space="preserve"> B2727 &amp; B2729</f>
        <v>Z000241003Z050103020</v>
      </c>
    </row>
    <row r="2730" spans="1:11" outlineLevel="1" x14ac:dyDescent="0.2">
      <c r="A2730" s="29"/>
      <c r="B2730" s="30" t="s">
        <v>1654</v>
      </c>
      <c r="C2730" s="30" t="s">
        <v>1551</v>
      </c>
      <c r="D2730" s="34" t="s">
        <v>151</v>
      </c>
      <c r="E2730" s="31">
        <v>85.213428999999991</v>
      </c>
      <c r="F2730" s="31">
        <v>0.7974</v>
      </c>
      <c r="G2730" s="32">
        <f t="shared" si="445"/>
        <v>67.949188284599998</v>
      </c>
      <c r="H2730" s="33">
        <f t="shared" si="444"/>
        <v>3.5231999956926407E-7</v>
      </c>
      <c r="K2730" t="str">
        <f xml:space="preserve"> B2727 &amp; B2730</f>
        <v>Z000241003Z010301001</v>
      </c>
    </row>
    <row r="2731" spans="1:11" outlineLevel="1" x14ac:dyDescent="0.2">
      <c r="A2731" s="29"/>
      <c r="B2731" s="30" t="s">
        <v>1258</v>
      </c>
      <c r="C2731" s="30" t="s">
        <v>1526</v>
      </c>
      <c r="D2731" s="34" t="s">
        <v>151</v>
      </c>
      <c r="E2731" s="31">
        <v>1.4269769999999997</v>
      </c>
      <c r="F2731" s="31">
        <v>148</v>
      </c>
      <c r="G2731" s="32">
        <f t="shared" si="445"/>
        <v>211.19259599999995</v>
      </c>
      <c r="H2731" s="33">
        <f t="shared" si="444"/>
        <v>1.0950443590304879E-6</v>
      </c>
      <c r="K2731" t="str">
        <f xml:space="preserve"> B2727 &amp; B2731</f>
        <v>Z000241003Z010304001</v>
      </c>
    </row>
    <row r="2732" spans="1:11" outlineLevel="1" x14ac:dyDescent="0.2">
      <c r="A2732" s="29"/>
      <c r="B2732" s="30" t="s">
        <v>1009</v>
      </c>
      <c r="C2732" s="30" t="s">
        <v>672</v>
      </c>
      <c r="D2732" s="34" t="s">
        <v>84</v>
      </c>
      <c r="E2732" s="31">
        <v>0</v>
      </c>
      <c r="F2732" s="31">
        <v>16.489999999999998</v>
      </c>
      <c r="G2732" s="32">
        <f t="shared" si="445"/>
        <v>0</v>
      </c>
      <c r="H2732" s="33">
        <f t="shared" si="444"/>
        <v>0</v>
      </c>
      <c r="K2732" t="str">
        <f xml:space="preserve"> B2727 &amp; B2732</f>
        <v>Z000241003Z040201013</v>
      </c>
    </row>
    <row r="2733" spans="1:11" outlineLevel="1" x14ac:dyDescent="0.2">
      <c r="A2733" s="29"/>
      <c r="B2733" s="30" t="s">
        <v>498</v>
      </c>
      <c r="C2733" s="30" t="s">
        <v>773</v>
      </c>
      <c r="D2733" s="34" t="s">
        <v>764</v>
      </c>
      <c r="E2733" s="31">
        <v>211.40399999999997</v>
      </c>
      <c r="F2733" s="31">
        <v>0</v>
      </c>
      <c r="G2733" s="32">
        <f t="shared" si="445"/>
        <v>0</v>
      </c>
      <c r="H2733" s="33">
        <f t="shared" si="444"/>
        <v>0</v>
      </c>
      <c r="K2733" t="str">
        <f xml:space="preserve"> B2727 &amp; B2733</f>
        <v>Z000241003Z040401001</v>
      </c>
    </row>
    <row r="2734" spans="1:11" outlineLevel="1" x14ac:dyDescent="0.2">
      <c r="A2734" s="29"/>
      <c r="B2734" s="30" t="s">
        <v>66</v>
      </c>
      <c r="C2734" s="30" t="s">
        <v>617</v>
      </c>
      <c r="D2734" s="34" t="s">
        <v>742</v>
      </c>
      <c r="E2734" s="31">
        <v>0</v>
      </c>
      <c r="F2734" s="31">
        <v>5.45</v>
      </c>
      <c r="G2734" s="32">
        <f t="shared" si="445"/>
        <v>0</v>
      </c>
      <c r="H2734" s="33">
        <f t="shared" si="444"/>
        <v>0</v>
      </c>
      <c r="K2734" t="str">
        <f xml:space="preserve"> B2727 &amp; B2734</f>
        <v>Z000241003Z050103019</v>
      </c>
    </row>
    <row r="2735" spans="1:11" outlineLevel="1" x14ac:dyDescent="0.2">
      <c r="A2735" s="29"/>
      <c r="B2735" s="30" t="s">
        <v>1271</v>
      </c>
      <c r="C2735" s="30" t="s">
        <v>4447</v>
      </c>
      <c r="D2735" s="34" t="s">
        <v>742</v>
      </c>
      <c r="E2735" s="31">
        <v>176.17</v>
      </c>
      <c r="F2735" s="31">
        <v>30</v>
      </c>
      <c r="G2735" s="32">
        <f t="shared" si="445"/>
        <v>5285.0999999999995</v>
      </c>
      <c r="H2735" s="33">
        <f t="shared" si="444"/>
        <v>2.7403512488250451E-5</v>
      </c>
      <c r="K2735" t="str">
        <f xml:space="preserve"> B2727 &amp; B2735</f>
        <v>Z000241003Z040314014</v>
      </c>
    </row>
    <row r="2736" spans="1:11" outlineLevel="1" x14ac:dyDescent="0.2">
      <c r="A2736" s="29"/>
      <c r="B2736" s="30" t="s">
        <v>547</v>
      </c>
      <c r="C2736" s="30" t="s">
        <v>2320</v>
      </c>
      <c r="D2736" s="34" t="s">
        <v>742</v>
      </c>
      <c r="E2736" s="31">
        <v>0</v>
      </c>
      <c r="F2736" s="31">
        <v>13.51</v>
      </c>
      <c r="G2736" s="32">
        <f t="shared" si="445"/>
        <v>0</v>
      </c>
      <c r="H2736" s="33">
        <f t="shared" si="444"/>
        <v>0</v>
      </c>
      <c r="K2736" t="str">
        <f xml:space="preserve"> B2727 &amp; B2736</f>
        <v>Z000241003Z040204001</v>
      </c>
    </row>
    <row r="2737" spans="1:11" outlineLevel="1" x14ac:dyDescent="0.2">
      <c r="A2737" s="29"/>
      <c r="B2737" s="30" t="s">
        <v>173</v>
      </c>
      <c r="C2737" s="30" t="s">
        <v>4441</v>
      </c>
      <c r="D2737" s="34" t="s">
        <v>742</v>
      </c>
      <c r="E2737" s="31">
        <v>177.05084999999997</v>
      </c>
      <c r="F2737" s="31">
        <v>26.9</v>
      </c>
      <c r="G2737" s="32">
        <f t="shared" si="445"/>
        <v>4762.6678649999985</v>
      </c>
      <c r="H2737" s="33">
        <f t="shared" ref="H2737:H2743" si="446">G2737/$F$2</f>
        <v>2.4694675278786889E-5</v>
      </c>
      <c r="K2737" t="str">
        <f xml:space="preserve"> B2727 &amp; B2737</f>
        <v>Z000241003Z010706001</v>
      </c>
    </row>
    <row r="2738" spans="1:11" outlineLevel="1" x14ac:dyDescent="0.2">
      <c r="A2738" s="11" t="s">
        <v>5314</v>
      </c>
      <c r="B2738" s="11" t="s">
        <v>218</v>
      </c>
      <c r="C2738" s="11" t="s">
        <v>740</v>
      </c>
      <c r="D2738" s="12" t="s">
        <v>1781</v>
      </c>
      <c r="E2738" s="13">
        <v>176.17</v>
      </c>
      <c r="F2738" s="14">
        <v>5.6545184099999997</v>
      </c>
      <c r="G2738" s="15">
        <f>SUM(G2739:G2743)</f>
        <v>996.1565082896999</v>
      </c>
      <c r="H2738" s="16">
        <f t="shared" si="446"/>
        <v>5.1651221954492358E-6</v>
      </c>
    </row>
    <row r="2739" spans="1:11" outlineLevel="1" x14ac:dyDescent="0.2">
      <c r="A2739" s="29"/>
      <c r="B2739" s="30" t="s">
        <v>844</v>
      </c>
      <c r="C2739" s="30" t="s">
        <v>4451</v>
      </c>
      <c r="D2739" s="34" t="s">
        <v>1781</v>
      </c>
      <c r="E2739" s="31">
        <v>7.5224589999999996</v>
      </c>
      <c r="F2739" s="31">
        <v>15.3283</v>
      </c>
      <c r="G2739" s="32">
        <f t="shared" ref="G2739:G2743" si="447">F2739*E2739</f>
        <v>115.30650828969999</v>
      </c>
      <c r="H2739" s="33">
        <f t="shared" si="446"/>
        <v>5.9787011407416095E-7</v>
      </c>
      <c r="K2739" t="str">
        <f xml:space="preserve"> B2738 &amp; B2739</f>
        <v>Z000241004Z020504004</v>
      </c>
    </row>
    <row r="2740" spans="1:11" outlineLevel="1" x14ac:dyDescent="0.2">
      <c r="A2740" s="29"/>
      <c r="B2740" s="30" t="s">
        <v>1010</v>
      </c>
      <c r="C2740" s="30" t="s">
        <v>1140</v>
      </c>
      <c r="D2740" s="34" t="s">
        <v>1052</v>
      </c>
      <c r="E2740" s="31">
        <v>0</v>
      </c>
      <c r="F2740" s="31">
        <v>35</v>
      </c>
      <c r="G2740" s="32">
        <f t="shared" si="447"/>
        <v>0</v>
      </c>
      <c r="H2740" s="33">
        <f t="shared" si="446"/>
        <v>0</v>
      </c>
      <c r="K2740" t="str">
        <f xml:space="preserve"> B2738 &amp; B2740</f>
        <v>Z000241004Z040201014</v>
      </c>
    </row>
    <row r="2741" spans="1:11" outlineLevel="1" x14ac:dyDescent="0.2">
      <c r="A2741" s="29"/>
      <c r="B2741" s="30" t="s">
        <v>498</v>
      </c>
      <c r="C2741" s="30" t="s">
        <v>773</v>
      </c>
      <c r="D2741" s="34" t="s">
        <v>151</v>
      </c>
      <c r="E2741" s="31">
        <v>211.40399999999997</v>
      </c>
      <c r="F2741" s="31">
        <v>0</v>
      </c>
      <c r="G2741" s="32">
        <f t="shared" si="447"/>
        <v>0</v>
      </c>
      <c r="H2741" s="33">
        <f t="shared" si="446"/>
        <v>0</v>
      </c>
      <c r="K2741" t="str">
        <f xml:space="preserve"> B2738 &amp; B2741</f>
        <v>Z000241004Z040401001</v>
      </c>
    </row>
    <row r="2742" spans="1:11" outlineLevel="1" x14ac:dyDescent="0.2">
      <c r="A2742" s="29"/>
      <c r="B2742" s="30" t="s">
        <v>702</v>
      </c>
      <c r="C2742" s="30" t="s">
        <v>1793</v>
      </c>
      <c r="D2742" s="34" t="s">
        <v>151</v>
      </c>
      <c r="E2742" s="31">
        <v>176.17</v>
      </c>
      <c r="F2742" s="31">
        <v>5</v>
      </c>
      <c r="G2742" s="32">
        <f t="shared" si="447"/>
        <v>880.84999999999991</v>
      </c>
      <c r="H2742" s="33">
        <f t="shared" si="446"/>
        <v>4.5672520813750751E-6</v>
      </c>
      <c r="K2742" t="str">
        <f xml:space="preserve"> B2738 &amp; B2742</f>
        <v>Z000241004Z040309009</v>
      </c>
    </row>
    <row r="2743" spans="1:11" outlineLevel="1" x14ac:dyDescent="0.2">
      <c r="A2743" s="29"/>
      <c r="B2743" s="30" t="s">
        <v>801</v>
      </c>
      <c r="C2743" s="30" t="s">
        <v>402</v>
      </c>
      <c r="D2743" s="34" t="s">
        <v>84</v>
      </c>
      <c r="E2743" s="31">
        <v>0</v>
      </c>
      <c r="F2743" s="31">
        <v>10.3</v>
      </c>
      <c r="G2743" s="32">
        <f t="shared" si="447"/>
        <v>0</v>
      </c>
      <c r="H2743" s="33">
        <f t="shared" si="446"/>
        <v>0</v>
      </c>
      <c r="K2743" t="str">
        <f xml:space="preserve"> B2738 &amp; B2743</f>
        <v>Z000241004Z040202006</v>
      </c>
    </row>
    <row r="2744" spans="1:11" ht="15" x14ac:dyDescent="0.2">
      <c r="A2744" s="17" t="s">
        <v>2092</v>
      </c>
      <c r="B2744" s="17" t="s">
        <v>328</v>
      </c>
      <c r="C2744" s="17" t="s">
        <v>246</v>
      </c>
      <c r="D2744" s="18"/>
      <c r="E2744" s="19"/>
      <c r="F2744" s="20"/>
      <c r="G2744" s="21">
        <f>SUM(G2745,G2764,G2804,G2818,G2827,G2838,G2852,G2858,G2864)</f>
        <v>904044.07779583405</v>
      </c>
      <c r="H2744" s="22">
        <f t="shared" si="428"/>
        <v>4.6875145552226077E-3</v>
      </c>
    </row>
    <row r="2745" spans="1:11" outlineLevel="1" x14ac:dyDescent="0.2">
      <c r="A2745" s="11" t="s">
        <v>650</v>
      </c>
      <c r="B2745" s="11" t="s">
        <v>1552</v>
      </c>
      <c r="C2745" s="11" t="s">
        <v>4531</v>
      </c>
      <c r="D2745" s="12" t="s">
        <v>153</v>
      </c>
      <c r="E2745" s="13">
        <v>419.05</v>
      </c>
      <c r="F2745" s="14">
        <v>118.16983286000001</v>
      </c>
      <c r="G2745" s="15">
        <f>SUM(G2746:G2763)</f>
        <v>49519.068459983006</v>
      </c>
      <c r="H2745" s="16">
        <f t="shared" si="428"/>
        <v>2.567588902669152E-4</v>
      </c>
    </row>
    <row r="2746" spans="1:11" outlineLevel="1" x14ac:dyDescent="0.2">
      <c r="A2746" s="29"/>
      <c r="B2746" s="30" t="s">
        <v>98</v>
      </c>
      <c r="C2746" s="30" t="s">
        <v>667</v>
      </c>
      <c r="D2746" s="34" t="s">
        <v>1052</v>
      </c>
      <c r="E2746" s="31">
        <v>149.139895</v>
      </c>
      <c r="F2746" s="31">
        <v>5.9442000000000004</v>
      </c>
      <c r="G2746" s="32">
        <f t="shared" ref="G2746:G2763" si="448">F2746*E2746</f>
        <v>886.51736385900006</v>
      </c>
      <c r="H2746" s="33">
        <f t="shared" si="428"/>
        <v>4.5966376514277835E-6</v>
      </c>
      <c r="K2746" t="str">
        <f xml:space="preserve"> B2745 &amp; B2746</f>
        <v>Z000246001Z010101001</v>
      </c>
    </row>
    <row r="2747" spans="1:11" outlineLevel="1" x14ac:dyDescent="0.2">
      <c r="A2747" s="29"/>
      <c r="B2747" s="30" t="s">
        <v>107</v>
      </c>
      <c r="C2747" s="30" t="s">
        <v>564</v>
      </c>
      <c r="D2747" s="34" t="s">
        <v>1052</v>
      </c>
      <c r="E2747" s="31">
        <v>318.39419000000004</v>
      </c>
      <c r="F2747" s="31">
        <v>6.1578999999999997</v>
      </c>
      <c r="G2747" s="32">
        <f t="shared" si="448"/>
        <v>1960.639582601</v>
      </c>
      <c r="H2747" s="33">
        <f t="shared" si="428"/>
        <v>1.0166016023682553E-5</v>
      </c>
      <c r="K2747" t="str">
        <f xml:space="preserve"> B2745 &amp; B2747</f>
        <v>Z000246001Z010101004</v>
      </c>
    </row>
    <row r="2748" spans="1:11" outlineLevel="1" x14ac:dyDescent="0.2">
      <c r="A2748" s="29"/>
      <c r="B2748" s="30" t="s">
        <v>110</v>
      </c>
      <c r="C2748" s="30" t="s">
        <v>1544</v>
      </c>
      <c r="D2748" s="34" t="s">
        <v>1052</v>
      </c>
      <c r="E2748" s="31">
        <v>1246.5899400000001</v>
      </c>
      <c r="F2748" s="31">
        <v>5.9786000000000001</v>
      </c>
      <c r="G2748" s="32">
        <f t="shared" si="448"/>
        <v>7452.8626152840006</v>
      </c>
      <c r="H2748" s="33">
        <f t="shared" si="428"/>
        <v>3.8643471978042054E-5</v>
      </c>
      <c r="K2748" t="str">
        <f xml:space="preserve"> B2745 &amp; B2748</f>
        <v>Z000246001Z010101005</v>
      </c>
    </row>
    <row r="2749" spans="1:11" outlineLevel="1" x14ac:dyDescent="0.2">
      <c r="A2749" s="29"/>
      <c r="B2749" s="30" t="s">
        <v>1561</v>
      </c>
      <c r="C2749" s="30" t="s">
        <v>1939</v>
      </c>
      <c r="D2749" s="34" t="s">
        <v>1052</v>
      </c>
      <c r="E2749" s="31">
        <v>34.110669999999999</v>
      </c>
      <c r="F2749" s="31">
        <v>9.8886000000000003</v>
      </c>
      <c r="G2749" s="32">
        <f t="shared" si="448"/>
        <v>337.30677136200001</v>
      </c>
      <c r="H2749" s="33">
        <f t="shared" si="428"/>
        <v>1.7489527769370509E-6</v>
      </c>
      <c r="K2749" t="str">
        <f xml:space="preserve"> B2745 &amp; B2749</f>
        <v>Z000246001Z010105001</v>
      </c>
    </row>
    <row r="2750" spans="1:11" outlineLevel="1" x14ac:dyDescent="0.2">
      <c r="A2750" s="29"/>
      <c r="B2750" s="30" t="s">
        <v>1654</v>
      </c>
      <c r="C2750" s="30" t="s">
        <v>1551</v>
      </c>
      <c r="D2750" s="34" t="s">
        <v>1052</v>
      </c>
      <c r="E2750" s="31">
        <v>9864.0598550000013</v>
      </c>
      <c r="F2750" s="31">
        <v>0.7974</v>
      </c>
      <c r="G2750" s="32">
        <f t="shared" si="448"/>
        <v>7865.6013283770008</v>
      </c>
      <c r="H2750" s="33">
        <f t="shared" si="428"/>
        <v>4.0783543212007059E-5</v>
      </c>
      <c r="K2750" t="str">
        <f xml:space="preserve"> B2745 &amp; B2750</f>
        <v>Z000246001Z010301001</v>
      </c>
    </row>
    <row r="2751" spans="1:11" outlineLevel="1" x14ac:dyDescent="0.2">
      <c r="A2751" s="29"/>
      <c r="B2751" s="30" t="s">
        <v>1379</v>
      </c>
      <c r="C2751" s="30" t="s">
        <v>1626</v>
      </c>
      <c r="D2751" s="34" t="s">
        <v>1153</v>
      </c>
      <c r="E2751" s="31">
        <v>16.133424999999999</v>
      </c>
      <c r="F2751" s="31">
        <v>116.09</v>
      </c>
      <c r="G2751" s="32">
        <f t="shared" si="448"/>
        <v>1872.9293082499998</v>
      </c>
      <c r="H2751" s="33">
        <f t="shared" si="428"/>
        <v>9.7112337871069906E-6</v>
      </c>
      <c r="K2751" t="str">
        <f xml:space="preserve"> B2745 &amp; B2751</f>
        <v>Z000246001Z010303003</v>
      </c>
    </row>
    <row r="2752" spans="1:11" outlineLevel="1" x14ac:dyDescent="0.2">
      <c r="A2752" s="29"/>
      <c r="B2752" s="30" t="s">
        <v>1258</v>
      </c>
      <c r="C2752" s="30" t="s">
        <v>1526</v>
      </c>
      <c r="D2752" s="34" t="s">
        <v>1153</v>
      </c>
      <c r="E2752" s="31">
        <v>19.653444999999998</v>
      </c>
      <c r="F2752" s="31">
        <v>148</v>
      </c>
      <c r="G2752" s="32">
        <f t="shared" si="448"/>
        <v>2908.7098599999995</v>
      </c>
      <c r="H2752" s="33">
        <f t="shared" si="428"/>
        <v>1.5081808664586708E-5</v>
      </c>
      <c r="K2752" t="str">
        <f xml:space="preserve"> B2745 &amp; B2752</f>
        <v>Z000246001Z010304001</v>
      </c>
    </row>
    <row r="2753" spans="1:11" outlineLevel="1" x14ac:dyDescent="0.2">
      <c r="A2753" s="29"/>
      <c r="B2753" s="30" t="s">
        <v>1371</v>
      </c>
      <c r="C2753" s="30" t="s">
        <v>2406</v>
      </c>
      <c r="D2753" s="34" t="s">
        <v>1781</v>
      </c>
      <c r="E2753" s="31">
        <v>803.82170999999994</v>
      </c>
      <c r="F2753" s="31">
        <v>0.22</v>
      </c>
      <c r="G2753" s="32">
        <f t="shared" si="448"/>
        <v>176.84077619999999</v>
      </c>
      <c r="H2753" s="33">
        <f t="shared" si="428"/>
        <v>9.1692842501156141E-7</v>
      </c>
      <c r="K2753" t="str">
        <f xml:space="preserve"> B2745 &amp; B2753</f>
        <v>Z000246001Z030107001</v>
      </c>
    </row>
    <row r="2754" spans="1:11" outlineLevel="1" x14ac:dyDescent="0.2">
      <c r="A2754" s="29"/>
      <c r="B2754" s="30" t="s">
        <v>935</v>
      </c>
      <c r="C2754" s="30" t="s">
        <v>1352</v>
      </c>
      <c r="D2754" s="34" t="s">
        <v>151</v>
      </c>
      <c r="E2754" s="31">
        <v>0</v>
      </c>
      <c r="F2754" s="31">
        <v>15.1457</v>
      </c>
      <c r="G2754" s="32">
        <f t="shared" si="448"/>
        <v>0</v>
      </c>
      <c r="H2754" s="33">
        <f t="shared" ref="H2754:H2817" si="449">G2754/$F$2</f>
        <v>0</v>
      </c>
      <c r="K2754" t="str">
        <f xml:space="preserve"> B2745 &amp; B2754</f>
        <v>Z000246001Z040201001</v>
      </c>
    </row>
    <row r="2755" spans="1:11" outlineLevel="1" x14ac:dyDescent="0.2">
      <c r="A2755" s="29"/>
      <c r="B2755" s="30" t="s">
        <v>792</v>
      </c>
      <c r="C2755" s="30" t="s">
        <v>335</v>
      </c>
      <c r="D2755" s="34" t="s">
        <v>151</v>
      </c>
      <c r="E2755" s="31">
        <v>0</v>
      </c>
      <c r="F2755" s="31">
        <v>11.1343</v>
      </c>
      <c r="G2755" s="32">
        <f t="shared" si="448"/>
        <v>0</v>
      </c>
      <c r="H2755" s="33">
        <f t="shared" si="449"/>
        <v>0</v>
      </c>
      <c r="K2755" t="str">
        <f xml:space="preserve"> B2745 &amp; B2755</f>
        <v>Z000246001Z040202001</v>
      </c>
    </row>
    <row r="2756" spans="1:11" outlineLevel="1" x14ac:dyDescent="0.2">
      <c r="A2756" s="29"/>
      <c r="B2756" s="30" t="s">
        <v>801</v>
      </c>
      <c r="C2756" s="30" t="s">
        <v>402</v>
      </c>
      <c r="D2756" s="34" t="s">
        <v>151</v>
      </c>
      <c r="E2756" s="31">
        <v>0</v>
      </c>
      <c r="F2756" s="31">
        <v>10.3</v>
      </c>
      <c r="G2756" s="32">
        <f t="shared" si="448"/>
        <v>0</v>
      </c>
      <c r="H2756" s="33">
        <f t="shared" si="449"/>
        <v>0</v>
      </c>
      <c r="K2756" t="str">
        <f xml:space="preserve"> B2745 &amp; B2756</f>
        <v>Z000246001Z040202006</v>
      </c>
    </row>
    <row r="2757" spans="1:11" outlineLevel="1" x14ac:dyDescent="0.2">
      <c r="A2757" s="29"/>
      <c r="B2757" s="30" t="s">
        <v>547</v>
      </c>
      <c r="C2757" s="30" t="s">
        <v>2320</v>
      </c>
      <c r="D2757" s="34" t="s">
        <v>151</v>
      </c>
      <c r="E2757" s="31">
        <v>0</v>
      </c>
      <c r="F2757" s="31">
        <v>13.51</v>
      </c>
      <c r="G2757" s="32">
        <f t="shared" si="448"/>
        <v>0</v>
      </c>
      <c r="H2757" s="33">
        <f t="shared" si="449"/>
        <v>0</v>
      </c>
      <c r="K2757" t="str">
        <f xml:space="preserve"> B2745 &amp; B2757</f>
        <v>Z000246001Z040204001</v>
      </c>
    </row>
    <row r="2758" spans="1:11" outlineLevel="1" x14ac:dyDescent="0.2">
      <c r="A2758" s="29"/>
      <c r="B2758" s="30" t="s">
        <v>1639</v>
      </c>
      <c r="C2758" s="30" t="s">
        <v>1972</v>
      </c>
      <c r="D2758" s="34" t="s">
        <v>153</v>
      </c>
      <c r="E2758" s="31">
        <v>326.85900000000004</v>
      </c>
      <c r="F2758" s="31">
        <v>62.658299999999997</v>
      </c>
      <c r="G2758" s="32">
        <f t="shared" si="448"/>
        <v>20480.429279700002</v>
      </c>
      <c r="H2758" s="33">
        <f t="shared" si="449"/>
        <v>1.0619206817865115E-4</v>
      </c>
      <c r="K2758" t="str">
        <f xml:space="preserve"> B2745 &amp; B2758</f>
        <v>Z000246001Z040302004</v>
      </c>
    </row>
    <row r="2759" spans="1:11" outlineLevel="1" x14ac:dyDescent="0.2">
      <c r="A2759" s="29"/>
      <c r="B2759" s="30" t="s">
        <v>1489</v>
      </c>
      <c r="C2759" s="30" t="s">
        <v>250</v>
      </c>
      <c r="D2759" s="34" t="s">
        <v>1052</v>
      </c>
      <c r="E2759" s="31">
        <v>1705.575405</v>
      </c>
      <c r="F2759" s="31">
        <v>0.87</v>
      </c>
      <c r="G2759" s="32">
        <f t="shared" si="448"/>
        <v>1483.8506023500001</v>
      </c>
      <c r="H2759" s="33">
        <f t="shared" si="449"/>
        <v>7.6938408946275729E-6</v>
      </c>
      <c r="K2759" t="str">
        <f xml:space="preserve"> B2745 &amp; B2759</f>
        <v>Z000246001Z040303002</v>
      </c>
    </row>
    <row r="2760" spans="1:11" outlineLevel="1" x14ac:dyDescent="0.2">
      <c r="A2760" s="29"/>
      <c r="B2760" s="30" t="s">
        <v>1550</v>
      </c>
      <c r="C2760" s="30" t="s">
        <v>1200</v>
      </c>
      <c r="D2760" s="34" t="s">
        <v>1052</v>
      </c>
      <c r="E2760" s="31">
        <v>1705.575405</v>
      </c>
      <c r="F2760" s="31">
        <v>2.4</v>
      </c>
      <c r="G2760" s="32">
        <f t="shared" si="448"/>
        <v>4093.3809719999999</v>
      </c>
      <c r="H2760" s="33">
        <f t="shared" si="449"/>
        <v>2.1224388674834683E-5</v>
      </c>
      <c r="K2760" t="str">
        <f xml:space="preserve"> B2745 &amp; B2760</f>
        <v>Z000246001Z040303011</v>
      </c>
    </row>
    <row r="2761" spans="1:11" outlineLevel="1" x14ac:dyDescent="0.2">
      <c r="A2761" s="29"/>
      <c r="B2761" s="30" t="s">
        <v>498</v>
      </c>
      <c r="C2761" s="30" t="s">
        <v>773</v>
      </c>
      <c r="D2761" s="34" t="s">
        <v>84</v>
      </c>
      <c r="E2761" s="31">
        <v>502.86</v>
      </c>
      <c r="F2761" s="31">
        <v>0</v>
      </c>
      <c r="G2761" s="32">
        <f t="shared" si="448"/>
        <v>0</v>
      </c>
      <c r="H2761" s="33">
        <f t="shared" si="449"/>
        <v>0</v>
      </c>
      <c r="K2761" t="str">
        <f xml:space="preserve"> B2745 &amp; B2761</f>
        <v>Z000246001Z040401001</v>
      </c>
    </row>
    <row r="2762" spans="1:11" outlineLevel="1" x14ac:dyDescent="0.2">
      <c r="A2762" s="29"/>
      <c r="B2762" s="30" t="s">
        <v>66</v>
      </c>
      <c r="C2762" s="30" t="s">
        <v>617</v>
      </c>
      <c r="D2762" s="34" t="s">
        <v>764</v>
      </c>
      <c r="E2762" s="31">
        <v>0</v>
      </c>
      <c r="F2762" s="31">
        <v>5.45</v>
      </c>
      <c r="G2762" s="32">
        <f t="shared" si="448"/>
        <v>0</v>
      </c>
      <c r="H2762" s="33">
        <f t="shared" si="449"/>
        <v>0</v>
      </c>
      <c r="K2762" t="str">
        <f xml:space="preserve"> B2745 &amp; B2762</f>
        <v>Z000246001Z050103019</v>
      </c>
    </row>
    <row r="2763" spans="1:11" outlineLevel="1" x14ac:dyDescent="0.2">
      <c r="A2763" s="29"/>
      <c r="B2763" s="30" t="s">
        <v>120</v>
      </c>
      <c r="C2763" s="30" t="s">
        <v>597</v>
      </c>
      <c r="D2763" s="34" t="s">
        <v>742</v>
      </c>
      <c r="E2763" s="31">
        <v>0</v>
      </c>
      <c r="F2763" s="31">
        <v>1.52</v>
      </c>
      <c r="G2763" s="32">
        <f t="shared" si="448"/>
        <v>0</v>
      </c>
      <c r="H2763" s="33">
        <f t="shared" si="449"/>
        <v>0</v>
      </c>
      <c r="K2763" t="str">
        <f xml:space="preserve"> B2745 &amp; B2763</f>
        <v>Z000246001Z050103020</v>
      </c>
    </row>
    <row r="2764" spans="1:11" outlineLevel="1" x14ac:dyDescent="0.2">
      <c r="A2764" s="11" t="s">
        <v>653</v>
      </c>
      <c r="B2764" s="11" t="s">
        <v>1554</v>
      </c>
      <c r="C2764" s="11" t="s">
        <v>4550</v>
      </c>
      <c r="D2764" s="12" t="s">
        <v>153</v>
      </c>
      <c r="E2764" s="13">
        <v>419.05</v>
      </c>
      <c r="F2764" s="14">
        <v>307.87380129999997</v>
      </c>
      <c r="G2764" s="15">
        <f>SUM(G2765:G2803)</f>
        <v>129014.516434765</v>
      </c>
      <c r="H2764" s="16">
        <f t="shared" si="449"/>
        <v>6.6894683398340167E-4</v>
      </c>
    </row>
    <row r="2765" spans="1:11" outlineLevel="1" x14ac:dyDescent="0.2">
      <c r="A2765" s="29"/>
      <c r="B2765" s="30" t="s">
        <v>98</v>
      </c>
      <c r="C2765" s="30" t="s">
        <v>667</v>
      </c>
      <c r="D2765" s="34" t="s">
        <v>1052</v>
      </c>
      <c r="E2765" s="31">
        <v>635.02837</v>
      </c>
      <c r="F2765" s="31">
        <v>5.9442000000000004</v>
      </c>
      <c r="G2765" s="32">
        <f t="shared" ref="G2765:G2803" si="450">F2765*E2765</f>
        <v>3774.7356369540003</v>
      </c>
      <c r="H2765" s="33">
        <f t="shared" si="449"/>
        <v>1.9572196394980789E-5</v>
      </c>
      <c r="K2765" t="str">
        <f xml:space="preserve"> B2764 &amp; B2765</f>
        <v>Z000246002Z010101001</v>
      </c>
    </row>
    <row r="2766" spans="1:11" outlineLevel="1" x14ac:dyDescent="0.2">
      <c r="A2766" s="29"/>
      <c r="B2766" s="30" t="s">
        <v>105</v>
      </c>
      <c r="C2766" s="30" t="s">
        <v>707</v>
      </c>
      <c r="D2766" s="34" t="s">
        <v>1052</v>
      </c>
      <c r="E2766" s="31">
        <v>648.68940000000009</v>
      </c>
      <c r="F2766" s="31">
        <v>5.5869</v>
      </c>
      <c r="G2766" s="32">
        <f t="shared" si="450"/>
        <v>3624.1628088600005</v>
      </c>
      <c r="H2766" s="33">
        <f t="shared" si="449"/>
        <v>1.8791468617821397E-5</v>
      </c>
      <c r="K2766" t="str">
        <f xml:space="preserve"> B2764 &amp; B2766</f>
        <v>Z000246002Z010101003</v>
      </c>
    </row>
    <row r="2767" spans="1:11" outlineLevel="1" x14ac:dyDescent="0.2">
      <c r="A2767" s="29"/>
      <c r="B2767" s="30" t="s">
        <v>107</v>
      </c>
      <c r="C2767" s="30" t="s">
        <v>564</v>
      </c>
      <c r="D2767" s="34" t="s">
        <v>1052</v>
      </c>
      <c r="E2767" s="31">
        <v>2203.9515700000002</v>
      </c>
      <c r="F2767" s="31">
        <v>6.1578999999999997</v>
      </c>
      <c r="G2767" s="32">
        <f t="shared" si="450"/>
        <v>13571.713372903001</v>
      </c>
      <c r="H2767" s="33">
        <f t="shared" si="449"/>
        <v>7.0370024578778661E-5</v>
      </c>
      <c r="K2767" t="str">
        <f xml:space="preserve"> B2764 &amp; B2767</f>
        <v>Z000246002Z010101004</v>
      </c>
    </row>
    <row r="2768" spans="1:11" outlineLevel="1" x14ac:dyDescent="0.2">
      <c r="A2768" s="29"/>
      <c r="B2768" s="30" t="s">
        <v>1561</v>
      </c>
      <c r="C2768" s="30" t="s">
        <v>1939</v>
      </c>
      <c r="D2768" s="34" t="s">
        <v>1052</v>
      </c>
      <c r="E2768" s="31">
        <v>86.743349999999992</v>
      </c>
      <c r="F2768" s="31">
        <v>9.8886000000000003</v>
      </c>
      <c r="G2768" s="32">
        <f t="shared" si="450"/>
        <v>857.77029081000001</v>
      </c>
      <c r="H2768" s="33">
        <f t="shared" si="449"/>
        <v>4.4475826145696502E-6</v>
      </c>
      <c r="K2768" t="str">
        <f xml:space="preserve"> B2764 &amp; B2768</f>
        <v>Z000246002Z010105001</v>
      </c>
    </row>
    <row r="2769" spans="1:11" outlineLevel="1" x14ac:dyDescent="0.2">
      <c r="A2769" s="29"/>
      <c r="B2769" s="30" t="s">
        <v>1043</v>
      </c>
      <c r="C2769" s="30" t="s">
        <v>1497</v>
      </c>
      <c r="D2769" s="34" t="s">
        <v>1052</v>
      </c>
      <c r="E2769" s="31">
        <v>3.8133550000000005</v>
      </c>
      <c r="F2769" s="31">
        <v>12.1</v>
      </c>
      <c r="G2769" s="32">
        <f t="shared" si="450"/>
        <v>46.141595500000001</v>
      </c>
      <c r="H2769" s="33">
        <f t="shared" si="449"/>
        <v>2.3924652107094489E-7</v>
      </c>
      <c r="K2769" t="str">
        <f xml:space="preserve"> B2764 &amp; B2769</f>
        <v>Z000246002Z010109003</v>
      </c>
    </row>
    <row r="2770" spans="1:11" outlineLevel="1" x14ac:dyDescent="0.2">
      <c r="A2770" s="29"/>
      <c r="B2770" s="30" t="s">
        <v>1051</v>
      </c>
      <c r="C2770" s="30" t="s">
        <v>1130</v>
      </c>
      <c r="D2770" s="34" t="s">
        <v>1052</v>
      </c>
      <c r="E2770" s="31">
        <v>18.01915</v>
      </c>
      <c r="F2770" s="31">
        <v>11.57</v>
      </c>
      <c r="G2770" s="32">
        <f t="shared" si="450"/>
        <v>208.48156550000002</v>
      </c>
      <c r="H2770" s="33">
        <f t="shared" si="449"/>
        <v>1.0809875279085079E-6</v>
      </c>
      <c r="K2770" t="str">
        <f xml:space="preserve"> B2764 &amp; B2770</f>
        <v>Z000246002Z010109005</v>
      </c>
    </row>
    <row r="2771" spans="1:11" outlineLevel="1" x14ac:dyDescent="0.2">
      <c r="A2771" s="29"/>
      <c r="B2771" s="30" t="s">
        <v>1065</v>
      </c>
      <c r="C2771" s="30" t="s">
        <v>1026</v>
      </c>
      <c r="D2771" s="34" t="s">
        <v>1052</v>
      </c>
      <c r="E2771" s="31">
        <v>9.4705300000000001</v>
      </c>
      <c r="F2771" s="31">
        <v>14.2</v>
      </c>
      <c r="G2771" s="32">
        <f t="shared" si="450"/>
        <v>134.481526</v>
      </c>
      <c r="H2771" s="33">
        <f t="shared" si="449"/>
        <v>6.9729355682578915E-7</v>
      </c>
      <c r="K2771" t="str">
        <f xml:space="preserve"> B2764 &amp; B2771</f>
        <v>Z000246002Z010109008</v>
      </c>
    </row>
    <row r="2772" spans="1:11" outlineLevel="1" x14ac:dyDescent="0.2">
      <c r="A2772" s="29"/>
      <c r="B2772" s="30" t="s">
        <v>1654</v>
      </c>
      <c r="C2772" s="30" t="s">
        <v>1551</v>
      </c>
      <c r="D2772" s="34" t="s">
        <v>1052</v>
      </c>
      <c r="E2772" s="31">
        <v>1967.8588</v>
      </c>
      <c r="F2772" s="31">
        <v>0.7974</v>
      </c>
      <c r="G2772" s="32">
        <f t="shared" si="450"/>
        <v>1569.1706071199999</v>
      </c>
      <c r="H2772" s="33">
        <f t="shared" si="449"/>
        <v>8.1362294617714829E-6</v>
      </c>
      <c r="K2772" t="str">
        <f xml:space="preserve"> B2764 &amp; B2772</f>
        <v>Z000246002Z010301001</v>
      </c>
    </row>
    <row r="2773" spans="1:11" outlineLevel="1" x14ac:dyDescent="0.2">
      <c r="A2773" s="29"/>
      <c r="B2773" s="30" t="s">
        <v>1379</v>
      </c>
      <c r="C2773" s="30" t="s">
        <v>1626</v>
      </c>
      <c r="D2773" s="34" t="s">
        <v>1153</v>
      </c>
      <c r="E2773" s="31">
        <v>5.3638400000000006</v>
      </c>
      <c r="F2773" s="31">
        <v>116.09</v>
      </c>
      <c r="G2773" s="32">
        <f t="shared" si="450"/>
        <v>622.68818560000011</v>
      </c>
      <c r="H2773" s="33">
        <f t="shared" si="449"/>
        <v>3.2286699344147921E-6</v>
      </c>
      <c r="K2773" t="str">
        <f xml:space="preserve"> B2764 &amp; B2773</f>
        <v>Z000246002Z010303003</v>
      </c>
    </row>
    <row r="2774" spans="1:11" outlineLevel="1" x14ac:dyDescent="0.2">
      <c r="A2774" s="29"/>
      <c r="B2774" s="30" t="s">
        <v>1258</v>
      </c>
      <c r="C2774" s="30" t="s">
        <v>1526</v>
      </c>
      <c r="D2774" s="34" t="s">
        <v>1153</v>
      </c>
      <c r="E2774" s="31">
        <v>7.668615</v>
      </c>
      <c r="F2774" s="31">
        <v>148</v>
      </c>
      <c r="G2774" s="32">
        <f t="shared" si="450"/>
        <v>1134.9550200000001</v>
      </c>
      <c r="H2774" s="33">
        <f t="shared" si="449"/>
        <v>5.8847995428984404E-6</v>
      </c>
      <c r="K2774" t="str">
        <f xml:space="preserve"> B2764 &amp; B2774</f>
        <v>Z000246002Z010304001</v>
      </c>
    </row>
    <row r="2775" spans="1:11" outlineLevel="1" x14ac:dyDescent="0.2">
      <c r="A2775" s="29"/>
      <c r="B2775" s="30" t="s">
        <v>1129</v>
      </c>
      <c r="C2775" s="30" t="s">
        <v>2681</v>
      </c>
      <c r="D2775" s="34" t="s">
        <v>152</v>
      </c>
      <c r="E2775" s="31">
        <v>2.5143</v>
      </c>
      <c r="F2775" s="31">
        <v>19.722200000000001</v>
      </c>
      <c r="G2775" s="32">
        <f t="shared" si="450"/>
        <v>49.587527460000004</v>
      </c>
      <c r="H2775" s="33">
        <f t="shared" si="449"/>
        <v>2.571138536662641E-7</v>
      </c>
      <c r="K2775" t="str">
        <f xml:space="preserve"> B2764 &amp; B2775</f>
        <v>Z000246002Z010305001</v>
      </c>
    </row>
    <row r="2776" spans="1:11" outlineLevel="1" x14ac:dyDescent="0.2">
      <c r="A2776" s="29"/>
      <c r="B2776" s="30" t="s">
        <v>1133</v>
      </c>
      <c r="C2776" s="30" t="s">
        <v>2843</v>
      </c>
      <c r="D2776" s="34" t="s">
        <v>152</v>
      </c>
      <c r="E2776" s="31">
        <v>0.20952500000000002</v>
      </c>
      <c r="F2776" s="31">
        <v>8.93</v>
      </c>
      <c r="G2776" s="32">
        <f t="shared" si="450"/>
        <v>1.8710582500000001</v>
      </c>
      <c r="H2776" s="33">
        <f t="shared" si="449"/>
        <v>9.7015322548521393E-9</v>
      </c>
      <c r="K2776" t="str">
        <f xml:space="preserve"> B2764 &amp; B2776</f>
        <v>Z000246002Z010305003</v>
      </c>
    </row>
    <row r="2777" spans="1:11" outlineLevel="1" x14ac:dyDescent="0.2">
      <c r="A2777" s="29"/>
      <c r="B2777" s="30" t="s">
        <v>425</v>
      </c>
      <c r="C2777" s="30" t="s">
        <v>4584</v>
      </c>
      <c r="D2777" s="34" t="s">
        <v>1152</v>
      </c>
      <c r="E2777" s="31">
        <v>298.32169499999998</v>
      </c>
      <c r="F2777" s="31">
        <v>55.495800000000003</v>
      </c>
      <c r="G2777" s="32">
        <f t="shared" si="450"/>
        <v>16555.601121380998</v>
      </c>
      <c r="H2777" s="33">
        <f t="shared" si="449"/>
        <v>8.5841634421346315E-5</v>
      </c>
      <c r="K2777" t="str">
        <f xml:space="preserve"> B2764 &amp; B2777</f>
        <v>Z000246002Z010401002</v>
      </c>
    </row>
    <row r="2778" spans="1:11" outlineLevel="1" x14ac:dyDescent="0.2">
      <c r="A2778" s="29"/>
      <c r="B2778" s="30" t="s">
        <v>189</v>
      </c>
      <c r="C2778" s="30" t="s">
        <v>2685</v>
      </c>
      <c r="D2778" s="34" t="s">
        <v>153</v>
      </c>
      <c r="E2778" s="31">
        <v>1153.5608400000001</v>
      </c>
      <c r="F2778" s="31">
        <v>11.05</v>
      </c>
      <c r="G2778" s="32">
        <f t="shared" si="450"/>
        <v>12746.847282000002</v>
      </c>
      <c r="H2778" s="33">
        <f t="shared" si="449"/>
        <v>6.6093051915405276E-5</v>
      </c>
      <c r="K2778" t="str">
        <f xml:space="preserve"> B2764 &amp; B2778</f>
        <v>Z000246002Z010403001</v>
      </c>
    </row>
    <row r="2779" spans="1:11" outlineLevel="1" x14ac:dyDescent="0.2">
      <c r="A2779" s="29"/>
      <c r="B2779" s="30" t="s">
        <v>82</v>
      </c>
      <c r="C2779" s="30" t="s">
        <v>2688</v>
      </c>
      <c r="D2779" s="34" t="s">
        <v>153</v>
      </c>
      <c r="E2779" s="31">
        <v>683.80579</v>
      </c>
      <c r="F2779" s="31">
        <v>2.04</v>
      </c>
      <c r="G2779" s="32">
        <f t="shared" si="450"/>
        <v>1394.9638116000001</v>
      </c>
      <c r="H2779" s="33">
        <f t="shared" si="449"/>
        <v>7.2329583606437067E-6</v>
      </c>
      <c r="K2779" t="str">
        <f xml:space="preserve"> B2764 &amp; B2779</f>
        <v>Z000246002Z010404002</v>
      </c>
    </row>
    <row r="2780" spans="1:11" outlineLevel="1" x14ac:dyDescent="0.2">
      <c r="A2780" s="29"/>
      <c r="B2780" s="30" t="s">
        <v>1217</v>
      </c>
      <c r="C2780" s="30" t="s">
        <v>2799</v>
      </c>
      <c r="D2780" s="34" t="s">
        <v>1052</v>
      </c>
      <c r="E2780" s="31">
        <v>565.71750000000009</v>
      </c>
      <c r="F2780" s="31">
        <v>9.65</v>
      </c>
      <c r="G2780" s="32">
        <f t="shared" si="450"/>
        <v>5459.1738750000013</v>
      </c>
      <c r="H2780" s="33">
        <f t="shared" si="449"/>
        <v>2.8306094389716969E-5</v>
      </c>
      <c r="K2780" t="str">
        <f xml:space="preserve"> B2764 &amp; B2780</f>
        <v>Z000246002Z010501001</v>
      </c>
    </row>
    <row r="2781" spans="1:11" outlineLevel="1" x14ac:dyDescent="0.2">
      <c r="A2781" s="29"/>
      <c r="B2781" s="30" t="s">
        <v>718</v>
      </c>
      <c r="C2781" s="30" t="s">
        <v>4574</v>
      </c>
      <c r="D2781" s="34" t="s">
        <v>1781</v>
      </c>
      <c r="E2781" s="31">
        <v>2619.0625</v>
      </c>
      <c r="F2781" s="31">
        <v>4.28</v>
      </c>
      <c r="G2781" s="32">
        <f t="shared" si="450"/>
        <v>11209.587500000001</v>
      </c>
      <c r="H2781" s="33">
        <f t="shared" si="449"/>
        <v>5.8122281706001059E-5</v>
      </c>
      <c r="K2781" t="str">
        <f xml:space="preserve"> B2764 &amp; B2781</f>
        <v>Z000246002Z010701001</v>
      </c>
    </row>
    <row r="2782" spans="1:11" outlineLevel="1" x14ac:dyDescent="0.2">
      <c r="A2782" s="29"/>
      <c r="B2782" s="30" t="s">
        <v>722</v>
      </c>
      <c r="C2782" s="30" t="s">
        <v>4576</v>
      </c>
      <c r="D2782" s="34" t="s">
        <v>1781</v>
      </c>
      <c r="E2782" s="31">
        <v>2179.06</v>
      </c>
      <c r="F2782" s="31">
        <v>5.13</v>
      </c>
      <c r="G2782" s="32">
        <f t="shared" si="450"/>
        <v>11178.577799999999</v>
      </c>
      <c r="H2782" s="33">
        <f t="shared" si="449"/>
        <v>5.7961494833244261E-5</v>
      </c>
      <c r="K2782" t="str">
        <f xml:space="preserve"> B2764 &amp; B2782</f>
        <v>Z000246002Z010701002</v>
      </c>
    </row>
    <row r="2783" spans="1:11" outlineLevel="1" x14ac:dyDescent="0.2">
      <c r="A2783" s="29"/>
      <c r="B2783" s="30" t="s">
        <v>1371</v>
      </c>
      <c r="C2783" s="30" t="s">
        <v>2406</v>
      </c>
      <c r="D2783" s="34" t="s">
        <v>1781</v>
      </c>
      <c r="E2783" s="31">
        <v>2647.2645650000004</v>
      </c>
      <c r="F2783" s="31">
        <v>0.22</v>
      </c>
      <c r="G2783" s="32">
        <f t="shared" si="450"/>
        <v>582.39820430000009</v>
      </c>
      <c r="H2783" s="33">
        <f t="shared" si="449"/>
        <v>3.0197643307921688E-6</v>
      </c>
      <c r="K2783" t="str">
        <f xml:space="preserve"> B2764 &amp; B2783</f>
        <v>Z000246002Z030107001</v>
      </c>
    </row>
    <row r="2784" spans="1:11" outlineLevel="1" x14ac:dyDescent="0.2">
      <c r="A2784" s="29"/>
      <c r="B2784" s="30" t="s">
        <v>935</v>
      </c>
      <c r="C2784" s="30" t="s">
        <v>1352</v>
      </c>
      <c r="D2784" s="34" t="s">
        <v>151</v>
      </c>
      <c r="E2784" s="31">
        <v>0</v>
      </c>
      <c r="F2784" s="31">
        <v>15.1457</v>
      </c>
      <c r="G2784" s="32">
        <f t="shared" si="450"/>
        <v>0</v>
      </c>
      <c r="H2784" s="33">
        <f t="shared" si="449"/>
        <v>0</v>
      </c>
      <c r="K2784" t="str">
        <f xml:space="preserve"> B2764 &amp; B2784</f>
        <v>Z000246002Z040201001</v>
      </c>
    </row>
    <row r="2785" spans="1:11" outlineLevel="1" x14ac:dyDescent="0.2">
      <c r="A2785" s="29"/>
      <c r="B2785" s="30" t="s">
        <v>944</v>
      </c>
      <c r="C2785" s="30" t="s">
        <v>1601</v>
      </c>
      <c r="D2785" s="34" t="s">
        <v>151</v>
      </c>
      <c r="E2785" s="31">
        <v>0</v>
      </c>
      <c r="F2785" s="31">
        <v>19.170000000000002</v>
      </c>
      <c r="G2785" s="32">
        <f t="shared" si="450"/>
        <v>0</v>
      </c>
      <c r="H2785" s="33">
        <f t="shared" si="449"/>
        <v>0</v>
      </c>
      <c r="K2785" t="str">
        <f xml:space="preserve"> B2764 &amp; B2785</f>
        <v>Z000246002Z040201005</v>
      </c>
    </row>
    <row r="2786" spans="1:11" outlineLevel="1" x14ac:dyDescent="0.2">
      <c r="A2786" s="29"/>
      <c r="B2786" s="30" t="s">
        <v>954</v>
      </c>
      <c r="C2786" s="30" t="s">
        <v>171</v>
      </c>
      <c r="D2786" s="34" t="s">
        <v>151</v>
      </c>
      <c r="E2786" s="31">
        <v>0</v>
      </c>
      <c r="F2786" s="31">
        <v>15.0943</v>
      </c>
      <c r="G2786" s="32">
        <f t="shared" si="450"/>
        <v>0</v>
      </c>
      <c r="H2786" s="33">
        <f t="shared" si="449"/>
        <v>0</v>
      </c>
      <c r="K2786" t="str">
        <f xml:space="preserve"> B2764 &amp; B2786</f>
        <v>Z000246002Z040201009</v>
      </c>
    </row>
    <row r="2787" spans="1:11" outlineLevel="1" x14ac:dyDescent="0.2">
      <c r="A2787" s="29"/>
      <c r="B2787" s="30" t="s">
        <v>1009</v>
      </c>
      <c r="C2787" s="30" t="s">
        <v>672</v>
      </c>
      <c r="D2787" s="34" t="s">
        <v>151</v>
      </c>
      <c r="E2787" s="31">
        <v>0</v>
      </c>
      <c r="F2787" s="31">
        <v>16.489999999999998</v>
      </c>
      <c r="G2787" s="32">
        <f t="shared" si="450"/>
        <v>0</v>
      </c>
      <c r="H2787" s="33">
        <f t="shared" si="449"/>
        <v>0</v>
      </c>
      <c r="K2787" t="str">
        <f xml:space="preserve"> B2764 &amp; B2787</f>
        <v>Z000246002Z040201013</v>
      </c>
    </row>
    <row r="2788" spans="1:11" outlineLevel="1" x14ac:dyDescent="0.2">
      <c r="A2788" s="29"/>
      <c r="B2788" s="30" t="s">
        <v>792</v>
      </c>
      <c r="C2788" s="30" t="s">
        <v>335</v>
      </c>
      <c r="D2788" s="34" t="s">
        <v>151</v>
      </c>
      <c r="E2788" s="31">
        <v>0</v>
      </c>
      <c r="F2788" s="31">
        <v>11.1343</v>
      </c>
      <c r="G2788" s="32">
        <f t="shared" si="450"/>
        <v>0</v>
      </c>
      <c r="H2788" s="33">
        <f t="shared" si="449"/>
        <v>0</v>
      </c>
      <c r="K2788" t="str">
        <f xml:space="preserve"> B2764 &amp; B2788</f>
        <v>Z000246002Z040202001</v>
      </c>
    </row>
    <row r="2789" spans="1:11" outlineLevel="1" x14ac:dyDescent="0.2">
      <c r="A2789" s="29"/>
      <c r="B2789" s="30" t="s">
        <v>794</v>
      </c>
      <c r="C2789" s="30" t="s">
        <v>446</v>
      </c>
      <c r="D2789" s="34" t="s">
        <v>151</v>
      </c>
      <c r="E2789" s="31">
        <v>0</v>
      </c>
      <c r="F2789" s="31">
        <v>11.1343</v>
      </c>
      <c r="G2789" s="32">
        <f t="shared" si="450"/>
        <v>0</v>
      </c>
      <c r="H2789" s="33">
        <f t="shared" si="449"/>
        <v>0</v>
      </c>
      <c r="K2789" t="str">
        <f xml:space="preserve"> B2764 &amp; B2789</f>
        <v>Z000246002Z040202002</v>
      </c>
    </row>
    <row r="2790" spans="1:11" outlineLevel="1" x14ac:dyDescent="0.2">
      <c r="A2790" s="29"/>
      <c r="B2790" s="30" t="s">
        <v>795</v>
      </c>
      <c r="C2790" s="30" t="s">
        <v>1842</v>
      </c>
      <c r="D2790" s="34" t="s">
        <v>151</v>
      </c>
      <c r="E2790" s="31">
        <v>0</v>
      </c>
      <c r="F2790" s="31">
        <v>10.525700000000001</v>
      </c>
      <c r="G2790" s="32">
        <f t="shared" si="450"/>
        <v>0</v>
      </c>
      <c r="H2790" s="33">
        <f t="shared" si="449"/>
        <v>0</v>
      </c>
      <c r="K2790" t="str">
        <f xml:space="preserve"> B2764 &amp; B2790</f>
        <v>Z000246002Z040202003</v>
      </c>
    </row>
    <row r="2791" spans="1:11" outlineLevel="1" x14ac:dyDescent="0.2">
      <c r="A2791" s="29"/>
      <c r="B2791" s="30" t="s">
        <v>801</v>
      </c>
      <c r="C2791" s="30" t="s">
        <v>402</v>
      </c>
      <c r="D2791" s="34" t="s">
        <v>151</v>
      </c>
      <c r="E2791" s="31">
        <v>0</v>
      </c>
      <c r="F2791" s="31">
        <v>10.3</v>
      </c>
      <c r="G2791" s="32">
        <f t="shared" si="450"/>
        <v>0</v>
      </c>
      <c r="H2791" s="33">
        <f t="shared" si="449"/>
        <v>0</v>
      </c>
      <c r="K2791" t="str">
        <f xml:space="preserve"> B2764 &amp; B2791</f>
        <v>Z000246002Z040202006</v>
      </c>
    </row>
    <row r="2792" spans="1:11" outlineLevel="1" x14ac:dyDescent="0.2">
      <c r="A2792" s="29"/>
      <c r="B2792" s="30" t="s">
        <v>547</v>
      </c>
      <c r="C2792" s="30" t="s">
        <v>2320</v>
      </c>
      <c r="D2792" s="34" t="s">
        <v>151</v>
      </c>
      <c r="E2792" s="31">
        <v>0</v>
      </c>
      <c r="F2792" s="31">
        <v>13.51</v>
      </c>
      <c r="G2792" s="32">
        <f t="shared" si="450"/>
        <v>0</v>
      </c>
      <c r="H2792" s="33">
        <f t="shared" si="449"/>
        <v>0</v>
      </c>
      <c r="K2792" t="str">
        <f xml:space="preserve"> B2764 &amp; B2792</f>
        <v>Z000246002Z040204001</v>
      </c>
    </row>
    <row r="2793" spans="1:11" outlineLevel="1" x14ac:dyDescent="0.2">
      <c r="A2793" s="29"/>
      <c r="B2793" s="30" t="s">
        <v>1489</v>
      </c>
      <c r="C2793" s="30" t="s">
        <v>250</v>
      </c>
      <c r="D2793" s="34" t="s">
        <v>1052</v>
      </c>
      <c r="E2793" s="31">
        <v>3470.278765</v>
      </c>
      <c r="F2793" s="31">
        <v>0.87</v>
      </c>
      <c r="G2793" s="32">
        <f t="shared" si="450"/>
        <v>3019.1425255499998</v>
      </c>
      <c r="H2793" s="33">
        <f t="shared" si="449"/>
        <v>1.5654407655998455E-5</v>
      </c>
      <c r="K2793" t="str">
        <f xml:space="preserve"> B2764 &amp; B2793</f>
        <v>Z000246002Z040303002</v>
      </c>
    </row>
    <row r="2794" spans="1:11" outlineLevel="1" x14ac:dyDescent="0.2">
      <c r="A2794" s="29"/>
      <c r="B2794" s="30" t="s">
        <v>1555</v>
      </c>
      <c r="C2794" s="30" t="s">
        <v>177</v>
      </c>
      <c r="D2794" s="34" t="s">
        <v>1052</v>
      </c>
      <c r="E2794" s="31">
        <v>3470.278765</v>
      </c>
      <c r="F2794" s="31">
        <v>3.51</v>
      </c>
      <c r="G2794" s="32">
        <f t="shared" si="450"/>
        <v>12180.67846515</v>
      </c>
      <c r="H2794" s="33">
        <f t="shared" si="449"/>
        <v>6.3157437784545491E-5</v>
      </c>
      <c r="K2794" t="str">
        <f xml:space="preserve"> B2764 &amp; B2794</f>
        <v>Z000246002Z040303013</v>
      </c>
    </row>
    <row r="2795" spans="1:11" outlineLevel="1" x14ac:dyDescent="0.2">
      <c r="A2795" s="29"/>
      <c r="B2795" s="30" t="s">
        <v>1568</v>
      </c>
      <c r="C2795" s="30" t="s">
        <v>2692</v>
      </c>
      <c r="D2795" s="34" t="s">
        <v>1152</v>
      </c>
      <c r="E2795" s="31">
        <v>251.43</v>
      </c>
      <c r="F2795" s="31">
        <v>49.4</v>
      </c>
      <c r="G2795" s="32">
        <f t="shared" si="450"/>
        <v>12420.642</v>
      </c>
      <c r="H2795" s="33">
        <f t="shared" si="449"/>
        <v>6.4401660925826962E-5</v>
      </c>
      <c r="K2795" t="str">
        <f xml:space="preserve"> B2764 &amp; B2795</f>
        <v>Z000246002Z040303016</v>
      </c>
    </row>
    <row r="2796" spans="1:11" outlineLevel="1" x14ac:dyDescent="0.2">
      <c r="A2796" s="29"/>
      <c r="B2796" s="30" t="s">
        <v>1575</v>
      </c>
      <c r="C2796" s="30" t="s">
        <v>2428</v>
      </c>
      <c r="D2796" s="34" t="s">
        <v>1153</v>
      </c>
      <c r="E2796" s="31">
        <v>135.56267500000001</v>
      </c>
      <c r="F2796" s="31">
        <v>96.42</v>
      </c>
      <c r="G2796" s="32">
        <f t="shared" si="450"/>
        <v>13070.953123500001</v>
      </c>
      <c r="H2796" s="33">
        <f t="shared" si="449"/>
        <v>6.7773557199138815E-5</v>
      </c>
      <c r="K2796" t="str">
        <f xml:space="preserve"> B2764 &amp; B2796</f>
        <v>Z000246002Z040303017</v>
      </c>
    </row>
    <row r="2797" spans="1:11" outlineLevel="1" x14ac:dyDescent="0.2">
      <c r="A2797" s="29"/>
      <c r="B2797" s="30" t="s">
        <v>1640</v>
      </c>
      <c r="C2797" s="30" t="s">
        <v>2504</v>
      </c>
      <c r="D2797" s="34" t="s">
        <v>1153</v>
      </c>
      <c r="E2797" s="31">
        <v>54.476500000000001</v>
      </c>
      <c r="F2797" s="31">
        <v>40.157299999999999</v>
      </c>
      <c r="G2797" s="32">
        <f t="shared" si="450"/>
        <v>2187.6291534500001</v>
      </c>
      <c r="H2797" s="33">
        <f t="shared" si="449"/>
        <v>1.1342968501301365E-5</v>
      </c>
      <c r="K2797" t="str">
        <f xml:space="preserve"> B2764 &amp; B2797</f>
        <v>Z000246002Z040303022</v>
      </c>
    </row>
    <row r="2798" spans="1:11" outlineLevel="1" x14ac:dyDescent="0.2">
      <c r="A2798" s="29"/>
      <c r="B2798" s="30" t="s">
        <v>1644</v>
      </c>
      <c r="C2798" s="30" t="s">
        <v>2804</v>
      </c>
      <c r="D2798" s="34" t="s">
        <v>1152</v>
      </c>
      <c r="E2798" s="31">
        <v>250.214755</v>
      </c>
      <c r="F2798" s="31">
        <v>5.6454000000000004</v>
      </c>
      <c r="G2798" s="32">
        <f t="shared" si="450"/>
        <v>1412.562377877</v>
      </c>
      <c r="H2798" s="33">
        <f t="shared" si="449"/>
        <v>7.3242078224792579E-6</v>
      </c>
      <c r="K2798" t="str">
        <f xml:space="preserve"> B2764 &amp; B2798</f>
        <v>Z000246002Z040303024</v>
      </c>
    </row>
    <row r="2799" spans="1:11" outlineLevel="1" x14ac:dyDescent="0.2">
      <c r="A2799" s="29"/>
      <c r="B2799" s="30" t="s">
        <v>498</v>
      </c>
      <c r="C2799" s="30" t="s">
        <v>773</v>
      </c>
      <c r="D2799" s="34" t="s">
        <v>84</v>
      </c>
      <c r="E2799" s="31">
        <v>502.86</v>
      </c>
      <c r="F2799" s="31">
        <v>0</v>
      </c>
      <c r="G2799" s="32">
        <f t="shared" si="450"/>
        <v>0</v>
      </c>
      <c r="H2799" s="33">
        <f t="shared" si="449"/>
        <v>0</v>
      </c>
      <c r="K2799" t="str">
        <f xml:space="preserve"> B2764 &amp; B2799</f>
        <v>Z000246002Z040401001</v>
      </c>
    </row>
    <row r="2800" spans="1:11" outlineLevel="1" x14ac:dyDescent="0.2">
      <c r="A2800" s="29"/>
      <c r="B2800" s="30" t="s">
        <v>1970</v>
      </c>
      <c r="C2800" s="30" t="s">
        <v>1166</v>
      </c>
      <c r="D2800" s="34" t="s">
        <v>764</v>
      </c>
      <c r="E2800" s="31">
        <v>0</v>
      </c>
      <c r="F2800" s="31">
        <v>30.29</v>
      </c>
      <c r="G2800" s="32">
        <f t="shared" si="450"/>
        <v>0</v>
      </c>
      <c r="H2800" s="33">
        <f t="shared" si="449"/>
        <v>0</v>
      </c>
      <c r="K2800" t="str">
        <f xml:space="preserve"> B2764 &amp; B2800</f>
        <v>Z000246002Z050103007</v>
      </c>
    </row>
    <row r="2801" spans="1:11" outlineLevel="1" x14ac:dyDescent="0.2">
      <c r="A2801" s="29"/>
      <c r="B2801" s="30" t="s">
        <v>1971</v>
      </c>
      <c r="C2801" s="30" t="s">
        <v>1147</v>
      </c>
      <c r="D2801" s="34" t="s">
        <v>742</v>
      </c>
      <c r="E2801" s="31">
        <v>0</v>
      </c>
      <c r="F2801" s="31">
        <v>28.81</v>
      </c>
      <c r="G2801" s="32">
        <f t="shared" si="450"/>
        <v>0</v>
      </c>
      <c r="H2801" s="33">
        <f t="shared" si="449"/>
        <v>0</v>
      </c>
      <c r="K2801" t="str">
        <f xml:space="preserve"> B2764 &amp; B2801</f>
        <v>Z000246002Z050103008</v>
      </c>
    </row>
    <row r="2802" spans="1:11" outlineLevel="1" x14ac:dyDescent="0.2">
      <c r="A2802" s="29"/>
      <c r="B2802" s="30" t="s">
        <v>66</v>
      </c>
      <c r="C2802" s="30" t="s">
        <v>617</v>
      </c>
      <c r="D2802" s="34" t="s">
        <v>764</v>
      </c>
      <c r="E2802" s="31">
        <v>0</v>
      </c>
      <c r="F2802" s="31">
        <v>5.45</v>
      </c>
      <c r="G2802" s="32">
        <f t="shared" si="450"/>
        <v>0</v>
      </c>
      <c r="H2802" s="33">
        <f t="shared" si="449"/>
        <v>0</v>
      </c>
      <c r="K2802" t="str">
        <f xml:space="preserve"> B2764 &amp; B2802</f>
        <v>Z000246002Z050103019</v>
      </c>
    </row>
    <row r="2803" spans="1:11" outlineLevel="1" x14ac:dyDescent="0.2">
      <c r="A2803" s="29"/>
      <c r="B2803" s="30" t="s">
        <v>120</v>
      </c>
      <c r="C2803" s="30" t="s">
        <v>597</v>
      </c>
      <c r="D2803" s="34" t="s">
        <v>742</v>
      </c>
      <c r="E2803" s="31">
        <v>0</v>
      </c>
      <c r="F2803" s="31">
        <v>1.52</v>
      </c>
      <c r="G2803" s="32">
        <f t="shared" si="450"/>
        <v>0</v>
      </c>
      <c r="H2803" s="33">
        <f t="shared" si="449"/>
        <v>0</v>
      </c>
      <c r="K2803" t="str">
        <f xml:space="preserve"> B2764 &amp; B2803</f>
        <v>Z000246002Z050103020</v>
      </c>
    </row>
    <row r="2804" spans="1:11" outlineLevel="1" x14ac:dyDescent="0.2">
      <c r="A2804" s="11" t="s">
        <v>654</v>
      </c>
      <c r="B2804" s="11" t="s">
        <v>1556</v>
      </c>
      <c r="C2804" s="11" t="s">
        <v>4594</v>
      </c>
      <c r="D2804" s="12" t="s">
        <v>1152</v>
      </c>
      <c r="E2804" s="13">
        <v>1047.6300000000001</v>
      </c>
      <c r="F2804" s="14">
        <v>112.357405</v>
      </c>
      <c r="G2804" s="15">
        <f>SUM(G2805:G2817)</f>
        <v>117708.98820015001</v>
      </c>
      <c r="H2804" s="16">
        <f t="shared" si="449"/>
        <v>6.1032709468546219E-4</v>
      </c>
    </row>
    <row r="2805" spans="1:11" outlineLevel="1" x14ac:dyDescent="0.2">
      <c r="A2805" s="29"/>
      <c r="B2805" s="30" t="s">
        <v>1430</v>
      </c>
      <c r="C2805" s="30" t="s">
        <v>4592</v>
      </c>
      <c r="D2805" s="34" t="s">
        <v>153</v>
      </c>
      <c r="E2805" s="31">
        <v>440.00460000000004</v>
      </c>
      <c r="F2805" s="31">
        <v>3.46</v>
      </c>
      <c r="G2805" s="32">
        <f t="shared" ref="G2805:G2817" si="451">F2805*E2805</f>
        <v>1522.4159160000002</v>
      </c>
      <c r="H2805" s="33">
        <f t="shared" si="449"/>
        <v>7.8938040087069801E-6</v>
      </c>
      <c r="K2805" t="str">
        <f xml:space="preserve"> B2804 &amp; B2805</f>
        <v>Z000246003Z010106002</v>
      </c>
    </row>
    <row r="2806" spans="1:11" outlineLevel="1" x14ac:dyDescent="0.2">
      <c r="A2806" s="29"/>
      <c r="B2806" s="30" t="s">
        <v>1654</v>
      </c>
      <c r="C2806" s="30" t="s">
        <v>1551</v>
      </c>
      <c r="D2806" s="34" t="s">
        <v>1052</v>
      </c>
      <c r="E2806" s="31">
        <v>3043.3651500000001</v>
      </c>
      <c r="F2806" s="31">
        <v>0.7974</v>
      </c>
      <c r="G2806" s="32">
        <f t="shared" si="451"/>
        <v>2426.7793706100001</v>
      </c>
      <c r="H2806" s="33">
        <f t="shared" si="449"/>
        <v>1.2582974548965907E-5</v>
      </c>
      <c r="K2806" t="str">
        <f xml:space="preserve"> B2804 &amp; B2806</f>
        <v>Z000246003Z010301001</v>
      </c>
    </row>
    <row r="2807" spans="1:11" outlineLevel="1" x14ac:dyDescent="0.2">
      <c r="A2807" s="29"/>
      <c r="B2807" s="30" t="s">
        <v>1258</v>
      </c>
      <c r="C2807" s="30" t="s">
        <v>1526</v>
      </c>
      <c r="D2807" s="34" t="s">
        <v>1153</v>
      </c>
      <c r="E2807" s="31">
        <v>13.619190000000001</v>
      </c>
      <c r="F2807" s="31">
        <v>148</v>
      </c>
      <c r="G2807" s="32">
        <f t="shared" si="451"/>
        <v>2015.6401200000003</v>
      </c>
      <c r="H2807" s="33">
        <f t="shared" si="449"/>
        <v>1.0451196609380835E-5</v>
      </c>
      <c r="K2807" t="str">
        <f xml:space="preserve"> B2804 &amp; B2807</f>
        <v>Z000246003Z010304001</v>
      </c>
    </row>
    <row r="2808" spans="1:11" outlineLevel="1" x14ac:dyDescent="0.2">
      <c r="A2808" s="29"/>
      <c r="B2808" s="30" t="s">
        <v>1133</v>
      </c>
      <c r="C2808" s="30" t="s">
        <v>2843</v>
      </c>
      <c r="D2808" s="34" t="s">
        <v>152</v>
      </c>
      <c r="E2808" s="31">
        <v>0.62857799999999997</v>
      </c>
      <c r="F2808" s="31">
        <v>8.93</v>
      </c>
      <c r="G2808" s="32">
        <f t="shared" si="451"/>
        <v>5.6132015399999995</v>
      </c>
      <c r="H2808" s="33">
        <f t="shared" si="449"/>
        <v>2.9104735672069907E-8</v>
      </c>
      <c r="K2808" t="str">
        <f xml:space="preserve"> B2804 &amp; B2808</f>
        <v>Z000246003Z010305003</v>
      </c>
    </row>
    <row r="2809" spans="1:11" outlineLevel="1" x14ac:dyDescent="0.2">
      <c r="A2809" s="29"/>
      <c r="B2809" s="30" t="s">
        <v>608</v>
      </c>
      <c r="C2809" s="30" t="s">
        <v>4598</v>
      </c>
      <c r="D2809" s="34" t="s">
        <v>1781</v>
      </c>
      <c r="E2809" s="31">
        <v>14876.346000000001</v>
      </c>
      <c r="F2809" s="31">
        <v>4.0999999999999996</v>
      </c>
      <c r="G2809" s="32">
        <f t="shared" si="451"/>
        <v>60993.018600000003</v>
      </c>
      <c r="H2809" s="33">
        <f t="shared" si="449"/>
        <v>3.1625190571629529E-4</v>
      </c>
      <c r="K2809" t="str">
        <f xml:space="preserve"> B2804 &amp; B2809</f>
        <v>Z000246003Z010702002</v>
      </c>
    </row>
    <row r="2810" spans="1:11" outlineLevel="1" x14ac:dyDescent="0.2">
      <c r="A2810" s="29"/>
      <c r="B2810" s="30" t="s">
        <v>891</v>
      </c>
      <c r="C2810" s="30" t="s">
        <v>1719</v>
      </c>
      <c r="D2810" s="34" t="s">
        <v>2827</v>
      </c>
      <c r="E2810" s="31">
        <v>10.476300000000002</v>
      </c>
      <c r="F2810" s="31">
        <v>43.84</v>
      </c>
      <c r="G2810" s="32">
        <f t="shared" si="451"/>
        <v>459.28099200000014</v>
      </c>
      <c r="H2810" s="33">
        <f t="shared" si="449"/>
        <v>2.3813953188942613E-6</v>
      </c>
      <c r="K2810" t="str">
        <f xml:space="preserve"> B2804 &amp; B2810</f>
        <v>Z000246003Z030201006</v>
      </c>
    </row>
    <row r="2811" spans="1:11" outlineLevel="1" x14ac:dyDescent="0.2">
      <c r="A2811" s="29"/>
      <c r="B2811" s="30" t="s">
        <v>1009</v>
      </c>
      <c r="C2811" s="30" t="s">
        <v>672</v>
      </c>
      <c r="D2811" s="34" t="s">
        <v>151</v>
      </c>
      <c r="E2811" s="31">
        <v>0</v>
      </c>
      <c r="F2811" s="31">
        <v>16.489999999999998</v>
      </c>
      <c r="G2811" s="32">
        <f t="shared" si="451"/>
        <v>0</v>
      </c>
      <c r="H2811" s="33">
        <f t="shared" si="449"/>
        <v>0</v>
      </c>
      <c r="K2811" t="str">
        <f xml:space="preserve"> B2804 &amp; B2811</f>
        <v>Z000246003Z040201013</v>
      </c>
    </row>
    <row r="2812" spans="1:11" outlineLevel="1" x14ac:dyDescent="0.2">
      <c r="A2812" s="29"/>
      <c r="B2812" s="30" t="s">
        <v>801</v>
      </c>
      <c r="C2812" s="30" t="s">
        <v>402</v>
      </c>
      <c r="D2812" s="34" t="s">
        <v>151</v>
      </c>
      <c r="E2812" s="31">
        <v>0</v>
      </c>
      <c r="F2812" s="31">
        <v>10.3</v>
      </c>
      <c r="G2812" s="32">
        <f t="shared" si="451"/>
        <v>0</v>
      </c>
      <c r="H2812" s="33">
        <f t="shared" si="449"/>
        <v>0</v>
      </c>
      <c r="K2812" t="str">
        <f xml:space="preserve"> B2804 &amp; B2812</f>
        <v>Z000246003Z040202006</v>
      </c>
    </row>
    <row r="2813" spans="1:11" outlineLevel="1" x14ac:dyDescent="0.2">
      <c r="A2813" s="29"/>
      <c r="B2813" s="30" t="s">
        <v>547</v>
      </c>
      <c r="C2813" s="30" t="s">
        <v>2320</v>
      </c>
      <c r="D2813" s="34" t="s">
        <v>151</v>
      </c>
      <c r="E2813" s="31">
        <v>0</v>
      </c>
      <c r="F2813" s="31">
        <v>13.51</v>
      </c>
      <c r="G2813" s="32">
        <f t="shared" si="451"/>
        <v>0</v>
      </c>
      <c r="H2813" s="33">
        <f t="shared" si="449"/>
        <v>0</v>
      </c>
      <c r="K2813" t="str">
        <f xml:space="preserve"> B2804 &amp; B2813</f>
        <v>Z000246003Z040204001</v>
      </c>
    </row>
    <row r="2814" spans="1:11" outlineLevel="1" x14ac:dyDescent="0.2">
      <c r="A2814" s="29"/>
      <c r="B2814" s="30" t="s">
        <v>1359</v>
      </c>
      <c r="C2814" s="30" t="s">
        <v>2832</v>
      </c>
      <c r="D2814" s="34" t="s">
        <v>1152</v>
      </c>
      <c r="E2814" s="31">
        <v>1047.6300000000001</v>
      </c>
      <c r="F2814" s="31">
        <v>48</v>
      </c>
      <c r="G2814" s="32">
        <f t="shared" si="451"/>
        <v>50286.240000000005</v>
      </c>
      <c r="H2814" s="33">
        <f t="shared" si="449"/>
        <v>2.6073671374754682E-4</v>
      </c>
      <c r="K2814" t="str">
        <f xml:space="preserve"> B2804 &amp; B2814</f>
        <v>Z000246003Z040304004</v>
      </c>
    </row>
    <row r="2815" spans="1:11" outlineLevel="1" x14ac:dyDescent="0.2">
      <c r="A2815" s="29"/>
      <c r="B2815" s="30" t="s">
        <v>498</v>
      </c>
      <c r="C2815" s="30" t="s">
        <v>773</v>
      </c>
      <c r="D2815" s="34" t="s">
        <v>84</v>
      </c>
      <c r="E2815" s="31">
        <v>1257.1560000000002</v>
      </c>
      <c r="F2815" s="31">
        <v>0</v>
      </c>
      <c r="G2815" s="32">
        <f t="shared" si="451"/>
        <v>0</v>
      </c>
      <c r="H2815" s="33">
        <f t="shared" si="449"/>
        <v>0</v>
      </c>
      <c r="K2815" t="str">
        <f xml:space="preserve"> B2804 &amp; B2815</f>
        <v>Z000246003Z040401001</v>
      </c>
    </row>
    <row r="2816" spans="1:11" outlineLevel="1" x14ac:dyDescent="0.2">
      <c r="A2816" s="29"/>
      <c r="B2816" s="30" t="s">
        <v>66</v>
      </c>
      <c r="C2816" s="30" t="s">
        <v>617</v>
      </c>
      <c r="D2816" s="34" t="s">
        <v>764</v>
      </c>
      <c r="E2816" s="31">
        <v>0</v>
      </c>
      <c r="F2816" s="31">
        <v>5.45</v>
      </c>
      <c r="G2816" s="32">
        <f t="shared" si="451"/>
        <v>0</v>
      </c>
      <c r="H2816" s="33">
        <f t="shared" si="449"/>
        <v>0</v>
      </c>
      <c r="K2816" t="str">
        <f xml:space="preserve"> B2804 &amp; B2816</f>
        <v>Z000246003Z050103019</v>
      </c>
    </row>
    <row r="2817" spans="1:11" outlineLevel="1" x14ac:dyDescent="0.2">
      <c r="A2817" s="29"/>
      <c r="B2817" s="30" t="s">
        <v>120</v>
      </c>
      <c r="C2817" s="30" t="s">
        <v>597</v>
      </c>
      <c r="D2817" s="34" t="s">
        <v>742</v>
      </c>
      <c r="E2817" s="31">
        <v>0</v>
      </c>
      <c r="F2817" s="31">
        <v>1.52</v>
      </c>
      <c r="G2817" s="32">
        <f t="shared" si="451"/>
        <v>0</v>
      </c>
      <c r="H2817" s="33">
        <f t="shared" si="449"/>
        <v>0</v>
      </c>
      <c r="K2817" t="str">
        <f xml:space="preserve"> B2804 &amp; B2817</f>
        <v>Z000246003Z050103020</v>
      </c>
    </row>
    <row r="2818" spans="1:11" outlineLevel="1" x14ac:dyDescent="0.2">
      <c r="A2818" s="11" t="s">
        <v>655</v>
      </c>
      <c r="B2818" s="11" t="s">
        <v>1559</v>
      </c>
      <c r="C2818" s="11" t="s">
        <v>4609</v>
      </c>
      <c r="D2818" s="12" t="s">
        <v>1152</v>
      </c>
      <c r="E2818" s="13">
        <v>2095.25</v>
      </c>
      <c r="F2818" s="14">
        <v>1.7230397200000001</v>
      </c>
      <c r="G2818" s="15">
        <f>SUM(G2819:G2826)</f>
        <v>3610.1989733300002</v>
      </c>
      <c r="H2818" s="16">
        <f t="shared" ref="H2818:H2880" si="452">G2818/$F$2</f>
        <v>1.8719065419900781E-5</v>
      </c>
    </row>
    <row r="2819" spans="1:11" outlineLevel="1" x14ac:dyDescent="0.2">
      <c r="A2819" s="29"/>
      <c r="B2819" s="30" t="s">
        <v>1654</v>
      </c>
      <c r="C2819" s="30" t="s">
        <v>1551</v>
      </c>
      <c r="D2819" s="34" t="s">
        <v>1052</v>
      </c>
      <c r="E2819" s="31">
        <v>3316.3616999999999</v>
      </c>
      <c r="F2819" s="31">
        <v>0.7974</v>
      </c>
      <c r="G2819" s="32">
        <f t="shared" ref="G2819:G2826" si="453">F2819*E2819</f>
        <v>2644.46681958</v>
      </c>
      <c r="H2819" s="33">
        <f t="shared" si="452"/>
        <v>1.3711695051205179E-5</v>
      </c>
      <c r="K2819" t="str">
        <f xml:space="preserve"> B2818 &amp; B2819</f>
        <v>Z000246004Z010301001</v>
      </c>
    </row>
    <row r="2820" spans="1:11" outlineLevel="1" x14ac:dyDescent="0.2">
      <c r="A2820" s="29"/>
      <c r="B2820" s="30" t="s">
        <v>1260</v>
      </c>
      <c r="C2820" s="30" t="s">
        <v>1455</v>
      </c>
      <c r="D2820" s="34" t="s">
        <v>1153</v>
      </c>
      <c r="E2820" s="31">
        <v>7.3333750000000002</v>
      </c>
      <c r="F2820" s="31">
        <v>131.69</v>
      </c>
      <c r="G2820" s="32">
        <f t="shared" si="453"/>
        <v>965.73215375000007</v>
      </c>
      <c r="H2820" s="33">
        <f t="shared" si="452"/>
        <v>5.0073703686956036E-6</v>
      </c>
      <c r="K2820" t="str">
        <f xml:space="preserve"> B2818 &amp; B2820</f>
        <v>Z000246004Z010304002</v>
      </c>
    </row>
    <row r="2821" spans="1:11" outlineLevel="1" x14ac:dyDescent="0.2">
      <c r="A2821" s="29"/>
      <c r="B2821" s="30" t="s">
        <v>1009</v>
      </c>
      <c r="C2821" s="30" t="s">
        <v>672</v>
      </c>
      <c r="D2821" s="34" t="s">
        <v>151</v>
      </c>
      <c r="E2821" s="31">
        <v>0</v>
      </c>
      <c r="F2821" s="31">
        <v>16.489999999999998</v>
      </c>
      <c r="G2821" s="32">
        <f t="shared" si="453"/>
        <v>0</v>
      </c>
      <c r="H2821" s="33">
        <f t="shared" si="452"/>
        <v>0</v>
      </c>
      <c r="K2821" t="str">
        <f xml:space="preserve"> B2818 &amp; B2821</f>
        <v>Z000246004Z040201013</v>
      </c>
    </row>
    <row r="2822" spans="1:11" outlineLevel="1" x14ac:dyDescent="0.2">
      <c r="A2822" s="29"/>
      <c r="B2822" s="30" t="s">
        <v>801</v>
      </c>
      <c r="C2822" s="30" t="s">
        <v>402</v>
      </c>
      <c r="D2822" s="34" t="s">
        <v>151</v>
      </c>
      <c r="E2822" s="31">
        <v>0</v>
      </c>
      <c r="F2822" s="31">
        <v>10.3</v>
      </c>
      <c r="G2822" s="32">
        <f t="shared" si="453"/>
        <v>0</v>
      </c>
      <c r="H2822" s="33">
        <f t="shared" si="452"/>
        <v>0</v>
      </c>
      <c r="K2822" t="str">
        <f xml:space="preserve"> B2818 &amp; B2822</f>
        <v>Z000246004Z040202006</v>
      </c>
    </row>
    <row r="2823" spans="1:11" outlineLevel="1" x14ac:dyDescent="0.2">
      <c r="A2823" s="29"/>
      <c r="B2823" s="30" t="s">
        <v>547</v>
      </c>
      <c r="C2823" s="30" t="s">
        <v>2320</v>
      </c>
      <c r="D2823" s="34" t="s">
        <v>151</v>
      </c>
      <c r="E2823" s="31">
        <v>0</v>
      </c>
      <c r="F2823" s="31">
        <v>13.51</v>
      </c>
      <c r="G2823" s="32">
        <f t="shared" si="453"/>
        <v>0</v>
      </c>
      <c r="H2823" s="33">
        <f t="shared" si="452"/>
        <v>0</v>
      </c>
      <c r="K2823" t="str">
        <f xml:space="preserve"> B2818 &amp; B2823</f>
        <v>Z000246004Z040204001</v>
      </c>
    </row>
    <row r="2824" spans="1:11" outlineLevel="1" x14ac:dyDescent="0.2">
      <c r="A2824" s="29"/>
      <c r="B2824" s="30" t="s">
        <v>498</v>
      </c>
      <c r="C2824" s="30" t="s">
        <v>773</v>
      </c>
      <c r="D2824" s="34" t="s">
        <v>84</v>
      </c>
      <c r="E2824" s="31">
        <v>2514.2999999999997</v>
      </c>
      <c r="F2824" s="31">
        <v>0</v>
      </c>
      <c r="G2824" s="32">
        <f t="shared" si="453"/>
        <v>0</v>
      </c>
      <c r="H2824" s="33">
        <f t="shared" si="452"/>
        <v>0</v>
      </c>
      <c r="K2824" t="str">
        <f xml:space="preserve"> B2818 &amp; B2824</f>
        <v>Z000246004Z040401001</v>
      </c>
    </row>
    <row r="2825" spans="1:11" outlineLevel="1" x14ac:dyDescent="0.2">
      <c r="A2825" s="29"/>
      <c r="B2825" s="30" t="s">
        <v>66</v>
      </c>
      <c r="C2825" s="30" t="s">
        <v>617</v>
      </c>
      <c r="D2825" s="34" t="s">
        <v>764</v>
      </c>
      <c r="E2825" s="31">
        <v>0</v>
      </c>
      <c r="F2825" s="31">
        <v>5.45</v>
      </c>
      <c r="G2825" s="32">
        <f t="shared" si="453"/>
        <v>0</v>
      </c>
      <c r="H2825" s="33">
        <f t="shared" si="452"/>
        <v>0</v>
      </c>
      <c r="K2825" t="str">
        <f xml:space="preserve"> B2818 &amp; B2825</f>
        <v>Z000246004Z050103019</v>
      </c>
    </row>
    <row r="2826" spans="1:11" outlineLevel="1" x14ac:dyDescent="0.2">
      <c r="A2826" s="29"/>
      <c r="B2826" s="30" t="s">
        <v>120</v>
      </c>
      <c r="C2826" s="30" t="s">
        <v>597</v>
      </c>
      <c r="D2826" s="34" t="s">
        <v>742</v>
      </c>
      <c r="E2826" s="31">
        <v>0</v>
      </c>
      <c r="F2826" s="31">
        <v>1.52</v>
      </c>
      <c r="G2826" s="32">
        <f t="shared" si="453"/>
        <v>0</v>
      </c>
      <c r="H2826" s="33">
        <f t="shared" si="452"/>
        <v>0</v>
      </c>
      <c r="K2826" t="str">
        <f xml:space="preserve"> B2818 &amp; B2826</f>
        <v>Z000246004Z050103020</v>
      </c>
    </row>
    <row r="2827" spans="1:11" outlineLevel="1" x14ac:dyDescent="0.2">
      <c r="A2827" s="11" t="s">
        <v>656</v>
      </c>
      <c r="B2827" s="11" t="s">
        <v>1563</v>
      </c>
      <c r="C2827" s="11" t="s">
        <v>4618</v>
      </c>
      <c r="D2827" s="12" t="s">
        <v>1152</v>
      </c>
      <c r="E2827" s="13">
        <v>2095.25</v>
      </c>
      <c r="F2827" s="14">
        <v>77.903171079999993</v>
      </c>
      <c r="G2827" s="15">
        <f>SUM(G2828:G2837)</f>
        <v>163226.61920536999</v>
      </c>
      <c r="H2827" s="16">
        <f t="shared" si="452"/>
        <v>8.4633832809393535E-4</v>
      </c>
    </row>
    <row r="2828" spans="1:11" outlineLevel="1" x14ac:dyDescent="0.2">
      <c r="A2828" s="29"/>
      <c r="B2828" s="30" t="s">
        <v>1654</v>
      </c>
      <c r="C2828" s="30" t="s">
        <v>1551</v>
      </c>
      <c r="D2828" s="34" t="s">
        <v>1052</v>
      </c>
      <c r="E2828" s="31">
        <v>25707.041300000001</v>
      </c>
      <c r="F2828" s="31">
        <v>0.7974</v>
      </c>
      <c r="G2828" s="32">
        <f t="shared" ref="G2828:G2837" si="454">F2828*E2828</f>
        <v>20498.794732620001</v>
      </c>
      <c r="H2828" s="33">
        <f t="shared" si="452"/>
        <v>1.0628729398676181E-4</v>
      </c>
      <c r="K2828" t="str">
        <f xml:space="preserve"> B2827 &amp; B2828</f>
        <v>Z000246005Z010301001</v>
      </c>
    </row>
    <row r="2829" spans="1:11" outlineLevel="1" x14ac:dyDescent="0.2">
      <c r="A2829" s="29"/>
      <c r="B2829" s="30" t="s">
        <v>1258</v>
      </c>
      <c r="C2829" s="30" t="s">
        <v>1526</v>
      </c>
      <c r="D2829" s="34" t="s">
        <v>1153</v>
      </c>
      <c r="E2829" s="31">
        <v>114.610175</v>
      </c>
      <c r="F2829" s="31">
        <v>148</v>
      </c>
      <c r="G2829" s="32">
        <f t="shared" si="454"/>
        <v>16962.305899999999</v>
      </c>
      <c r="H2829" s="33">
        <f t="shared" si="452"/>
        <v>8.795041939796301E-5</v>
      </c>
      <c r="K2829" t="str">
        <f xml:space="preserve"> B2827 &amp; B2829</f>
        <v>Z000246005Z010304001</v>
      </c>
    </row>
    <row r="2830" spans="1:11" outlineLevel="1" x14ac:dyDescent="0.2">
      <c r="A2830" s="29"/>
      <c r="B2830" s="30" t="s">
        <v>1133</v>
      </c>
      <c r="C2830" s="30" t="s">
        <v>2843</v>
      </c>
      <c r="D2830" s="34" t="s">
        <v>152</v>
      </c>
      <c r="E2830" s="31">
        <v>5.6571750000000005</v>
      </c>
      <c r="F2830" s="31">
        <v>8.93</v>
      </c>
      <c r="G2830" s="32">
        <f t="shared" si="454"/>
        <v>50.518572750000004</v>
      </c>
      <c r="H2830" s="33">
        <f t="shared" si="452"/>
        <v>2.6194137088100778E-7</v>
      </c>
      <c r="K2830" t="str">
        <f xml:space="preserve"> B2827 &amp; B2830</f>
        <v>Z000246005Z010305003</v>
      </c>
    </row>
    <row r="2831" spans="1:11" outlineLevel="1" x14ac:dyDescent="0.2">
      <c r="A2831" s="29"/>
      <c r="B2831" s="30" t="s">
        <v>1009</v>
      </c>
      <c r="C2831" s="30" t="s">
        <v>672</v>
      </c>
      <c r="D2831" s="34" t="s">
        <v>151</v>
      </c>
      <c r="E2831" s="31">
        <v>0</v>
      </c>
      <c r="F2831" s="31">
        <v>16.489999999999998</v>
      </c>
      <c r="G2831" s="32">
        <f t="shared" si="454"/>
        <v>0</v>
      </c>
      <c r="H2831" s="33">
        <f t="shared" si="452"/>
        <v>0</v>
      </c>
      <c r="K2831" t="str">
        <f xml:space="preserve"> B2827 &amp; B2831</f>
        <v>Z000246005Z040201013</v>
      </c>
    </row>
    <row r="2832" spans="1:11" outlineLevel="1" x14ac:dyDescent="0.2">
      <c r="A2832" s="29"/>
      <c r="B2832" s="30" t="s">
        <v>801</v>
      </c>
      <c r="C2832" s="30" t="s">
        <v>402</v>
      </c>
      <c r="D2832" s="34" t="s">
        <v>151</v>
      </c>
      <c r="E2832" s="31">
        <v>0</v>
      </c>
      <c r="F2832" s="31">
        <v>10.3</v>
      </c>
      <c r="G2832" s="32">
        <f t="shared" si="454"/>
        <v>0</v>
      </c>
      <c r="H2832" s="33">
        <f t="shared" si="452"/>
        <v>0</v>
      </c>
      <c r="K2832" t="str">
        <f xml:space="preserve"> B2827 &amp; B2832</f>
        <v>Z000246005Z040202006</v>
      </c>
    </row>
    <row r="2833" spans="1:11" outlineLevel="1" x14ac:dyDescent="0.2">
      <c r="A2833" s="29"/>
      <c r="B2833" s="30" t="s">
        <v>547</v>
      </c>
      <c r="C2833" s="30" t="s">
        <v>2320</v>
      </c>
      <c r="D2833" s="34" t="s">
        <v>151</v>
      </c>
      <c r="E2833" s="31">
        <v>0</v>
      </c>
      <c r="F2833" s="31">
        <v>13.51</v>
      </c>
      <c r="G2833" s="32">
        <f t="shared" si="454"/>
        <v>0</v>
      </c>
      <c r="H2833" s="33">
        <f t="shared" si="452"/>
        <v>0</v>
      </c>
      <c r="K2833" t="str">
        <f xml:space="preserve"> B2827 &amp; B2833</f>
        <v>Z000246005Z040204001</v>
      </c>
    </row>
    <row r="2834" spans="1:11" outlineLevel="1" x14ac:dyDescent="0.2">
      <c r="A2834" s="29"/>
      <c r="B2834" s="30" t="s">
        <v>1365</v>
      </c>
      <c r="C2834" s="30" t="s">
        <v>25</v>
      </c>
      <c r="D2834" s="34" t="s">
        <v>1152</v>
      </c>
      <c r="E2834" s="31">
        <v>2095.25</v>
      </c>
      <c r="F2834" s="31">
        <v>60</v>
      </c>
      <c r="G2834" s="32">
        <f t="shared" si="454"/>
        <v>125715</v>
      </c>
      <c r="H2834" s="33">
        <f t="shared" si="452"/>
        <v>6.5183867333832961E-4</v>
      </c>
      <c r="K2834" t="str">
        <f xml:space="preserve"> B2827 &amp; B2834</f>
        <v>Z000246005Z040304007</v>
      </c>
    </row>
    <row r="2835" spans="1:11" outlineLevel="1" x14ac:dyDescent="0.2">
      <c r="A2835" s="29"/>
      <c r="B2835" s="30" t="s">
        <v>498</v>
      </c>
      <c r="C2835" s="30" t="s">
        <v>773</v>
      </c>
      <c r="D2835" s="34" t="s">
        <v>84</v>
      </c>
      <c r="E2835" s="31">
        <v>2514.2999999999997</v>
      </c>
      <c r="F2835" s="31">
        <v>0</v>
      </c>
      <c r="G2835" s="32">
        <f t="shared" si="454"/>
        <v>0</v>
      </c>
      <c r="H2835" s="33">
        <f t="shared" si="452"/>
        <v>0</v>
      </c>
      <c r="K2835" t="str">
        <f xml:space="preserve"> B2827 &amp; B2835</f>
        <v>Z000246005Z040401001</v>
      </c>
    </row>
    <row r="2836" spans="1:11" outlineLevel="1" x14ac:dyDescent="0.2">
      <c r="A2836" s="29"/>
      <c r="B2836" s="30" t="s">
        <v>66</v>
      </c>
      <c r="C2836" s="30" t="s">
        <v>617</v>
      </c>
      <c r="D2836" s="34" t="s">
        <v>764</v>
      </c>
      <c r="E2836" s="31">
        <v>0</v>
      </c>
      <c r="F2836" s="31">
        <v>5.45</v>
      </c>
      <c r="G2836" s="32">
        <f t="shared" si="454"/>
        <v>0</v>
      </c>
      <c r="H2836" s="33">
        <f t="shared" si="452"/>
        <v>0</v>
      </c>
      <c r="K2836" t="str">
        <f xml:space="preserve"> B2827 &amp; B2836</f>
        <v>Z000246005Z050103019</v>
      </c>
    </row>
    <row r="2837" spans="1:11" outlineLevel="1" x14ac:dyDescent="0.2">
      <c r="A2837" s="29"/>
      <c r="B2837" s="30" t="s">
        <v>120</v>
      </c>
      <c r="C2837" s="30" t="s">
        <v>597</v>
      </c>
      <c r="D2837" s="34" t="s">
        <v>742</v>
      </c>
      <c r="E2837" s="31">
        <v>0</v>
      </c>
      <c r="F2837" s="31">
        <v>1.52</v>
      </c>
      <c r="G2837" s="32">
        <f t="shared" si="454"/>
        <v>0</v>
      </c>
      <c r="H2837" s="33">
        <f t="shared" si="452"/>
        <v>0</v>
      </c>
      <c r="K2837" t="str">
        <f xml:space="preserve"> B2827 &amp; B2837</f>
        <v>Z000246005Z050103020</v>
      </c>
    </row>
    <row r="2838" spans="1:11" outlineLevel="1" x14ac:dyDescent="0.2">
      <c r="A2838" s="11" t="s">
        <v>658</v>
      </c>
      <c r="B2838" s="11" t="s">
        <v>1571</v>
      </c>
      <c r="C2838" s="11" t="s">
        <v>4629</v>
      </c>
      <c r="D2838" s="12" t="s">
        <v>153</v>
      </c>
      <c r="E2838" s="13">
        <v>419.05</v>
      </c>
      <c r="F2838" s="14">
        <v>44.090969120000004</v>
      </c>
      <c r="G2838" s="15">
        <f>SUM(G2839:G2851)</f>
        <v>18476.320609736002</v>
      </c>
      <c r="H2838" s="16">
        <f t="shared" si="452"/>
        <v>9.5800662724606866E-5</v>
      </c>
    </row>
    <row r="2839" spans="1:11" outlineLevel="1" x14ac:dyDescent="0.2">
      <c r="A2839" s="29"/>
      <c r="B2839" s="30" t="s">
        <v>1654</v>
      </c>
      <c r="C2839" s="30" t="s">
        <v>1551</v>
      </c>
      <c r="D2839" s="34" t="s">
        <v>1052</v>
      </c>
      <c r="E2839" s="31">
        <v>716.07264000000009</v>
      </c>
      <c r="F2839" s="31">
        <v>0.7974</v>
      </c>
      <c r="G2839" s="32">
        <f t="shared" ref="G2839:G2851" si="455">F2839*E2839</f>
        <v>570.99632313600011</v>
      </c>
      <c r="H2839" s="33">
        <f t="shared" si="452"/>
        <v>2.9606449966514296E-6</v>
      </c>
      <c r="K2839" t="str">
        <f xml:space="preserve"> B2838 &amp; B2839</f>
        <v>Z000246006Z010301001</v>
      </c>
    </row>
    <row r="2840" spans="1:11" outlineLevel="1" x14ac:dyDescent="0.2">
      <c r="A2840" s="29"/>
      <c r="B2840" s="30" t="s">
        <v>1258</v>
      </c>
      <c r="C2840" s="30" t="s">
        <v>1526</v>
      </c>
      <c r="D2840" s="34" t="s">
        <v>1153</v>
      </c>
      <c r="E2840" s="31">
        <v>3.1847799999999999</v>
      </c>
      <c r="F2840" s="31">
        <v>148</v>
      </c>
      <c r="G2840" s="32">
        <f t="shared" si="455"/>
        <v>471.34744000000001</v>
      </c>
      <c r="H2840" s="33">
        <f t="shared" si="452"/>
        <v>2.4439604659031771E-6</v>
      </c>
      <c r="K2840" t="str">
        <f xml:space="preserve"> B2838 &amp; B2840</f>
        <v>Z000246006Z010304001</v>
      </c>
    </row>
    <row r="2841" spans="1:11" outlineLevel="1" x14ac:dyDescent="0.2">
      <c r="A2841" s="29"/>
      <c r="B2841" s="30" t="s">
        <v>1133</v>
      </c>
      <c r="C2841" s="30" t="s">
        <v>2843</v>
      </c>
      <c r="D2841" s="34" t="s">
        <v>152</v>
      </c>
      <c r="E2841" s="31">
        <v>0.16762000000000002</v>
      </c>
      <c r="F2841" s="31">
        <v>8.93</v>
      </c>
      <c r="G2841" s="32">
        <f t="shared" si="455"/>
        <v>1.4968466</v>
      </c>
      <c r="H2841" s="33">
        <f t="shared" si="452"/>
        <v>7.7612258038817105E-9</v>
      </c>
      <c r="K2841" t="str">
        <f xml:space="preserve"> B2838 &amp; B2841</f>
        <v>Z000246006Z010305003</v>
      </c>
    </row>
    <row r="2842" spans="1:11" outlineLevel="1" x14ac:dyDescent="0.2">
      <c r="A2842" s="29"/>
      <c r="B2842" s="30" t="s">
        <v>409</v>
      </c>
      <c r="C2842" s="30" t="s">
        <v>494</v>
      </c>
      <c r="D2842" s="34" t="s">
        <v>153</v>
      </c>
      <c r="E2842" s="31">
        <v>452.57400000000007</v>
      </c>
      <c r="F2842" s="31">
        <v>20</v>
      </c>
      <c r="G2842" s="32">
        <f t="shared" si="455"/>
        <v>9051.4800000000014</v>
      </c>
      <c r="H2842" s="33">
        <f t="shared" si="452"/>
        <v>4.6932384480359738E-5</v>
      </c>
      <c r="K2842" t="str">
        <f xml:space="preserve"> B2838 &amp; B2842</f>
        <v>Z000246006Z010704001</v>
      </c>
    </row>
    <row r="2843" spans="1:11" outlineLevel="1" x14ac:dyDescent="0.2">
      <c r="A2843" s="29"/>
      <c r="B2843" s="30" t="s">
        <v>1009</v>
      </c>
      <c r="C2843" s="30" t="s">
        <v>672</v>
      </c>
      <c r="D2843" s="34" t="s">
        <v>151</v>
      </c>
      <c r="E2843" s="31">
        <v>0</v>
      </c>
      <c r="F2843" s="31">
        <v>16.489999999999998</v>
      </c>
      <c r="G2843" s="32">
        <f t="shared" si="455"/>
        <v>0</v>
      </c>
      <c r="H2843" s="33">
        <f t="shared" si="452"/>
        <v>0</v>
      </c>
      <c r="K2843" t="str">
        <f xml:space="preserve"> B2838 &amp; B2843</f>
        <v>Z000246006Z040201013</v>
      </c>
    </row>
    <row r="2844" spans="1:11" outlineLevel="1" x14ac:dyDescent="0.2">
      <c r="A2844" s="29"/>
      <c r="B2844" s="30" t="s">
        <v>801</v>
      </c>
      <c r="C2844" s="30" t="s">
        <v>402</v>
      </c>
      <c r="D2844" s="34" t="s">
        <v>151</v>
      </c>
      <c r="E2844" s="31">
        <v>0</v>
      </c>
      <c r="F2844" s="31">
        <v>10.3</v>
      </c>
      <c r="G2844" s="32">
        <f t="shared" si="455"/>
        <v>0</v>
      </c>
      <c r="H2844" s="33">
        <f t="shared" si="452"/>
        <v>0</v>
      </c>
      <c r="K2844" t="str">
        <f xml:space="preserve"> B2838 &amp; B2844</f>
        <v>Z000246006Z040202006</v>
      </c>
    </row>
    <row r="2845" spans="1:11" outlineLevel="1" x14ac:dyDescent="0.2">
      <c r="A2845" s="29"/>
      <c r="B2845" s="30" t="s">
        <v>547</v>
      </c>
      <c r="C2845" s="30" t="s">
        <v>2320</v>
      </c>
      <c r="D2845" s="34" t="s">
        <v>151</v>
      </c>
      <c r="E2845" s="31">
        <v>0</v>
      </c>
      <c r="F2845" s="31">
        <v>13.51</v>
      </c>
      <c r="G2845" s="32">
        <f t="shared" si="455"/>
        <v>0</v>
      </c>
      <c r="H2845" s="33">
        <f t="shared" si="452"/>
        <v>0</v>
      </c>
      <c r="K2845" t="str">
        <f xml:space="preserve"> B2838 &amp; B2845</f>
        <v>Z000246006Z040204001</v>
      </c>
    </row>
    <row r="2846" spans="1:11" outlineLevel="1" x14ac:dyDescent="0.2">
      <c r="A2846" s="29"/>
      <c r="B2846" s="30" t="s">
        <v>1122</v>
      </c>
      <c r="C2846" s="30" t="s">
        <v>2958</v>
      </c>
      <c r="D2846" s="34" t="s">
        <v>153</v>
      </c>
      <c r="E2846" s="31">
        <v>419.05</v>
      </c>
      <c r="F2846" s="31">
        <v>20</v>
      </c>
      <c r="G2846" s="32">
        <f t="shared" si="455"/>
        <v>8381</v>
      </c>
      <c r="H2846" s="33">
        <f t="shared" si="452"/>
        <v>4.3455911555888636E-5</v>
      </c>
      <c r="K2846" t="str">
        <f xml:space="preserve"> B2838 &amp; B2846</f>
        <v>Z000246006Z040306009</v>
      </c>
    </row>
    <row r="2847" spans="1:11" outlineLevel="1" x14ac:dyDescent="0.2">
      <c r="A2847" s="29"/>
      <c r="B2847" s="30" t="s">
        <v>498</v>
      </c>
      <c r="C2847" s="30" t="s">
        <v>773</v>
      </c>
      <c r="D2847" s="34" t="s">
        <v>84</v>
      </c>
      <c r="E2847" s="31">
        <v>502.86</v>
      </c>
      <c r="F2847" s="31">
        <v>0</v>
      </c>
      <c r="G2847" s="32">
        <f t="shared" si="455"/>
        <v>0</v>
      </c>
      <c r="H2847" s="33">
        <f t="shared" si="452"/>
        <v>0</v>
      </c>
      <c r="K2847" t="str">
        <f xml:space="preserve"> B2838 &amp; B2847</f>
        <v>Z000246006Z040401001</v>
      </c>
    </row>
    <row r="2848" spans="1:11" outlineLevel="1" x14ac:dyDescent="0.2">
      <c r="A2848" s="29"/>
      <c r="B2848" s="30" t="s">
        <v>1970</v>
      </c>
      <c r="C2848" s="30" t="s">
        <v>1166</v>
      </c>
      <c r="D2848" s="34" t="s">
        <v>764</v>
      </c>
      <c r="E2848" s="31">
        <v>0</v>
      </c>
      <c r="F2848" s="31">
        <v>30.29</v>
      </c>
      <c r="G2848" s="32">
        <f t="shared" si="455"/>
        <v>0</v>
      </c>
      <c r="H2848" s="33">
        <f t="shared" si="452"/>
        <v>0</v>
      </c>
      <c r="K2848" t="str">
        <f xml:space="preserve"> B2838 &amp; B2848</f>
        <v>Z000246006Z050103007</v>
      </c>
    </row>
    <row r="2849" spans="1:11" outlineLevel="1" x14ac:dyDescent="0.2">
      <c r="A2849" s="29"/>
      <c r="B2849" s="30" t="s">
        <v>1971</v>
      </c>
      <c r="C2849" s="30" t="s">
        <v>1147</v>
      </c>
      <c r="D2849" s="34" t="s">
        <v>742</v>
      </c>
      <c r="E2849" s="31">
        <v>0</v>
      </c>
      <c r="F2849" s="31">
        <v>28.81</v>
      </c>
      <c r="G2849" s="32">
        <f t="shared" si="455"/>
        <v>0</v>
      </c>
      <c r="H2849" s="33">
        <f t="shared" si="452"/>
        <v>0</v>
      </c>
      <c r="K2849" t="str">
        <f xml:space="preserve"> B2838 &amp; B2849</f>
        <v>Z000246006Z050103008</v>
      </c>
    </row>
    <row r="2850" spans="1:11" outlineLevel="1" x14ac:dyDescent="0.2">
      <c r="A2850" s="29"/>
      <c r="B2850" s="30" t="s">
        <v>66</v>
      </c>
      <c r="C2850" s="30" t="s">
        <v>617</v>
      </c>
      <c r="D2850" s="34" t="s">
        <v>764</v>
      </c>
      <c r="E2850" s="31">
        <v>0</v>
      </c>
      <c r="F2850" s="31">
        <v>5.45</v>
      </c>
      <c r="G2850" s="32">
        <f t="shared" si="455"/>
        <v>0</v>
      </c>
      <c r="H2850" s="33">
        <f t="shared" si="452"/>
        <v>0</v>
      </c>
      <c r="K2850" t="str">
        <f xml:space="preserve"> B2838 &amp; B2850</f>
        <v>Z000246006Z050103019</v>
      </c>
    </row>
    <row r="2851" spans="1:11" outlineLevel="1" x14ac:dyDescent="0.2">
      <c r="A2851" s="29"/>
      <c r="B2851" s="30" t="s">
        <v>120</v>
      </c>
      <c r="C2851" s="30" t="s">
        <v>597</v>
      </c>
      <c r="D2851" s="34" t="s">
        <v>742</v>
      </c>
      <c r="E2851" s="31">
        <v>0</v>
      </c>
      <c r="F2851" s="31">
        <v>1.52</v>
      </c>
      <c r="G2851" s="32">
        <f t="shared" si="455"/>
        <v>0</v>
      </c>
      <c r="H2851" s="33">
        <f t="shared" si="452"/>
        <v>0</v>
      </c>
      <c r="K2851" t="str">
        <f xml:space="preserve"> B2838 &amp; B2851</f>
        <v>Z000246006Z050103020</v>
      </c>
    </row>
    <row r="2852" spans="1:11" outlineLevel="1" x14ac:dyDescent="0.2">
      <c r="A2852" s="11" t="s">
        <v>660</v>
      </c>
      <c r="B2852" s="11" t="s">
        <v>1577</v>
      </c>
      <c r="C2852" s="11" t="s">
        <v>4643</v>
      </c>
      <c r="D2852" s="12" t="s">
        <v>1152</v>
      </c>
      <c r="E2852" s="13">
        <v>2095.25</v>
      </c>
      <c r="F2852" s="14">
        <v>5.0492499999999998</v>
      </c>
      <c r="G2852" s="15">
        <f>SUM(G2853:G2857)</f>
        <v>10579.4410625</v>
      </c>
      <c r="H2852" s="16">
        <f t="shared" si="452"/>
        <v>5.4854940355892675E-5</v>
      </c>
    </row>
    <row r="2853" spans="1:11" outlineLevel="1" x14ac:dyDescent="0.2">
      <c r="A2853" s="29"/>
      <c r="B2853" s="30" t="s">
        <v>1250</v>
      </c>
      <c r="C2853" s="30" t="s">
        <v>3953</v>
      </c>
      <c r="D2853" s="34" t="s">
        <v>152</v>
      </c>
      <c r="E2853" s="31">
        <v>314.28749999999997</v>
      </c>
      <c r="F2853" s="31">
        <v>6.9950000000000001</v>
      </c>
      <c r="G2853" s="32">
        <f t="shared" ref="G2853:G2857" si="456">F2853*E2853</f>
        <v>2198.4410624999996</v>
      </c>
      <c r="H2853" s="33">
        <f t="shared" si="452"/>
        <v>1.1399028800004037E-5</v>
      </c>
      <c r="K2853" t="str">
        <f xml:space="preserve"> B2852 &amp; B2853</f>
        <v>Z000246007Z020501005</v>
      </c>
    </row>
    <row r="2854" spans="1:11" outlineLevel="1" x14ac:dyDescent="0.2">
      <c r="A2854" s="29"/>
      <c r="B2854" s="30" t="s">
        <v>1010</v>
      </c>
      <c r="C2854" s="30" t="s">
        <v>1140</v>
      </c>
      <c r="D2854" s="34" t="s">
        <v>151</v>
      </c>
      <c r="E2854" s="31">
        <v>0</v>
      </c>
      <c r="F2854" s="31">
        <v>35</v>
      </c>
      <c r="G2854" s="32">
        <f t="shared" si="456"/>
        <v>0</v>
      </c>
      <c r="H2854" s="33">
        <f t="shared" si="452"/>
        <v>0</v>
      </c>
      <c r="K2854" t="str">
        <f xml:space="preserve"> B2852 &amp; B2854</f>
        <v>Z000246007Z040201014</v>
      </c>
    </row>
    <row r="2855" spans="1:11" outlineLevel="1" x14ac:dyDescent="0.2">
      <c r="A2855" s="29"/>
      <c r="B2855" s="30" t="s">
        <v>801</v>
      </c>
      <c r="C2855" s="30" t="s">
        <v>402</v>
      </c>
      <c r="D2855" s="34" t="s">
        <v>151</v>
      </c>
      <c r="E2855" s="31">
        <v>0</v>
      </c>
      <c r="F2855" s="31">
        <v>10.3</v>
      </c>
      <c r="G2855" s="32">
        <f t="shared" si="456"/>
        <v>0</v>
      </c>
      <c r="H2855" s="33">
        <f t="shared" si="452"/>
        <v>0</v>
      </c>
      <c r="K2855" t="str">
        <f xml:space="preserve"> B2852 &amp; B2855</f>
        <v>Z000246007Z040202006</v>
      </c>
    </row>
    <row r="2856" spans="1:11" outlineLevel="1" x14ac:dyDescent="0.2">
      <c r="A2856" s="29"/>
      <c r="B2856" s="30" t="s">
        <v>687</v>
      </c>
      <c r="C2856" s="30" t="s">
        <v>3958</v>
      </c>
      <c r="D2856" s="34" t="s">
        <v>1152</v>
      </c>
      <c r="E2856" s="31">
        <v>2095.25</v>
      </c>
      <c r="F2856" s="31">
        <v>4</v>
      </c>
      <c r="G2856" s="32">
        <f t="shared" si="456"/>
        <v>8381</v>
      </c>
      <c r="H2856" s="33">
        <f t="shared" si="452"/>
        <v>4.3455911555888636E-5</v>
      </c>
      <c r="K2856" t="str">
        <f xml:space="preserve"> B2852 &amp; B2856</f>
        <v>Z000246007Z040309002</v>
      </c>
    </row>
    <row r="2857" spans="1:11" outlineLevel="1" x14ac:dyDescent="0.2">
      <c r="A2857" s="29"/>
      <c r="B2857" s="30" t="s">
        <v>498</v>
      </c>
      <c r="C2857" s="30" t="s">
        <v>773</v>
      </c>
      <c r="D2857" s="34" t="s">
        <v>84</v>
      </c>
      <c r="E2857" s="31">
        <v>2514.2999999999997</v>
      </c>
      <c r="F2857" s="31">
        <v>0</v>
      </c>
      <c r="G2857" s="32">
        <f t="shared" si="456"/>
        <v>0</v>
      </c>
      <c r="H2857" s="33">
        <f t="shared" si="452"/>
        <v>0</v>
      </c>
      <c r="K2857" t="str">
        <f xml:space="preserve"> B2852 &amp; B2857</f>
        <v>Z000246007Z040401001</v>
      </c>
    </row>
    <row r="2858" spans="1:11" outlineLevel="1" x14ac:dyDescent="0.2">
      <c r="A2858" s="11" t="s">
        <v>664</v>
      </c>
      <c r="B2858" s="11" t="s">
        <v>1581</v>
      </c>
      <c r="C2858" s="11" t="s">
        <v>4649</v>
      </c>
      <c r="D2858" s="12" t="s">
        <v>1152</v>
      </c>
      <c r="E2858" s="13">
        <v>2095.25</v>
      </c>
      <c r="F2858" s="14">
        <v>38.681399999999996</v>
      </c>
      <c r="G2858" s="15">
        <f>SUM(G2859:G2863)</f>
        <v>81047.203349999996</v>
      </c>
      <c r="H2858" s="16">
        <f t="shared" si="452"/>
        <v>4.2023387431448767E-4</v>
      </c>
    </row>
    <row r="2859" spans="1:11" outlineLevel="1" x14ac:dyDescent="0.2">
      <c r="A2859" s="29"/>
      <c r="B2859" s="30" t="s">
        <v>986</v>
      </c>
      <c r="C2859" s="30" t="s">
        <v>4058</v>
      </c>
      <c r="D2859" s="34" t="s">
        <v>1052</v>
      </c>
      <c r="E2859" s="31">
        <v>2320.2798499999999</v>
      </c>
      <c r="F2859" s="31">
        <v>11</v>
      </c>
      <c r="G2859" s="32">
        <f t="shared" ref="G2859:G2863" si="457">F2859*E2859</f>
        <v>25523.07835</v>
      </c>
      <c r="H2859" s="33">
        <f t="shared" si="452"/>
        <v>1.3233846025672547E-4</v>
      </c>
      <c r="K2859" t="str">
        <f xml:space="preserve"> B2858 &amp; B2859</f>
        <v>Z000246008Z020503007</v>
      </c>
    </row>
    <row r="2860" spans="1:11" outlineLevel="1" x14ac:dyDescent="0.2">
      <c r="A2860" s="29"/>
      <c r="B2860" s="30" t="s">
        <v>1010</v>
      </c>
      <c r="C2860" s="30" t="s">
        <v>1140</v>
      </c>
      <c r="D2860" s="34" t="s">
        <v>151</v>
      </c>
      <c r="E2860" s="31">
        <v>0</v>
      </c>
      <c r="F2860" s="31">
        <v>35</v>
      </c>
      <c r="G2860" s="32">
        <f t="shared" si="457"/>
        <v>0</v>
      </c>
      <c r="H2860" s="33">
        <f t="shared" si="452"/>
        <v>0</v>
      </c>
      <c r="K2860" t="str">
        <f xml:space="preserve"> B2858 &amp; B2860</f>
        <v>Z000246008Z040201014</v>
      </c>
    </row>
    <row r="2861" spans="1:11" outlineLevel="1" x14ac:dyDescent="0.2">
      <c r="A2861" s="29"/>
      <c r="B2861" s="30" t="s">
        <v>801</v>
      </c>
      <c r="C2861" s="30" t="s">
        <v>402</v>
      </c>
      <c r="D2861" s="34" t="s">
        <v>151</v>
      </c>
      <c r="E2861" s="31">
        <v>0</v>
      </c>
      <c r="F2861" s="31">
        <v>10.3</v>
      </c>
      <c r="G2861" s="32">
        <f t="shared" si="457"/>
        <v>0</v>
      </c>
      <c r="H2861" s="33">
        <f t="shared" si="452"/>
        <v>0</v>
      </c>
      <c r="K2861" t="str">
        <f xml:space="preserve"> B2858 &amp; B2861</f>
        <v>Z000246008Z040202006</v>
      </c>
    </row>
    <row r="2862" spans="1:11" outlineLevel="1" x14ac:dyDescent="0.2">
      <c r="A2862" s="29"/>
      <c r="B2862" s="30" t="s">
        <v>694</v>
      </c>
      <c r="C2862" s="30" t="s">
        <v>4063</v>
      </c>
      <c r="D2862" s="34" t="s">
        <v>1152</v>
      </c>
      <c r="E2862" s="31">
        <v>2095.25</v>
      </c>
      <c r="F2862" s="31">
        <v>26.5</v>
      </c>
      <c r="G2862" s="32">
        <f t="shared" si="457"/>
        <v>55524.125</v>
      </c>
      <c r="H2862" s="33">
        <f t="shared" si="452"/>
        <v>2.8789541405776223E-4</v>
      </c>
      <c r="K2862" t="str">
        <f xml:space="preserve"> B2858 &amp; B2862</f>
        <v>Z000246008Z040309005</v>
      </c>
    </row>
    <row r="2863" spans="1:11" outlineLevel="1" x14ac:dyDescent="0.2">
      <c r="A2863" s="29"/>
      <c r="B2863" s="30" t="s">
        <v>498</v>
      </c>
      <c r="C2863" s="30" t="s">
        <v>773</v>
      </c>
      <c r="D2863" s="34" t="s">
        <v>84</v>
      </c>
      <c r="E2863" s="31">
        <v>2514.2999999999997</v>
      </c>
      <c r="F2863" s="31">
        <v>0</v>
      </c>
      <c r="G2863" s="32">
        <f t="shared" si="457"/>
        <v>0</v>
      </c>
      <c r="H2863" s="33">
        <f t="shared" si="452"/>
        <v>0</v>
      </c>
      <c r="K2863" t="str">
        <f xml:space="preserve"> B2858 &amp; B2863</f>
        <v>Z000246008Z040401001</v>
      </c>
    </row>
    <row r="2864" spans="1:11" outlineLevel="1" x14ac:dyDescent="0.2">
      <c r="A2864" s="11" t="s">
        <v>668</v>
      </c>
      <c r="B2864" s="11" t="s">
        <v>1638</v>
      </c>
      <c r="C2864" s="11" t="s">
        <v>4655</v>
      </c>
      <c r="D2864" s="12" t="s">
        <v>1152</v>
      </c>
      <c r="E2864" s="13">
        <v>2444.4899999999998</v>
      </c>
      <c r="F2864" s="14">
        <v>135.35</v>
      </c>
      <c r="G2864" s="15">
        <f>SUM(G2865:G2866)</f>
        <v>330861.72149999993</v>
      </c>
      <c r="H2864" s="16">
        <f t="shared" si="452"/>
        <v>1.7155348653780044E-3</v>
      </c>
    </row>
    <row r="2865" spans="1:11" outlineLevel="1" x14ac:dyDescent="0.2">
      <c r="A2865" s="29"/>
      <c r="B2865" s="30" t="s">
        <v>1637</v>
      </c>
      <c r="C2865" s="30" t="s">
        <v>1123</v>
      </c>
      <c r="D2865" s="34" t="s">
        <v>1819</v>
      </c>
      <c r="E2865" s="31">
        <v>2444.4899999999998</v>
      </c>
      <c r="F2865" s="31">
        <v>116.38</v>
      </c>
      <c r="G2865" s="32">
        <f t="shared" ref="G2865:G2866" si="458">F2865*E2865</f>
        <v>284489.74619999994</v>
      </c>
      <c r="H2865" s="33">
        <f t="shared" si="452"/>
        <v>1.4750938133187453E-3</v>
      </c>
      <c r="K2865" t="str">
        <f xml:space="preserve"> B2864 &amp; B2865</f>
        <v>Z000246010Z020613001</v>
      </c>
    </row>
    <row r="2866" spans="1:11" outlineLevel="1" x14ac:dyDescent="0.2">
      <c r="A2866" s="29"/>
      <c r="B2866" s="30" t="s">
        <v>1869</v>
      </c>
      <c r="C2866" s="30" t="s">
        <v>4656</v>
      </c>
      <c r="D2866" s="34" t="s">
        <v>1819</v>
      </c>
      <c r="E2866" s="31">
        <v>2444.4899999999998</v>
      </c>
      <c r="F2866" s="31">
        <v>18.97</v>
      </c>
      <c r="G2866" s="32">
        <f t="shared" si="458"/>
        <v>46371.975299999991</v>
      </c>
      <c r="H2866" s="33">
        <f t="shared" si="452"/>
        <v>2.4044105205925929E-4</v>
      </c>
      <c r="K2866" t="str">
        <f xml:space="preserve"> B2864 &amp; B2866</f>
        <v>Z000246010Z040310024</v>
      </c>
    </row>
    <row r="2867" spans="1:11" ht="15" x14ac:dyDescent="0.2">
      <c r="A2867" s="17" t="s">
        <v>2093</v>
      </c>
      <c r="B2867" s="17" t="s">
        <v>328</v>
      </c>
      <c r="C2867" s="17" t="s">
        <v>709</v>
      </c>
      <c r="D2867" s="18"/>
      <c r="E2867" s="19"/>
      <c r="F2867" s="20"/>
      <c r="G2867" s="21">
        <f>SUM(G2868,G2966)</f>
        <v>1049233.53965957</v>
      </c>
      <c r="H2867" s="22">
        <f t="shared" si="452"/>
        <v>5.440329304488515E-3</v>
      </c>
    </row>
    <row r="2868" spans="1:11" x14ac:dyDescent="0.2">
      <c r="A2868" s="23" t="s">
        <v>544</v>
      </c>
      <c r="B2868" s="23" t="s">
        <v>328</v>
      </c>
      <c r="C2868" s="23" t="s">
        <v>1751</v>
      </c>
      <c r="D2868" s="24"/>
      <c r="E2868" s="25"/>
      <c r="F2868" s="26"/>
      <c r="G2868" s="27">
        <f>SUM(G2869,G2908,G2918,G2944,G2927,G2939,G2957)</f>
        <v>888468.5555717299</v>
      </c>
      <c r="H2868" s="28">
        <f t="shared" si="452"/>
        <v>4.6067546797653293E-3</v>
      </c>
    </row>
    <row r="2869" spans="1:11" outlineLevel="1" x14ac:dyDescent="0.2">
      <c r="A2869" s="11" t="s">
        <v>1202</v>
      </c>
      <c r="B2869" s="11" t="s">
        <v>1431</v>
      </c>
      <c r="C2869" s="11" t="s">
        <v>4671</v>
      </c>
      <c r="D2869" s="12" t="s">
        <v>1781</v>
      </c>
      <c r="E2869" s="13">
        <v>102</v>
      </c>
      <c r="F2869" s="14">
        <v>3196.6761759400001</v>
      </c>
      <c r="G2869" s="15">
        <f>SUM(G2870:G2907)</f>
        <v>326060.96994588</v>
      </c>
      <c r="H2869" s="16">
        <f t="shared" si="452"/>
        <v>1.6906427242328391E-3</v>
      </c>
    </row>
    <row r="2870" spans="1:11" outlineLevel="1" x14ac:dyDescent="0.2">
      <c r="A2870" s="29"/>
      <c r="B2870" s="30" t="s">
        <v>98</v>
      </c>
      <c r="C2870" s="30" t="s">
        <v>667</v>
      </c>
      <c r="D2870" s="34" t="s">
        <v>1052</v>
      </c>
      <c r="E2870" s="31">
        <v>1121.0003999999999</v>
      </c>
      <c r="F2870" s="31">
        <v>5.9442000000000004</v>
      </c>
      <c r="G2870" s="32">
        <f t="shared" ref="G2870:G2907" si="459">F2870*E2870</f>
        <v>6663.4505776799997</v>
      </c>
      <c r="H2870" s="33">
        <f t="shared" si="452"/>
        <v>3.455033038547872E-5</v>
      </c>
      <c r="K2870" t="str">
        <f xml:space="preserve"> B2869 &amp; B2870</f>
        <v>Z000247006Z010101001</v>
      </c>
    </row>
    <row r="2871" spans="1:11" outlineLevel="1" x14ac:dyDescent="0.2">
      <c r="A2871" s="29"/>
      <c r="B2871" s="30" t="s">
        <v>1561</v>
      </c>
      <c r="C2871" s="30" t="s">
        <v>1939</v>
      </c>
      <c r="D2871" s="34" t="s">
        <v>1052</v>
      </c>
      <c r="E2871" s="31">
        <v>26.193599999999996</v>
      </c>
      <c r="F2871" s="31">
        <v>9.8886000000000003</v>
      </c>
      <c r="G2871" s="32">
        <f t="shared" si="459"/>
        <v>259.01803295999997</v>
      </c>
      <c r="H2871" s="33">
        <f t="shared" si="452"/>
        <v>1.3430216837716272E-6</v>
      </c>
      <c r="K2871" t="str">
        <f xml:space="preserve"> B2869 &amp; B2871</f>
        <v>Z000247006Z010105001</v>
      </c>
    </row>
    <row r="2872" spans="1:11" outlineLevel="1" x14ac:dyDescent="0.2">
      <c r="A2872" s="29"/>
      <c r="B2872" s="30" t="s">
        <v>1174</v>
      </c>
      <c r="C2872" s="30" t="s">
        <v>4673</v>
      </c>
      <c r="D2872" s="34" t="s">
        <v>1052</v>
      </c>
      <c r="E2872" s="31">
        <v>13.5252</v>
      </c>
      <c r="F2872" s="31">
        <v>9.32</v>
      </c>
      <c r="G2872" s="32">
        <f t="shared" si="459"/>
        <v>126.05486400000001</v>
      </c>
      <c r="H2872" s="33">
        <f t="shared" si="452"/>
        <v>6.5360088547590632E-7</v>
      </c>
      <c r="K2872" t="str">
        <f xml:space="preserve"> B2869 &amp; B2872</f>
        <v>Z000247006Z010108001</v>
      </c>
    </row>
    <row r="2873" spans="1:11" outlineLevel="1" x14ac:dyDescent="0.2">
      <c r="A2873" s="29"/>
      <c r="B2873" s="30" t="s">
        <v>1043</v>
      </c>
      <c r="C2873" s="30" t="s">
        <v>1497</v>
      </c>
      <c r="D2873" s="34" t="s">
        <v>1052</v>
      </c>
      <c r="E2873" s="31">
        <v>14.2698</v>
      </c>
      <c r="F2873" s="31">
        <v>12.1</v>
      </c>
      <c r="G2873" s="32">
        <f t="shared" si="459"/>
        <v>172.66458</v>
      </c>
      <c r="H2873" s="33">
        <f t="shared" si="452"/>
        <v>8.9527463516461739E-7</v>
      </c>
      <c r="K2873" t="str">
        <f xml:space="preserve"> B2869 &amp; B2873</f>
        <v>Z000247006Z010109003</v>
      </c>
    </row>
    <row r="2874" spans="1:11" outlineLevel="1" x14ac:dyDescent="0.2">
      <c r="A2874" s="29"/>
      <c r="B2874" s="30" t="s">
        <v>1051</v>
      </c>
      <c r="C2874" s="30" t="s">
        <v>1130</v>
      </c>
      <c r="D2874" s="34" t="s">
        <v>1052</v>
      </c>
      <c r="E2874" s="31">
        <v>5.9058000000000002</v>
      </c>
      <c r="F2874" s="31">
        <v>11.57</v>
      </c>
      <c r="G2874" s="32">
        <f t="shared" si="459"/>
        <v>68.330106000000001</v>
      </c>
      <c r="H2874" s="33">
        <f t="shared" si="452"/>
        <v>3.5429507731064258E-7</v>
      </c>
      <c r="K2874" t="str">
        <f xml:space="preserve"> B2869 &amp; B2874</f>
        <v>Z000247006Z010109005</v>
      </c>
    </row>
    <row r="2875" spans="1:11" outlineLevel="1" x14ac:dyDescent="0.2">
      <c r="A2875" s="29"/>
      <c r="B2875" s="30" t="s">
        <v>1654</v>
      </c>
      <c r="C2875" s="30" t="s">
        <v>1551</v>
      </c>
      <c r="D2875" s="34" t="s">
        <v>1052</v>
      </c>
      <c r="E2875" s="31">
        <v>27559.084199999998</v>
      </c>
      <c r="F2875" s="31">
        <v>0.7974</v>
      </c>
      <c r="G2875" s="32">
        <f t="shared" si="459"/>
        <v>21975.613741079997</v>
      </c>
      <c r="H2875" s="33">
        <f t="shared" si="452"/>
        <v>1.1394467570919262E-4</v>
      </c>
      <c r="K2875" t="str">
        <f xml:space="preserve"> B2869 &amp; B2875</f>
        <v>Z000247006Z010301001</v>
      </c>
    </row>
    <row r="2876" spans="1:11" outlineLevel="1" x14ac:dyDescent="0.2">
      <c r="A2876" s="29"/>
      <c r="B2876" s="30" t="s">
        <v>1376</v>
      </c>
      <c r="C2876" s="30" t="s">
        <v>1622</v>
      </c>
      <c r="D2876" s="34" t="s">
        <v>1153</v>
      </c>
      <c r="E2876" s="31">
        <v>73.705200000000005</v>
      </c>
      <c r="F2876" s="31">
        <v>134.02000000000001</v>
      </c>
      <c r="G2876" s="32">
        <f t="shared" si="459"/>
        <v>9877.9709040000016</v>
      </c>
      <c r="H2876" s="33">
        <f t="shared" si="452"/>
        <v>5.1217781882336885E-5</v>
      </c>
      <c r="K2876" t="str">
        <f xml:space="preserve"> B2869 &amp; B2876</f>
        <v>Z000247006Z010303002</v>
      </c>
    </row>
    <row r="2877" spans="1:11" outlineLevel="1" x14ac:dyDescent="0.2">
      <c r="A2877" s="29"/>
      <c r="B2877" s="30" t="s">
        <v>1379</v>
      </c>
      <c r="C2877" s="30" t="s">
        <v>1626</v>
      </c>
      <c r="D2877" s="34" t="s">
        <v>1153</v>
      </c>
      <c r="E2877" s="31">
        <v>22.572600000000001</v>
      </c>
      <c r="F2877" s="31">
        <v>116.09</v>
      </c>
      <c r="G2877" s="32">
        <f t="shared" si="459"/>
        <v>2620.4531340000003</v>
      </c>
      <c r="H2877" s="33">
        <f t="shared" si="452"/>
        <v>1.3587182869282331E-5</v>
      </c>
      <c r="K2877" t="str">
        <f xml:space="preserve"> B2869 &amp; B2877</f>
        <v>Z000247006Z010303003</v>
      </c>
    </row>
    <row r="2878" spans="1:11" outlineLevel="1" x14ac:dyDescent="0.2">
      <c r="A2878" s="29"/>
      <c r="B2878" s="30" t="s">
        <v>1258</v>
      </c>
      <c r="C2878" s="30" t="s">
        <v>1526</v>
      </c>
      <c r="D2878" s="34" t="s">
        <v>1153</v>
      </c>
      <c r="E2878" s="31">
        <v>55.447199999999995</v>
      </c>
      <c r="F2878" s="31">
        <v>148</v>
      </c>
      <c r="G2878" s="32">
        <f t="shared" si="459"/>
        <v>8206.1855999999989</v>
      </c>
      <c r="H2878" s="33">
        <f t="shared" si="452"/>
        <v>4.2549489994607669E-5</v>
      </c>
      <c r="K2878" t="str">
        <f xml:space="preserve"> B2869 &amp; B2878</f>
        <v>Z000247006Z010304001</v>
      </c>
    </row>
    <row r="2879" spans="1:11" outlineLevel="1" x14ac:dyDescent="0.2">
      <c r="A2879" s="29"/>
      <c r="B2879" s="30" t="s">
        <v>1129</v>
      </c>
      <c r="C2879" s="30" t="s">
        <v>2681</v>
      </c>
      <c r="D2879" s="34" t="s">
        <v>152</v>
      </c>
      <c r="E2879" s="31">
        <v>1.2750000000000001</v>
      </c>
      <c r="F2879" s="31">
        <v>19.722200000000001</v>
      </c>
      <c r="G2879" s="32">
        <f t="shared" si="459"/>
        <v>25.145805000000003</v>
      </c>
      <c r="H2879" s="33">
        <f t="shared" si="452"/>
        <v>1.3038227873542806E-7</v>
      </c>
      <c r="K2879" t="str">
        <f xml:space="preserve"> B2869 &amp; B2879</f>
        <v>Z000247006Z010305001</v>
      </c>
    </row>
    <row r="2880" spans="1:11" outlineLevel="1" x14ac:dyDescent="0.2">
      <c r="A2880" s="29"/>
      <c r="B2880" s="30" t="s">
        <v>1134</v>
      </c>
      <c r="C2880" s="30" t="s">
        <v>4712</v>
      </c>
      <c r="D2880" s="34" t="s">
        <v>152</v>
      </c>
      <c r="E2880" s="31">
        <v>509.60220000000004</v>
      </c>
      <c r="F2880" s="31">
        <v>6.91</v>
      </c>
      <c r="G2880" s="32">
        <f t="shared" si="459"/>
        <v>3521.3512020000003</v>
      </c>
      <c r="H2880" s="33">
        <f t="shared" si="452"/>
        <v>1.8258385203595533E-5</v>
      </c>
      <c r="K2880" t="str">
        <f xml:space="preserve"> B2869 &amp; B2880</f>
        <v>Z000247006Z010305004</v>
      </c>
    </row>
    <row r="2881" spans="1:11" outlineLevel="1" x14ac:dyDescent="0.2">
      <c r="A2881" s="29"/>
      <c r="B2881" s="30" t="s">
        <v>423</v>
      </c>
      <c r="C2881" s="30" t="s">
        <v>2683</v>
      </c>
      <c r="D2881" s="34" t="s">
        <v>1152</v>
      </c>
      <c r="E2881" s="31">
        <v>216.76020000000003</v>
      </c>
      <c r="F2881" s="31">
        <v>55.495800000000003</v>
      </c>
      <c r="G2881" s="32">
        <f t="shared" si="459"/>
        <v>12029.280707160002</v>
      </c>
      <c r="H2881" s="33">
        <f t="shared" ref="H2881:H2938" si="460">G2881/$F$2</f>
        <v>6.2372432703890058E-5</v>
      </c>
      <c r="K2881" t="str">
        <f xml:space="preserve"> B2869 &amp; B2881</f>
        <v>Z000247006Z010401001</v>
      </c>
    </row>
    <row r="2882" spans="1:11" outlineLevel="1" x14ac:dyDescent="0.2">
      <c r="A2882" s="29"/>
      <c r="B2882" s="30" t="s">
        <v>189</v>
      </c>
      <c r="C2882" s="30" t="s">
        <v>2685</v>
      </c>
      <c r="D2882" s="34" t="s">
        <v>153</v>
      </c>
      <c r="E2882" s="31">
        <v>45.573599999999999</v>
      </c>
      <c r="F2882" s="31">
        <v>11.05</v>
      </c>
      <c r="G2882" s="32">
        <f t="shared" si="459"/>
        <v>503.58828</v>
      </c>
      <c r="H2882" s="33">
        <f t="shared" si="460"/>
        <v>2.6111308622195541E-6</v>
      </c>
      <c r="K2882" t="str">
        <f xml:space="preserve"> B2869 &amp; B2882</f>
        <v>Z000247006Z010403001</v>
      </c>
    </row>
    <row r="2883" spans="1:11" outlineLevel="1" x14ac:dyDescent="0.2">
      <c r="A2883" s="29"/>
      <c r="B2883" s="30" t="s">
        <v>82</v>
      </c>
      <c r="C2883" s="30" t="s">
        <v>2688</v>
      </c>
      <c r="D2883" s="34" t="s">
        <v>153</v>
      </c>
      <c r="E2883" s="31">
        <v>200.36879999999999</v>
      </c>
      <c r="F2883" s="31">
        <v>2.04</v>
      </c>
      <c r="G2883" s="32">
        <f t="shared" si="459"/>
        <v>408.75235199999997</v>
      </c>
      <c r="H2883" s="33">
        <f t="shared" si="460"/>
        <v>2.1194017488096241E-6</v>
      </c>
      <c r="K2883" t="str">
        <f xml:space="preserve"> B2869 &amp; B2883</f>
        <v>Z000247006Z010404002</v>
      </c>
    </row>
    <row r="2884" spans="1:11" outlineLevel="1" x14ac:dyDescent="0.2">
      <c r="A2884" s="29"/>
      <c r="B2884" s="30" t="s">
        <v>1784</v>
      </c>
      <c r="C2884" s="30" t="s">
        <v>4701</v>
      </c>
      <c r="D2884" s="34" t="s">
        <v>1781</v>
      </c>
      <c r="E2884" s="31">
        <v>29537.833199999997</v>
      </c>
      <c r="F2884" s="31">
        <v>0.54</v>
      </c>
      <c r="G2884" s="32">
        <f t="shared" si="459"/>
        <v>15950.429928</v>
      </c>
      <c r="H2884" s="33">
        <f t="shared" si="460"/>
        <v>8.2703790983124591E-5</v>
      </c>
      <c r="K2884" t="str">
        <f xml:space="preserve"> B2869 &amp; B2884</f>
        <v>Z000247006Z010603001</v>
      </c>
    </row>
    <row r="2885" spans="1:11" outlineLevel="1" x14ac:dyDescent="0.2">
      <c r="A2885" s="29"/>
      <c r="B2885" s="30" t="s">
        <v>1925</v>
      </c>
      <c r="C2885" s="30" t="s">
        <v>4703</v>
      </c>
      <c r="D2885" s="34" t="s">
        <v>1781</v>
      </c>
      <c r="E2885" s="31">
        <v>102</v>
      </c>
      <c r="F2885" s="31">
        <v>352.05</v>
      </c>
      <c r="G2885" s="32">
        <f t="shared" si="459"/>
        <v>35909.1</v>
      </c>
      <c r="H2885" s="33">
        <f t="shared" si="460"/>
        <v>1.8619051111461171E-4</v>
      </c>
      <c r="K2885" t="str">
        <f xml:space="preserve"> B2869 &amp; B2885</f>
        <v>Z000247006Z010708001</v>
      </c>
    </row>
    <row r="2886" spans="1:11" outlineLevel="1" x14ac:dyDescent="0.2">
      <c r="A2886" s="29"/>
      <c r="B2886" s="30" t="s">
        <v>1927</v>
      </c>
      <c r="C2886" s="30" t="s">
        <v>4705</v>
      </c>
      <c r="D2886" s="34" t="s">
        <v>1781</v>
      </c>
      <c r="E2886" s="31">
        <v>102</v>
      </c>
      <c r="F2886" s="31">
        <v>479.78</v>
      </c>
      <c r="G2886" s="32">
        <f t="shared" si="459"/>
        <v>48937.56</v>
      </c>
      <c r="H2886" s="33">
        <f t="shared" si="460"/>
        <v>2.5374373930569068E-4</v>
      </c>
      <c r="K2886" t="str">
        <f xml:space="preserve"> B2869 &amp; B2886</f>
        <v>Z000247006Z010708002</v>
      </c>
    </row>
    <row r="2887" spans="1:11" outlineLevel="1" x14ac:dyDescent="0.2">
      <c r="A2887" s="29"/>
      <c r="B2887" s="30" t="s">
        <v>1591</v>
      </c>
      <c r="C2887" s="30" t="s">
        <v>4669</v>
      </c>
      <c r="D2887" s="34" t="s">
        <v>1153</v>
      </c>
      <c r="E2887" s="31">
        <v>7.9355999999999991</v>
      </c>
      <c r="F2887" s="31">
        <v>439.92</v>
      </c>
      <c r="G2887" s="32">
        <f t="shared" si="459"/>
        <v>3491.0291519999996</v>
      </c>
      <c r="H2887" s="33">
        <f t="shared" si="460"/>
        <v>1.8101163831087089E-5</v>
      </c>
      <c r="K2887" t="str">
        <f xml:space="preserve"> B2869 &amp; B2887</f>
        <v>Z000247006Z011301001</v>
      </c>
    </row>
    <row r="2888" spans="1:11" outlineLevel="1" x14ac:dyDescent="0.2">
      <c r="A2888" s="29"/>
      <c r="B2888" s="30" t="s">
        <v>1371</v>
      </c>
      <c r="C2888" s="30" t="s">
        <v>2406</v>
      </c>
      <c r="D2888" s="34" t="s">
        <v>1781</v>
      </c>
      <c r="E2888" s="31">
        <v>2218.9589999999998</v>
      </c>
      <c r="F2888" s="31">
        <v>0.22</v>
      </c>
      <c r="G2888" s="32">
        <f t="shared" si="459"/>
        <v>488.17097999999999</v>
      </c>
      <c r="H2888" s="33">
        <f t="shared" si="460"/>
        <v>2.5311913770470683E-6</v>
      </c>
      <c r="K2888" t="str">
        <f xml:space="preserve"> B2869 &amp; B2888</f>
        <v>Z000247006Z030107001</v>
      </c>
    </row>
    <row r="2889" spans="1:11" outlineLevel="1" x14ac:dyDescent="0.2">
      <c r="A2889" s="29"/>
      <c r="B2889" s="30" t="s">
        <v>935</v>
      </c>
      <c r="C2889" s="30" t="s">
        <v>1352</v>
      </c>
      <c r="D2889" s="34" t="s">
        <v>151</v>
      </c>
      <c r="E2889" s="31">
        <v>0</v>
      </c>
      <c r="F2889" s="31">
        <v>15.1457</v>
      </c>
      <c r="G2889" s="32">
        <f t="shared" si="459"/>
        <v>0</v>
      </c>
      <c r="H2889" s="33">
        <f t="shared" si="460"/>
        <v>0</v>
      </c>
      <c r="K2889" t="str">
        <f xml:space="preserve"> B2869 &amp; B2889</f>
        <v>Z000247006Z040201001</v>
      </c>
    </row>
    <row r="2890" spans="1:11" outlineLevel="1" x14ac:dyDescent="0.2">
      <c r="A2890" s="29"/>
      <c r="B2890" s="30" t="s">
        <v>944</v>
      </c>
      <c r="C2890" s="30" t="s">
        <v>1601</v>
      </c>
      <c r="D2890" s="34" t="s">
        <v>151</v>
      </c>
      <c r="E2890" s="31">
        <v>0</v>
      </c>
      <c r="F2890" s="31">
        <v>19.170000000000002</v>
      </c>
      <c r="G2890" s="32">
        <f t="shared" si="459"/>
        <v>0</v>
      </c>
      <c r="H2890" s="33">
        <f t="shared" si="460"/>
        <v>0</v>
      </c>
      <c r="K2890" t="str">
        <f xml:space="preserve"> B2869 &amp; B2890</f>
        <v>Z000247006Z040201005</v>
      </c>
    </row>
    <row r="2891" spans="1:11" outlineLevel="1" x14ac:dyDescent="0.2">
      <c r="A2891" s="29"/>
      <c r="B2891" s="30" t="s">
        <v>1009</v>
      </c>
      <c r="C2891" s="30" t="s">
        <v>672</v>
      </c>
      <c r="D2891" s="34" t="s">
        <v>151</v>
      </c>
      <c r="E2891" s="31">
        <v>0</v>
      </c>
      <c r="F2891" s="31">
        <v>16.489999999999998</v>
      </c>
      <c r="G2891" s="32">
        <f t="shared" si="459"/>
        <v>0</v>
      </c>
      <c r="H2891" s="33">
        <f t="shared" si="460"/>
        <v>0</v>
      </c>
      <c r="K2891" t="str">
        <f xml:space="preserve"> B2869 &amp; B2891</f>
        <v>Z000247006Z040201013</v>
      </c>
    </row>
    <row r="2892" spans="1:11" outlineLevel="1" x14ac:dyDescent="0.2">
      <c r="A2892" s="29"/>
      <c r="B2892" s="30" t="s">
        <v>792</v>
      </c>
      <c r="C2892" s="30" t="s">
        <v>335</v>
      </c>
      <c r="D2892" s="34" t="s">
        <v>151</v>
      </c>
      <c r="E2892" s="31">
        <v>0</v>
      </c>
      <c r="F2892" s="31">
        <v>11.1343</v>
      </c>
      <c r="G2892" s="32">
        <f t="shared" si="459"/>
        <v>0</v>
      </c>
      <c r="H2892" s="33">
        <f t="shared" si="460"/>
        <v>0</v>
      </c>
      <c r="K2892" t="str">
        <f xml:space="preserve"> B2869 &amp; B2892</f>
        <v>Z000247006Z040202001</v>
      </c>
    </row>
    <row r="2893" spans="1:11" outlineLevel="1" x14ac:dyDescent="0.2">
      <c r="A2893" s="29"/>
      <c r="B2893" s="30" t="s">
        <v>794</v>
      </c>
      <c r="C2893" s="30" t="s">
        <v>446</v>
      </c>
      <c r="D2893" s="34" t="s">
        <v>151</v>
      </c>
      <c r="E2893" s="31">
        <v>0</v>
      </c>
      <c r="F2893" s="31">
        <v>11.1343</v>
      </c>
      <c r="G2893" s="32">
        <f t="shared" si="459"/>
        <v>0</v>
      </c>
      <c r="H2893" s="33">
        <f t="shared" si="460"/>
        <v>0</v>
      </c>
      <c r="K2893" t="str">
        <f xml:space="preserve"> B2869 &amp; B2893</f>
        <v>Z000247006Z040202002</v>
      </c>
    </row>
    <row r="2894" spans="1:11" outlineLevel="1" x14ac:dyDescent="0.2">
      <c r="A2894" s="29"/>
      <c r="B2894" s="30" t="s">
        <v>801</v>
      </c>
      <c r="C2894" s="30" t="s">
        <v>402</v>
      </c>
      <c r="D2894" s="34" t="s">
        <v>151</v>
      </c>
      <c r="E2894" s="31">
        <v>0</v>
      </c>
      <c r="F2894" s="31">
        <v>10.3</v>
      </c>
      <c r="G2894" s="32">
        <f t="shared" si="459"/>
        <v>0</v>
      </c>
      <c r="H2894" s="33">
        <f t="shared" si="460"/>
        <v>0</v>
      </c>
      <c r="K2894" t="str">
        <f xml:space="preserve"> B2869 &amp; B2894</f>
        <v>Z000247006Z040202006</v>
      </c>
    </row>
    <row r="2895" spans="1:11" outlineLevel="1" x14ac:dyDescent="0.2">
      <c r="A2895" s="29"/>
      <c r="B2895" s="30" t="s">
        <v>547</v>
      </c>
      <c r="C2895" s="30" t="s">
        <v>2320</v>
      </c>
      <c r="D2895" s="34" t="s">
        <v>151</v>
      </c>
      <c r="E2895" s="31">
        <v>0</v>
      </c>
      <c r="F2895" s="31">
        <v>13.51</v>
      </c>
      <c r="G2895" s="32">
        <f t="shared" si="459"/>
        <v>0</v>
      </c>
      <c r="H2895" s="33">
        <f t="shared" si="460"/>
        <v>0</v>
      </c>
      <c r="K2895" t="str">
        <f xml:space="preserve"> B2869 &amp; B2895</f>
        <v>Z000247006Z040204001</v>
      </c>
    </row>
    <row r="2896" spans="1:11" outlineLevel="1" x14ac:dyDescent="0.2">
      <c r="A2896" s="29"/>
      <c r="B2896" s="30" t="s">
        <v>1278</v>
      </c>
      <c r="C2896" s="30" t="s">
        <v>4688</v>
      </c>
      <c r="D2896" s="34" t="s">
        <v>1781</v>
      </c>
      <c r="E2896" s="31">
        <v>102</v>
      </c>
      <c r="F2896" s="31">
        <v>1517.91</v>
      </c>
      <c r="G2896" s="32">
        <f t="shared" si="459"/>
        <v>154826.82</v>
      </c>
      <c r="H2896" s="33">
        <f t="shared" si="460"/>
        <v>8.0278494170140681E-4</v>
      </c>
      <c r="K2896" t="str">
        <f xml:space="preserve"> B2869 &amp; B2896</f>
        <v>Z000247006Z040314016</v>
      </c>
    </row>
    <row r="2897" spans="1:11" outlineLevel="1" x14ac:dyDescent="0.2">
      <c r="A2897" s="29"/>
      <c r="B2897" s="30" t="s">
        <v>498</v>
      </c>
      <c r="C2897" s="30" t="s">
        <v>773</v>
      </c>
      <c r="D2897" s="34" t="s">
        <v>84</v>
      </c>
      <c r="E2897" s="31">
        <v>122.39999999999999</v>
      </c>
      <c r="F2897" s="31">
        <v>0</v>
      </c>
      <c r="G2897" s="32">
        <f t="shared" si="459"/>
        <v>0</v>
      </c>
      <c r="H2897" s="33">
        <f t="shared" si="460"/>
        <v>0</v>
      </c>
      <c r="K2897" t="str">
        <f xml:space="preserve"> B2869 &amp; B2897</f>
        <v>Z000247006Z040401001</v>
      </c>
    </row>
    <row r="2898" spans="1:11" outlineLevel="1" x14ac:dyDescent="0.2">
      <c r="A2898" s="29"/>
      <c r="B2898" s="30" t="s">
        <v>238</v>
      </c>
      <c r="C2898" s="30" t="s">
        <v>2376</v>
      </c>
      <c r="D2898" s="34" t="s">
        <v>764</v>
      </c>
      <c r="E2898" s="31">
        <v>0</v>
      </c>
      <c r="F2898" s="31">
        <v>138.31</v>
      </c>
      <c r="G2898" s="32">
        <f t="shared" si="459"/>
        <v>0</v>
      </c>
      <c r="H2898" s="33">
        <f t="shared" si="460"/>
        <v>0</v>
      </c>
      <c r="K2898" t="str">
        <f xml:space="preserve"> B2869 &amp; B2898</f>
        <v>Z000247006Z050101005</v>
      </c>
    </row>
    <row r="2899" spans="1:11" outlineLevel="1" x14ac:dyDescent="0.2">
      <c r="A2899" s="29"/>
      <c r="B2899" s="30" t="s">
        <v>239</v>
      </c>
      <c r="C2899" s="30" t="s">
        <v>2378</v>
      </c>
      <c r="D2899" s="34" t="s">
        <v>742</v>
      </c>
      <c r="E2899" s="31">
        <v>0</v>
      </c>
      <c r="F2899" s="31">
        <v>65.73</v>
      </c>
      <c r="G2899" s="32">
        <f t="shared" si="459"/>
        <v>0</v>
      </c>
      <c r="H2899" s="33">
        <f t="shared" si="460"/>
        <v>0</v>
      </c>
      <c r="K2899" t="str">
        <f xml:space="preserve"> B2869 &amp; B2899</f>
        <v>Z000247006Z050101006</v>
      </c>
    </row>
    <row r="2900" spans="1:11" outlineLevel="1" x14ac:dyDescent="0.2">
      <c r="A2900" s="29"/>
      <c r="B2900" s="30" t="s">
        <v>1968</v>
      </c>
      <c r="C2900" s="30" t="s">
        <v>2500</v>
      </c>
      <c r="D2900" s="34" t="s">
        <v>764</v>
      </c>
      <c r="E2900" s="31">
        <v>0</v>
      </c>
      <c r="F2900" s="31">
        <v>1.39</v>
      </c>
      <c r="G2900" s="32">
        <f t="shared" si="459"/>
        <v>0</v>
      </c>
      <c r="H2900" s="33">
        <f t="shared" si="460"/>
        <v>0</v>
      </c>
      <c r="K2900" t="str">
        <f xml:space="preserve"> B2869 &amp; B2900</f>
        <v>Z000247006Z050103005</v>
      </c>
    </row>
    <row r="2901" spans="1:11" outlineLevel="1" x14ac:dyDescent="0.2">
      <c r="A2901" s="29"/>
      <c r="B2901" s="30" t="s">
        <v>1969</v>
      </c>
      <c r="C2901" s="30" t="s">
        <v>2502</v>
      </c>
      <c r="D2901" s="34" t="s">
        <v>742</v>
      </c>
      <c r="E2901" s="31">
        <v>0</v>
      </c>
      <c r="F2901" s="31">
        <v>0.53</v>
      </c>
      <c r="G2901" s="32">
        <f t="shared" si="459"/>
        <v>0</v>
      </c>
      <c r="H2901" s="33">
        <f t="shared" si="460"/>
        <v>0</v>
      </c>
      <c r="K2901" t="str">
        <f xml:space="preserve"> B2869 &amp; B2901</f>
        <v>Z000247006Z050103006</v>
      </c>
    </row>
    <row r="2902" spans="1:11" outlineLevel="1" x14ac:dyDescent="0.2">
      <c r="A2902" s="29"/>
      <c r="B2902" s="30" t="s">
        <v>1970</v>
      </c>
      <c r="C2902" s="30" t="s">
        <v>1166</v>
      </c>
      <c r="D2902" s="34" t="s">
        <v>764</v>
      </c>
      <c r="E2902" s="31">
        <v>0</v>
      </c>
      <c r="F2902" s="31">
        <v>30.29</v>
      </c>
      <c r="G2902" s="32">
        <f t="shared" si="459"/>
        <v>0</v>
      </c>
      <c r="H2902" s="33">
        <f t="shared" si="460"/>
        <v>0</v>
      </c>
      <c r="K2902" t="str">
        <f xml:space="preserve"> B2869 &amp; B2902</f>
        <v>Z000247006Z050103007</v>
      </c>
    </row>
    <row r="2903" spans="1:11" outlineLevel="1" x14ac:dyDescent="0.2">
      <c r="A2903" s="29"/>
      <c r="B2903" s="30" t="s">
        <v>1971</v>
      </c>
      <c r="C2903" s="30" t="s">
        <v>1147</v>
      </c>
      <c r="D2903" s="34" t="s">
        <v>742</v>
      </c>
      <c r="E2903" s="31">
        <v>0</v>
      </c>
      <c r="F2903" s="31">
        <v>28.81</v>
      </c>
      <c r="G2903" s="32">
        <f t="shared" si="459"/>
        <v>0</v>
      </c>
      <c r="H2903" s="33">
        <f t="shared" si="460"/>
        <v>0</v>
      </c>
      <c r="K2903" t="str">
        <f xml:space="preserve"> B2869 &amp; B2903</f>
        <v>Z000247006Z050103008</v>
      </c>
    </row>
    <row r="2904" spans="1:11" outlineLevel="1" x14ac:dyDescent="0.2">
      <c r="A2904" s="29"/>
      <c r="B2904" s="30" t="s">
        <v>61</v>
      </c>
      <c r="C2904" s="30" t="s">
        <v>2490</v>
      </c>
      <c r="D2904" s="34" t="s">
        <v>764</v>
      </c>
      <c r="E2904" s="31">
        <v>0</v>
      </c>
      <c r="F2904" s="31">
        <v>36.880000000000003</v>
      </c>
      <c r="G2904" s="32">
        <f t="shared" si="459"/>
        <v>0</v>
      </c>
      <c r="H2904" s="33">
        <f t="shared" si="460"/>
        <v>0</v>
      </c>
      <c r="K2904" t="str">
        <f xml:space="preserve"> B2869 &amp; B2904</f>
        <v>Z000247006Z050103017</v>
      </c>
    </row>
    <row r="2905" spans="1:11" outlineLevel="1" x14ac:dyDescent="0.2">
      <c r="A2905" s="29"/>
      <c r="B2905" s="30" t="s">
        <v>62</v>
      </c>
      <c r="C2905" s="30" t="s">
        <v>4668</v>
      </c>
      <c r="D2905" s="34" t="s">
        <v>742</v>
      </c>
      <c r="E2905" s="31">
        <v>0</v>
      </c>
      <c r="F2905" s="31">
        <v>29.73</v>
      </c>
      <c r="G2905" s="32">
        <f t="shared" si="459"/>
        <v>0</v>
      </c>
      <c r="H2905" s="33">
        <f t="shared" si="460"/>
        <v>0</v>
      </c>
      <c r="K2905" t="str">
        <f xml:space="preserve"> B2869 &amp; B2905</f>
        <v>Z000247006Z050103018</v>
      </c>
    </row>
    <row r="2906" spans="1:11" outlineLevel="1" x14ac:dyDescent="0.2">
      <c r="A2906" s="29"/>
      <c r="B2906" s="30" t="s">
        <v>66</v>
      </c>
      <c r="C2906" s="30" t="s">
        <v>617</v>
      </c>
      <c r="D2906" s="34" t="s">
        <v>764</v>
      </c>
      <c r="E2906" s="31">
        <v>0</v>
      </c>
      <c r="F2906" s="31">
        <v>5.45</v>
      </c>
      <c r="G2906" s="32">
        <f t="shared" si="459"/>
        <v>0</v>
      </c>
      <c r="H2906" s="33">
        <f t="shared" si="460"/>
        <v>0</v>
      </c>
      <c r="K2906" t="str">
        <f xml:space="preserve"> B2869 &amp; B2906</f>
        <v>Z000247006Z050103019</v>
      </c>
    </row>
    <row r="2907" spans="1:11" outlineLevel="1" x14ac:dyDescent="0.2">
      <c r="A2907" s="29"/>
      <c r="B2907" s="30" t="s">
        <v>120</v>
      </c>
      <c r="C2907" s="30" t="s">
        <v>597</v>
      </c>
      <c r="D2907" s="34" t="s">
        <v>742</v>
      </c>
      <c r="E2907" s="31">
        <v>0</v>
      </c>
      <c r="F2907" s="31">
        <v>1.52</v>
      </c>
      <c r="G2907" s="32">
        <f t="shared" si="459"/>
        <v>0</v>
      </c>
      <c r="H2907" s="33">
        <f t="shared" si="460"/>
        <v>0</v>
      </c>
      <c r="K2907" t="str">
        <f xml:space="preserve"> B2869 &amp; B2907</f>
        <v>Z000247006Z050103020</v>
      </c>
    </row>
    <row r="2908" spans="1:11" outlineLevel="1" x14ac:dyDescent="0.2">
      <c r="A2908" s="11" t="s">
        <v>1207</v>
      </c>
      <c r="B2908" s="11" t="s">
        <v>1494</v>
      </c>
      <c r="C2908" s="11" t="s">
        <v>4717</v>
      </c>
      <c r="D2908" s="12" t="s">
        <v>153</v>
      </c>
      <c r="E2908" s="13">
        <v>890.03</v>
      </c>
      <c r="F2908" s="14">
        <v>313.03001826000002</v>
      </c>
      <c r="G2908" s="15">
        <f>SUM(G2909:G2917)</f>
        <v>278606.1071519478</v>
      </c>
      <c r="H2908" s="16">
        <f t="shared" si="460"/>
        <v>1.4445868454033501E-3</v>
      </c>
    </row>
    <row r="2909" spans="1:11" outlineLevel="1" x14ac:dyDescent="0.2">
      <c r="A2909" s="29"/>
      <c r="B2909" s="30" t="s">
        <v>1654</v>
      </c>
      <c r="C2909" s="30" t="s">
        <v>1551</v>
      </c>
      <c r="D2909" s="34" t="s">
        <v>1052</v>
      </c>
      <c r="E2909" s="31">
        <v>2020.2790969999999</v>
      </c>
      <c r="F2909" s="31">
        <v>0.7974</v>
      </c>
      <c r="G2909" s="32">
        <f t="shared" ref="G2909:G2917" si="461">F2909*E2909</f>
        <v>1610.9705519477998</v>
      </c>
      <c r="H2909" s="33">
        <f t="shared" si="460"/>
        <v>8.3529643031362233E-6</v>
      </c>
      <c r="K2909" t="str">
        <f xml:space="preserve"> B2908 &amp; B2909</f>
        <v>Z000247011Z010301001</v>
      </c>
    </row>
    <row r="2910" spans="1:11" outlineLevel="1" x14ac:dyDescent="0.2">
      <c r="A2910" s="29"/>
      <c r="B2910" s="30" t="s">
        <v>1258</v>
      </c>
      <c r="C2910" s="30" t="s">
        <v>1526</v>
      </c>
      <c r="D2910" s="34" t="s">
        <v>1153</v>
      </c>
      <c r="E2910" s="31">
        <v>4.4501499999999998</v>
      </c>
      <c r="F2910" s="31">
        <v>148</v>
      </c>
      <c r="G2910" s="32">
        <f t="shared" si="461"/>
        <v>658.62220000000002</v>
      </c>
      <c r="H2910" s="33">
        <f t="shared" si="460"/>
        <v>3.4149896279614367E-6</v>
      </c>
      <c r="K2910" t="str">
        <f xml:space="preserve"> B2908 &amp; B2910</f>
        <v>Z000247011Z010304001</v>
      </c>
    </row>
    <row r="2911" spans="1:11" outlineLevel="1" x14ac:dyDescent="0.2">
      <c r="A2911" s="29"/>
      <c r="B2911" s="30" t="s">
        <v>59</v>
      </c>
      <c r="C2911" s="30" t="s">
        <v>4725</v>
      </c>
      <c r="D2911" s="34" t="s">
        <v>1781</v>
      </c>
      <c r="E2911" s="31">
        <v>916.73090000000002</v>
      </c>
      <c r="F2911" s="31">
        <v>266</v>
      </c>
      <c r="G2911" s="32">
        <f t="shared" si="461"/>
        <v>243850.41940000001</v>
      </c>
      <c r="H2911" s="33">
        <f t="shared" si="460"/>
        <v>1.264376835498479E-3</v>
      </c>
      <c r="K2911" t="str">
        <f xml:space="preserve"> B2908 &amp; B2911</f>
        <v>Z000247011Z010707002</v>
      </c>
    </row>
    <row r="2912" spans="1:11" outlineLevel="1" x14ac:dyDescent="0.2">
      <c r="A2912" s="29"/>
      <c r="B2912" s="30" t="s">
        <v>937</v>
      </c>
      <c r="C2912" s="30" t="s">
        <v>509</v>
      </c>
      <c r="D2912" s="34" t="s">
        <v>151</v>
      </c>
      <c r="E2912" s="31">
        <v>0</v>
      </c>
      <c r="F2912" s="31">
        <v>15.5</v>
      </c>
      <c r="G2912" s="32">
        <f t="shared" si="461"/>
        <v>0</v>
      </c>
      <c r="H2912" s="33">
        <f t="shared" si="460"/>
        <v>0</v>
      </c>
      <c r="K2912" t="str">
        <f xml:space="preserve"> B2908 &amp; B2912</f>
        <v>Z000247011Z040201002</v>
      </c>
    </row>
    <row r="2913" spans="1:11" outlineLevel="1" x14ac:dyDescent="0.2">
      <c r="A2913" s="29"/>
      <c r="B2913" s="30" t="s">
        <v>801</v>
      </c>
      <c r="C2913" s="30" t="s">
        <v>402</v>
      </c>
      <c r="D2913" s="34" t="s">
        <v>151</v>
      </c>
      <c r="E2913" s="31">
        <v>0</v>
      </c>
      <c r="F2913" s="31">
        <v>10.3</v>
      </c>
      <c r="G2913" s="32">
        <f t="shared" si="461"/>
        <v>0</v>
      </c>
      <c r="H2913" s="33">
        <f t="shared" si="460"/>
        <v>0</v>
      </c>
      <c r="K2913" t="str">
        <f xml:space="preserve"> B2908 &amp; B2913</f>
        <v>Z000247011Z040202006</v>
      </c>
    </row>
    <row r="2914" spans="1:11" outlineLevel="1" x14ac:dyDescent="0.2">
      <c r="A2914" s="29"/>
      <c r="B2914" s="30" t="s">
        <v>1274</v>
      </c>
      <c r="C2914" s="30" t="s">
        <v>4715</v>
      </c>
      <c r="D2914" s="34" t="s">
        <v>153</v>
      </c>
      <c r="E2914" s="31">
        <v>890.03</v>
      </c>
      <c r="F2914" s="31">
        <v>36.5</v>
      </c>
      <c r="G2914" s="32">
        <f t="shared" si="461"/>
        <v>32486.094999999998</v>
      </c>
      <c r="H2914" s="33">
        <f t="shared" si="460"/>
        <v>1.6844205597377353E-4</v>
      </c>
      <c r="K2914" t="str">
        <f xml:space="preserve"> B2908 &amp; B2914</f>
        <v>Z000247011Z040314015</v>
      </c>
    </row>
    <row r="2915" spans="1:11" outlineLevel="1" x14ac:dyDescent="0.2">
      <c r="A2915" s="29"/>
      <c r="B2915" s="30" t="s">
        <v>498</v>
      </c>
      <c r="C2915" s="30" t="s">
        <v>773</v>
      </c>
      <c r="D2915" s="34" t="s">
        <v>84</v>
      </c>
      <c r="E2915" s="31">
        <v>1068.0359999999998</v>
      </c>
      <c r="F2915" s="31">
        <v>0</v>
      </c>
      <c r="G2915" s="32">
        <f t="shared" si="461"/>
        <v>0</v>
      </c>
      <c r="H2915" s="33">
        <f t="shared" si="460"/>
        <v>0</v>
      </c>
      <c r="K2915" t="str">
        <f xml:space="preserve"> B2908 &amp; B2915</f>
        <v>Z000247011Z040401001</v>
      </c>
    </row>
    <row r="2916" spans="1:11" outlineLevel="1" x14ac:dyDescent="0.2">
      <c r="A2916" s="29"/>
      <c r="B2916" s="30" t="s">
        <v>245</v>
      </c>
      <c r="C2916" s="30" t="s">
        <v>4719</v>
      </c>
      <c r="D2916" s="34" t="s">
        <v>764</v>
      </c>
      <c r="E2916" s="31">
        <v>0</v>
      </c>
      <c r="F2916" s="31">
        <v>225.14</v>
      </c>
      <c r="G2916" s="32">
        <f t="shared" si="461"/>
        <v>0</v>
      </c>
      <c r="H2916" s="33">
        <f t="shared" si="460"/>
        <v>0</v>
      </c>
      <c r="K2916" t="str">
        <f xml:space="preserve"> B2908 &amp; B2916</f>
        <v>Z000247011Z050101009</v>
      </c>
    </row>
    <row r="2917" spans="1:11" outlineLevel="1" x14ac:dyDescent="0.2">
      <c r="A2917" s="29"/>
      <c r="B2917" s="30" t="s">
        <v>286</v>
      </c>
      <c r="C2917" s="30" t="s">
        <v>4721</v>
      </c>
      <c r="D2917" s="34" t="s">
        <v>742</v>
      </c>
      <c r="E2917" s="31">
        <v>0</v>
      </c>
      <c r="F2917" s="31">
        <v>98.87</v>
      </c>
      <c r="G2917" s="32">
        <f t="shared" si="461"/>
        <v>0</v>
      </c>
      <c r="H2917" s="33">
        <f t="shared" si="460"/>
        <v>0</v>
      </c>
      <c r="K2917" t="str">
        <f xml:space="preserve"> B2908 &amp; B2917</f>
        <v>Z000247011Z050101010</v>
      </c>
    </row>
    <row r="2918" spans="1:11" outlineLevel="1" x14ac:dyDescent="0.2">
      <c r="A2918" s="11" t="s">
        <v>1214</v>
      </c>
      <c r="B2918" s="11" t="s">
        <v>1423</v>
      </c>
      <c r="C2918" s="11" t="s">
        <v>4659</v>
      </c>
      <c r="D2918" s="12" t="s">
        <v>153</v>
      </c>
      <c r="E2918" s="13">
        <v>2489.23</v>
      </c>
      <c r="F2918" s="14">
        <v>76.365238999999988</v>
      </c>
      <c r="G2918" s="15">
        <f>SUM(G2919:G2926)</f>
        <v>190090.64387596998</v>
      </c>
      <c r="H2918" s="16">
        <f t="shared" si="460"/>
        <v>9.856296632712177E-4</v>
      </c>
    </row>
    <row r="2919" spans="1:11" outlineLevel="1" x14ac:dyDescent="0.2">
      <c r="A2919" s="29"/>
      <c r="B2919" s="30" t="s">
        <v>681</v>
      </c>
      <c r="C2919" s="30" t="s">
        <v>1022</v>
      </c>
      <c r="D2919" s="34" t="s">
        <v>1153</v>
      </c>
      <c r="E2919" s="31">
        <v>266.34760999999997</v>
      </c>
      <c r="F2919" s="31">
        <v>500</v>
      </c>
      <c r="G2919" s="32">
        <f t="shared" ref="G2919:G2926" si="462">F2919*E2919</f>
        <v>133173.80499999999</v>
      </c>
      <c r="H2919" s="33">
        <f t="shared" si="460"/>
        <v>6.9051295688356523E-4</v>
      </c>
      <c r="K2919" t="str">
        <f xml:space="preserve"> B2918 &amp; B2919</f>
        <v>Z000247001Z010202002</v>
      </c>
    </row>
    <row r="2920" spans="1:11" outlineLevel="1" x14ac:dyDescent="0.2">
      <c r="A2920" s="29"/>
      <c r="B2920" s="30" t="s">
        <v>1258</v>
      </c>
      <c r="C2920" s="30" t="s">
        <v>1526</v>
      </c>
      <c r="D2920" s="34" t="s">
        <v>1153</v>
      </c>
      <c r="E2920" s="31">
        <v>70.445208999999991</v>
      </c>
      <c r="F2920" s="31">
        <v>148</v>
      </c>
      <c r="G2920" s="32">
        <f t="shared" si="462"/>
        <v>10425.890931999998</v>
      </c>
      <c r="H2920" s="33">
        <f t="shared" si="460"/>
        <v>5.4058775114226618E-5</v>
      </c>
      <c r="K2920" t="str">
        <f xml:space="preserve"> B2918 &amp; B2920</f>
        <v>Z000247001Z010304001</v>
      </c>
    </row>
    <row r="2921" spans="1:11" outlineLevel="1" x14ac:dyDescent="0.2">
      <c r="A2921" s="29"/>
      <c r="B2921" s="30" t="s">
        <v>320</v>
      </c>
      <c r="C2921" s="30" t="s">
        <v>2871</v>
      </c>
      <c r="D2921" s="34" t="s">
        <v>153</v>
      </c>
      <c r="E2921" s="31">
        <v>394.04510899999997</v>
      </c>
      <c r="F2921" s="31">
        <v>18.329999999999998</v>
      </c>
      <c r="G2921" s="32">
        <f t="shared" si="462"/>
        <v>7222.8468479699986</v>
      </c>
      <c r="H2921" s="33">
        <f t="shared" si="460"/>
        <v>3.7450828517732166E-5</v>
      </c>
      <c r="K2921" t="str">
        <f xml:space="preserve"> B2918 &amp; B2921</f>
        <v>Z000247001Z010402003</v>
      </c>
    </row>
    <row r="2922" spans="1:11" outlineLevel="1" x14ac:dyDescent="0.2">
      <c r="A2922" s="29"/>
      <c r="B2922" s="30" t="s">
        <v>82</v>
      </c>
      <c r="C2922" s="30" t="s">
        <v>2688</v>
      </c>
      <c r="D2922" s="34" t="s">
        <v>153</v>
      </c>
      <c r="E2922" s="31">
        <v>945.90740000000005</v>
      </c>
      <c r="F2922" s="31">
        <v>2.04</v>
      </c>
      <c r="G2922" s="32">
        <f t="shared" si="462"/>
        <v>1929.6510960000001</v>
      </c>
      <c r="H2922" s="33">
        <f t="shared" si="460"/>
        <v>1.0005339143479249E-5</v>
      </c>
      <c r="K2922" t="str">
        <f xml:space="preserve"> B2918 &amp; B2922</f>
        <v>Z000247001Z010404002</v>
      </c>
    </row>
    <row r="2923" spans="1:11" outlineLevel="1" x14ac:dyDescent="0.2">
      <c r="A2923" s="29"/>
      <c r="B2923" s="30" t="s">
        <v>1009</v>
      </c>
      <c r="C2923" s="30" t="s">
        <v>672</v>
      </c>
      <c r="D2923" s="34" t="s">
        <v>151</v>
      </c>
      <c r="E2923" s="31">
        <v>0</v>
      </c>
      <c r="F2923" s="31">
        <v>16.489999999999998</v>
      </c>
      <c r="G2923" s="32">
        <f t="shared" si="462"/>
        <v>0</v>
      </c>
      <c r="H2923" s="33">
        <f t="shared" si="460"/>
        <v>0</v>
      </c>
      <c r="K2923" t="str">
        <f xml:space="preserve"> B2918 &amp; B2923</f>
        <v>Z000247001Z040201013</v>
      </c>
    </row>
    <row r="2924" spans="1:11" outlineLevel="1" x14ac:dyDescent="0.2">
      <c r="A2924" s="29"/>
      <c r="B2924" s="30" t="s">
        <v>801</v>
      </c>
      <c r="C2924" s="30" t="s">
        <v>402</v>
      </c>
      <c r="D2924" s="34" t="s">
        <v>151</v>
      </c>
      <c r="E2924" s="31">
        <v>0</v>
      </c>
      <c r="F2924" s="31">
        <v>10.3</v>
      </c>
      <c r="G2924" s="32">
        <f t="shared" si="462"/>
        <v>0</v>
      </c>
      <c r="H2924" s="33">
        <f t="shared" si="460"/>
        <v>0</v>
      </c>
      <c r="K2924" t="str">
        <f xml:space="preserve"> B2918 &amp; B2924</f>
        <v>Z000247001Z040202006</v>
      </c>
    </row>
    <row r="2925" spans="1:11" outlineLevel="1" x14ac:dyDescent="0.2">
      <c r="A2925" s="29"/>
      <c r="B2925" s="30" t="s">
        <v>1287</v>
      </c>
      <c r="C2925" s="30" t="s">
        <v>4665</v>
      </c>
      <c r="D2925" s="34" t="s">
        <v>153</v>
      </c>
      <c r="E2925" s="31">
        <v>2489.23</v>
      </c>
      <c r="F2925" s="31">
        <v>15</v>
      </c>
      <c r="G2925" s="32">
        <f t="shared" si="462"/>
        <v>37338.449999999997</v>
      </c>
      <c r="H2925" s="33">
        <f t="shared" si="460"/>
        <v>1.9360176361221454E-4</v>
      </c>
      <c r="K2925" t="str">
        <f xml:space="preserve"> B2918 &amp; B2925</f>
        <v>Z000247001Z040314018</v>
      </c>
    </row>
    <row r="2926" spans="1:11" outlineLevel="1" x14ac:dyDescent="0.2">
      <c r="A2926" s="29"/>
      <c r="B2926" s="30" t="s">
        <v>498</v>
      </c>
      <c r="C2926" s="30" t="s">
        <v>773</v>
      </c>
      <c r="D2926" s="34" t="s">
        <v>84</v>
      </c>
      <c r="E2926" s="31">
        <v>2987.076</v>
      </c>
      <c r="F2926" s="31">
        <v>0</v>
      </c>
      <c r="G2926" s="32">
        <f t="shared" si="462"/>
        <v>0</v>
      </c>
      <c r="H2926" s="33">
        <f t="shared" si="460"/>
        <v>0</v>
      </c>
      <c r="K2926" t="str">
        <f xml:space="preserve"> B2918 &amp; B2926</f>
        <v>Z000247001Z040401001</v>
      </c>
    </row>
    <row r="2927" spans="1:11" outlineLevel="1" x14ac:dyDescent="0.2">
      <c r="A2927" s="11" t="s">
        <v>1220</v>
      </c>
      <c r="B2927" s="11" t="s">
        <v>5323</v>
      </c>
      <c r="C2927" s="11" t="s">
        <v>5325</v>
      </c>
      <c r="D2927" s="12" t="s">
        <v>1781</v>
      </c>
      <c r="E2927" s="13">
        <v>30.6</v>
      </c>
      <c r="F2927" s="14">
        <v>976.43085221999991</v>
      </c>
      <c r="G2927" s="15">
        <f>SUM(G2928:G2938)</f>
        <v>29878.784077931999</v>
      </c>
      <c r="H2927" s="16">
        <f t="shared" si="460"/>
        <v>1.5492301614223919E-4</v>
      </c>
    </row>
    <row r="2928" spans="1:11" outlineLevel="1" x14ac:dyDescent="0.2">
      <c r="A2928" s="29"/>
      <c r="B2928" s="30" t="s">
        <v>498</v>
      </c>
      <c r="C2928" s="30" t="s">
        <v>773</v>
      </c>
      <c r="D2928" s="34" t="s">
        <v>1052</v>
      </c>
      <c r="E2928" s="31">
        <v>36.72</v>
      </c>
      <c r="F2928" s="31">
        <v>0</v>
      </c>
      <c r="G2928" s="32">
        <f t="shared" ref="G2928:G2938" si="463">F2928*E2928</f>
        <v>0</v>
      </c>
      <c r="H2928" s="33">
        <f t="shared" si="460"/>
        <v>0</v>
      </c>
      <c r="K2928" t="str">
        <f xml:space="preserve"> B2927 &amp; B2928</f>
        <v>Z000247005Z040401001</v>
      </c>
    </row>
    <row r="2929" spans="1:11" outlineLevel="1" x14ac:dyDescent="0.2">
      <c r="A2929" s="29"/>
      <c r="B2929" s="30" t="s">
        <v>1009</v>
      </c>
      <c r="C2929" s="30" t="s">
        <v>672</v>
      </c>
      <c r="D2929" s="34" t="s">
        <v>1052</v>
      </c>
      <c r="E2929" s="31">
        <v>0</v>
      </c>
      <c r="F2929" s="31">
        <v>16.489999999999998</v>
      </c>
      <c r="G2929" s="32">
        <f t="shared" si="463"/>
        <v>0</v>
      </c>
      <c r="H2929" s="33">
        <f t="shared" si="460"/>
        <v>0</v>
      </c>
      <c r="K2929" t="str">
        <f xml:space="preserve"> B2927 &amp; B2929</f>
        <v>Z000247005Z040201013</v>
      </c>
    </row>
    <row r="2930" spans="1:11" outlineLevel="1" x14ac:dyDescent="0.2">
      <c r="A2930" s="29"/>
      <c r="B2930" s="30" t="s">
        <v>66</v>
      </c>
      <c r="C2930" s="30" t="s">
        <v>617</v>
      </c>
      <c r="D2930" s="34" t="s">
        <v>1052</v>
      </c>
      <c r="E2930" s="31">
        <v>0</v>
      </c>
      <c r="F2930" s="31">
        <v>5.45</v>
      </c>
      <c r="G2930" s="32">
        <f t="shared" si="463"/>
        <v>0</v>
      </c>
      <c r="H2930" s="33">
        <f t="shared" si="460"/>
        <v>0</v>
      </c>
      <c r="K2930" t="str">
        <f xml:space="preserve"> B2927 &amp; B2930</f>
        <v>Z000247005Z050103019</v>
      </c>
    </row>
    <row r="2931" spans="1:11" outlineLevel="1" x14ac:dyDescent="0.2">
      <c r="A2931" s="29"/>
      <c r="B2931" s="30" t="s">
        <v>801</v>
      </c>
      <c r="C2931" s="30" t="s">
        <v>402</v>
      </c>
      <c r="D2931" s="34" t="s">
        <v>1052</v>
      </c>
      <c r="E2931" s="31">
        <v>0</v>
      </c>
      <c r="F2931" s="31">
        <v>10.3</v>
      </c>
      <c r="G2931" s="32">
        <f t="shared" si="463"/>
        <v>0</v>
      </c>
      <c r="H2931" s="33">
        <f t="shared" si="460"/>
        <v>0</v>
      </c>
      <c r="K2931" t="str">
        <f xml:space="preserve"> B2927 &amp; B2931</f>
        <v>Z000247005Z040202006</v>
      </c>
    </row>
    <row r="2932" spans="1:11" outlineLevel="1" x14ac:dyDescent="0.2">
      <c r="A2932" s="29"/>
      <c r="B2932" s="30" t="s">
        <v>1654</v>
      </c>
      <c r="C2932" s="30" t="s">
        <v>1551</v>
      </c>
      <c r="D2932" s="34" t="s">
        <v>1153</v>
      </c>
      <c r="E2932" s="31">
        <v>458.85618000000005</v>
      </c>
      <c r="F2932" s="31">
        <v>0.7974</v>
      </c>
      <c r="G2932" s="32">
        <f t="shared" si="463"/>
        <v>365.89191793200001</v>
      </c>
      <c r="H2932" s="33">
        <f t="shared" si="460"/>
        <v>1.8971682167602264E-6</v>
      </c>
      <c r="K2932" t="str">
        <f xml:space="preserve"> B2927 &amp; B2932</f>
        <v>Z000247005Z010301001</v>
      </c>
    </row>
    <row r="2933" spans="1:11" outlineLevel="1" x14ac:dyDescent="0.2">
      <c r="A2933" s="29"/>
      <c r="B2933" s="30" t="s">
        <v>1258</v>
      </c>
      <c r="C2933" s="30" t="s">
        <v>1526</v>
      </c>
      <c r="D2933" s="34" t="s">
        <v>1153</v>
      </c>
      <c r="E2933" s="31">
        <v>1.0159200000000002</v>
      </c>
      <c r="F2933" s="31">
        <v>148</v>
      </c>
      <c r="G2933" s="32">
        <f t="shared" si="463"/>
        <v>150.35616000000002</v>
      </c>
      <c r="H2933" s="33">
        <f t="shared" si="460"/>
        <v>7.7960434206455576E-7</v>
      </c>
      <c r="K2933" t="str">
        <f xml:space="preserve"> B2927 &amp; B2933</f>
        <v>Z000247005Z010304001</v>
      </c>
    </row>
    <row r="2934" spans="1:11" outlineLevel="1" x14ac:dyDescent="0.2">
      <c r="A2934" s="29"/>
      <c r="B2934" s="30" t="s">
        <v>120</v>
      </c>
      <c r="C2934" s="30" t="s">
        <v>597</v>
      </c>
      <c r="D2934" s="34" t="s">
        <v>152</v>
      </c>
      <c r="E2934" s="31">
        <v>0</v>
      </c>
      <c r="F2934" s="31">
        <v>1.52</v>
      </c>
      <c r="G2934" s="32">
        <f t="shared" si="463"/>
        <v>0</v>
      </c>
      <c r="H2934" s="33">
        <f t="shared" si="460"/>
        <v>0</v>
      </c>
      <c r="K2934" t="str">
        <f xml:space="preserve"> B2927 &amp; B2934</f>
        <v>Z000247005Z050103020</v>
      </c>
    </row>
    <row r="2935" spans="1:11" outlineLevel="1" x14ac:dyDescent="0.2">
      <c r="A2935" s="29"/>
      <c r="B2935" s="30" t="s">
        <v>239</v>
      </c>
      <c r="C2935" s="30" t="s">
        <v>2378</v>
      </c>
      <c r="D2935" s="34" t="s">
        <v>1152</v>
      </c>
      <c r="E2935" s="31">
        <v>0</v>
      </c>
      <c r="F2935" s="31">
        <v>65.73</v>
      </c>
      <c r="G2935" s="32">
        <f t="shared" si="463"/>
        <v>0</v>
      </c>
      <c r="H2935" s="33">
        <f t="shared" si="460"/>
        <v>0</v>
      </c>
      <c r="K2935" t="str">
        <f xml:space="preserve"> B2927 &amp; B2935</f>
        <v>Z000247005Z050101006</v>
      </c>
    </row>
    <row r="2936" spans="1:11" outlineLevel="1" x14ac:dyDescent="0.2">
      <c r="A2936" s="29"/>
      <c r="B2936" s="30" t="s">
        <v>1927</v>
      </c>
      <c r="C2936" s="30" t="s">
        <v>4705</v>
      </c>
      <c r="D2936" s="34" t="s">
        <v>153</v>
      </c>
      <c r="E2936" s="31">
        <v>61.2</v>
      </c>
      <c r="F2936" s="31">
        <v>479.78</v>
      </c>
      <c r="G2936" s="32">
        <f t="shared" si="463"/>
        <v>29362.536</v>
      </c>
      <c r="H2936" s="33">
        <f t="shared" si="460"/>
        <v>1.522462435834144E-4</v>
      </c>
      <c r="K2936" t="str">
        <f xml:space="preserve"> B2927 &amp; B2936</f>
        <v>Z000247005Z010708002</v>
      </c>
    </row>
    <row r="2937" spans="1:11" outlineLevel="1" x14ac:dyDescent="0.2">
      <c r="A2937" s="29"/>
      <c r="B2937" s="30" t="s">
        <v>547</v>
      </c>
      <c r="C2937" s="30" t="s">
        <v>2320</v>
      </c>
      <c r="D2937" s="34" t="s">
        <v>1781</v>
      </c>
      <c r="E2937" s="31">
        <v>0</v>
      </c>
      <c r="F2937" s="31">
        <v>13.51</v>
      </c>
      <c r="G2937" s="32">
        <f t="shared" si="463"/>
        <v>0</v>
      </c>
      <c r="H2937" s="33">
        <f t="shared" si="460"/>
        <v>0</v>
      </c>
      <c r="K2937" t="str">
        <f xml:space="preserve"> B2927 &amp; B2937</f>
        <v>Z000247005Z040204001</v>
      </c>
    </row>
    <row r="2938" spans="1:11" outlineLevel="1" x14ac:dyDescent="0.2">
      <c r="A2938" s="29"/>
      <c r="B2938" s="30" t="s">
        <v>238</v>
      </c>
      <c r="C2938" s="30" t="s">
        <v>2376</v>
      </c>
      <c r="D2938" s="34" t="s">
        <v>1153</v>
      </c>
      <c r="E2938" s="31">
        <v>0</v>
      </c>
      <c r="F2938" s="31">
        <v>138.31</v>
      </c>
      <c r="G2938" s="32">
        <f t="shared" si="463"/>
        <v>0</v>
      </c>
      <c r="H2938" s="33">
        <f t="shared" si="460"/>
        <v>0</v>
      </c>
      <c r="K2938" t="str">
        <f xml:space="preserve"> B2927 &amp; B2938</f>
        <v>Z000247005Z050101005</v>
      </c>
    </row>
    <row r="2939" spans="1:11" outlineLevel="1" x14ac:dyDescent="0.2">
      <c r="A2939" s="11" t="s">
        <v>1220</v>
      </c>
      <c r="B2939" s="11" t="s">
        <v>5315</v>
      </c>
      <c r="C2939" s="11" t="s">
        <v>5317</v>
      </c>
      <c r="D2939" s="12" t="s">
        <v>1781</v>
      </c>
      <c r="E2939" s="13">
        <v>102</v>
      </c>
      <c r="F2939" s="14">
        <v>346.28</v>
      </c>
      <c r="G2939" s="15">
        <f>SUM(G2940:G2943)</f>
        <v>35320.559999999998</v>
      </c>
      <c r="H2939" s="16">
        <f t="shared" ref="H2939:H2943" si="464">G2939/$F$2</f>
        <v>1.8313890126052474E-4</v>
      </c>
    </row>
    <row r="2940" spans="1:11" outlineLevel="1" x14ac:dyDescent="0.2">
      <c r="A2940" s="29"/>
      <c r="B2940" s="30" t="s">
        <v>801</v>
      </c>
      <c r="C2940" s="30" t="s">
        <v>402</v>
      </c>
      <c r="D2940" s="34" t="s">
        <v>1052</v>
      </c>
      <c r="E2940" s="31">
        <v>0</v>
      </c>
      <c r="F2940" s="31">
        <v>10.3</v>
      </c>
      <c r="G2940" s="32">
        <f t="shared" ref="G2940:G2943" si="465">F2940*E2940</f>
        <v>0</v>
      </c>
      <c r="H2940" s="33">
        <f t="shared" si="464"/>
        <v>0</v>
      </c>
      <c r="K2940" t="str">
        <f xml:space="preserve"> B2939 &amp; B2940</f>
        <v>Z000247003Z040202006</v>
      </c>
    </row>
    <row r="2941" spans="1:11" outlineLevel="1" x14ac:dyDescent="0.2">
      <c r="A2941" s="29"/>
      <c r="B2941" s="30" t="s">
        <v>5318</v>
      </c>
      <c r="C2941" s="30" t="s">
        <v>5319</v>
      </c>
      <c r="D2941" s="34" t="s">
        <v>1052</v>
      </c>
      <c r="E2941" s="31">
        <v>102</v>
      </c>
      <c r="F2941" s="31">
        <v>346.28</v>
      </c>
      <c r="G2941" s="32">
        <f t="shared" si="465"/>
        <v>35320.559999999998</v>
      </c>
      <c r="H2941" s="33">
        <f t="shared" si="464"/>
        <v>1.8313890126052474E-4</v>
      </c>
      <c r="K2941" t="str">
        <f xml:space="preserve"> B2939 &amp; B2941</f>
        <v>Z000247003Z010708005</v>
      </c>
    </row>
    <row r="2942" spans="1:11" outlineLevel="1" x14ac:dyDescent="0.2">
      <c r="A2942" s="29"/>
      <c r="B2942" s="30" t="s">
        <v>1009</v>
      </c>
      <c r="C2942" s="30" t="s">
        <v>672</v>
      </c>
      <c r="D2942" s="34" t="s">
        <v>1052</v>
      </c>
      <c r="E2942" s="31">
        <v>0</v>
      </c>
      <c r="F2942" s="31">
        <v>16.489999999999998</v>
      </c>
      <c r="G2942" s="32">
        <f t="shared" si="465"/>
        <v>0</v>
      </c>
      <c r="H2942" s="33">
        <f t="shared" si="464"/>
        <v>0</v>
      </c>
      <c r="K2942" t="str">
        <f xml:space="preserve"> B2939 &amp; B2942</f>
        <v>Z000247003Z040201013</v>
      </c>
    </row>
    <row r="2943" spans="1:11" outlineLevel="1" x14ac:dyDescent="0.2">
      <c r="A2943" s="29"/>
      <c r="B2943" s="30" t="s">
        <v>498</v>
      </c>
      <c r="C2943" s="30" t="s">
        <v>773</v>
      </c>
      <c r="D2943" s="34" t="s">
        <v>1052</v>
      </c>
      <c r="E2943" s="31">
        <v>122.39999999999999</v>
      </c>
      <c r="F2943" s="31">
        <v>0</v>
      </c>
      <c r="G2943" s="32">
        <f t="shared" si="465"/>
        <v>0</v>
      </c>
      <c r="H2943" s="33">
        <f t="shared" si="464"/>
        <v>0</v>
      </c>
      <c r="K2943" t="str">
        <f xml:space="preserve"> B2939 &amp; B2943</f>
        <v>Z000247003Z040401001</v>
      </c>
    </row>
    <row r="2944" spans="1:11" outlineLevel="1" x14ac:dyDescent="0.2">
      <c r="A2944" s="11" t="s">
        <v>1222</v>
      </c>
      <c r="B2944" s="11" t="s">
        <v>1562</v>
      </c>
      <c r="C2944" s="11" t="s">
        <v>4730</v>
      </c>
      <c r="D2944" s="12" t="s">
        <v>1781</v>
      </c>
      <c r="E2944" s="13">
        <v>4</v>
      </c>
      <c r="F2944" s="14">
        <v>4243.8486300000004</v>
      </c>
      <c r="G2944" s="15">
        <f>SUM(G2945:G2956)</f>
        <v>16975.394520000002</v>
      </c>
      <c r="H2944" s="16">
        <f t="shared" ref="H2944:H2984" si="466">G2944/$F$2</f>
        <v>8.8018284558815987E-5</v>
      </c>
    </row>
    <row r="2945" spans="1:11" outlineLevel="1" x14ac:dyDescent="0.2">
      <c r="A2945" s="29"/>
      <c r="B2945" s="30" t="s">
        <v>1434</v>
      </c>
      <c r="C2945" s="30" t="s">
        <v>4737</v>
      </c>
      <c r="D2945" s="34" t="s">
        <v>1152</v>
      </c>
      <c r="E2945" s="31">
        <v>40</v>
      </c>
      <c r="F2945" s="31">
        <v>123.52</v>
      </c>
      <c r="G2945" s="32">
        <f t="shared" ref="G2945:G2956" si="467">F2945*E2945</f>
        <v>4940.8</v>
      </c>
      <c r="H2945" s="33">
        <f t="shared" si="466"/>
        <v>2.5618299464900917E-5</v>
      </c>
      <c r="K2945" t="str">
        <f xml:space="preserve"> B2944 &amp; B2945</f>
        <v>Z000247022Z010106004</v>
      </c>
    </row>
    <row r="2946" spans="1:11" outlineLevel="1" x14ac:dyDescent="0.2">
      <c r="A2946" s="29"/>
      <c r="B2946" s="30" t="s">
        <v>1437</v>
      </c>
      <c r="C2946" s="30" t="s">
        <v>4739</v>
      </c>
      <c r="D2946" s="34" t="s">
        <v>1153</v>
      </c>
      <c r="E2946" s="31">
        <v>4</v>
      </c>
      <c r="F2946" s="31">
        <v>254.12</v>
      </c>
      <c r="G2946" s="32">
        <f t="shared" si="467"/>
        <v>1016.48</v>
      </c>
      <c r="H2946" s="33">
        <f t="shared" si="466"/>
        <v>5.2705005343431197E-6</v>
      </c>
      <c r="K2946" t="str">
        <f xml:space="preserve"> B2944 &amp; B2946</f>
        <v>Z000247022Z010106005</v>
      </c>
    </row>
    <row r="2947" spans="1:11" outlineLevel="1" x14ac:dyDescent="0.2">
      <c r="A2947" s="29"/>
      <c r="B2947" s="30" t="s">
        <v>1067</v>
      </c>
      <c r="C2947" s="30" t="s">
        <v>675</v>
      </c>
      <c r="D2947" s="34" t="s">
        <v>1052</v>
      </c>
      <c r="E2947" s="31">
        <v>9.5999999999999992E-3</v>
      </c>
      <c r="F2947" s="31">
        <v>12.1</v>
      </c>
      <c r="G2947" s="32">
        <f t="shared" si="467"/>
        <v>0.11615999999999999</v>
      </c>
      <c r="H2947" s="33">
        <f t="shared" si="466"/>
        <v>6.022955120310254E-10</v>
      </c>
      <c r="K2947" t="str">
        <f xml:space="preserve"> B2944 &amp; B2947</f>
        <v>Z000247022Z010109009</v>
      </c>
    </row>
    <row r="2948" spans="1:11" outlineLevel="1" x14ac:dyDescent="0.2">
      <c r="A2948" s="29"/>
      <c r="B2948" s="30" t="s">
        <v>1384</v>
      </c>
      <c r="C2948" s="30" t="s">
        <v>896</v>
      </c>
      <c r="D2948" s="34" t="s">
        <v>1153</v>
      </c>
      <c r="E2948" s="31">
        <v>53.56</v>
      </c>
      <c r="F2948" s="31">
        <v>80.42</v>
      </c>
      <c r="G2948" s="32">
        <f t="shared" si="467"/>
        <v>4307.2952000000005</v>
      </c>
      <c r="H2948" s="33">
        <f t="shared" si="466"/>
        <v>2.2333544834304223E-5</v>
      </c>
      <c r="K2948" t="str">
        <f xml:space="preserve"> B2944 &amp; B2948</f>
        <v>Z000247022Z010303007</v>
      </c>
    </row>
    <row r="2949" spans="1:11" outlineLevel="1" x14ac:dyDescent="0.2">
      <c r="A2949" s="29"/>
      <c r="B2949" s="30" t="s">
        <v>86</v>
      </c>
      <c r="C2949" s="30" t="s">
        <v>4743</v>
      </c>
      <c r="D2949" s="34" t="s">
        <v>153</v>
      </c>
      <c r="E2949" s="31">
        <v>2.8572000000000002</v>
      </c>
      <c r="F2949" s="31">
        <v>10.58</v>
      </c>
      <c r="G2949" s="32">
        <f t="shared" si="467"/>
        <v>30.229176000000002</v>
      </c>
      <c r="H2949" s="33">
        <f t="shared" si="466"/>
        <v>1.5673981609156326E-7</v>
      </c>
      <c r="K2949" t="str">
        <f xml:space="preserve"> B2944 &amp; B2949</f>
        <v>Z000247022Z010404004</v>
      </c>
    </row>
    <row r="2950" spans="1:11" outlineLevel="1" x14ac:dyDescent="0.2">
      <c r="A2950" s="29"/>
      <c r="B2950" s="30" t="s">
        <v>1597</v>
      </c>
      <c r="C2950" s="30" t="s">
        <v>4745</v>
      </c>
      <c r="D2950" s="34" t="s">
        <v>1152</v>
      </c>
      <c r="E2950" s="31">
        <v>75.257599999999996</v>
      </c>
      <c r="F2950" s="31">
        <v>8.09</v>
      </c>
      <c r="G2950" s="32">
        <f t="shared" si="467"/>
        <v>608.83398399999999</v>
      </c>
      <c r="H2950" s="33">
        <f t="shared" si="466"/>
        <v>3.1568351940011117E-6</v>
      </c>
      <c r="K2950" t="str">
        <f xml:space="preserve"> B2944 &amp; B2950</f>
        <v>Z000247022Z030302002</v>
      </c>
    </row>
    <row r="2951" spans="1:11" outlineLevel="1" x14ac:dyDescent="0.2">
      <c r="A2951" s="29"/>
      <c r="B2951" s="30" t="s">
        <v>1009</v>
      </c>
      <c r="C2951" s="30" t="s">
        <v>672</v>
      </c>
      <c r="D2951" s="34" t="s">
        <v>151</v>
      </c>
      <c r="E2951" s="31">
        <v>0</v>
      </c>
      <c r="F2951" s="31">
        <v>16.489999999999998</v>
      </c>
      <c r="G2951" s="32">
        <f t="shared" si="467"/>
        <v>0</v>
      </c>
      <c r="H2951" s="33">
        <f t="shared" si="466"/>
        <v>0</v>
      </c>
      <c r="K2951" t="str">
        <f xml:space="preserve"> B2944 &amp; B2951</f>
        <v>Z000247022Z040201013</v>
      </c>
    </row>
    <row r="2952" spans="1:11" outlineLevel="1" x14ac:dyDescent="0.2">
      <c r="A2952" s="29"/>
      <c r="B2952" s="30" t="s">
        <v>801</v>
      </c>
      <c r="C2952" s="30" t="s">
        <v>402</v>
      </c>
      <c r="D2952" s="34" t="s">
        <v>151</v>
      </c>
      <c r="E2952" s="31">
        <v>0</v>
      </c>
      <c r="F2952" s="31">
        <v>10.3</v>
      </c>
      <c r="G2952" s="32">
        <f t="shared" si="467"/>
        <v>0</v>
      </c>
      <c r="H2952" s="33">
        <f t="shared" si="466"/>
        <v>0</v>
      </c>
      <c r="K2952" t="str">
        <f xml:space="preserve"> B2944 &amp; B2952</f>
        <v>Z000247022Z040202006</v>
      </c>
    </row>
    <row r="2953" spans="1:11" outlineLevel="1" x14ac:dyDescent="0.2">
      <c r="A2953" s="29"/>
      <c r="B2953" s="30" t="s">
        <v>1282</v>
      </c>
      <c r="C2953" s="30" t="s">
        <v>4732</v>
      </c>
      <c r="D2953" s="34" t="s">
        <v>1781</v>
      </c>
      <c r="E2953" s="31">
        <v>4</v>
      </c>
      <c r="F2953" s="31">
        <v>1517.91</v>
      </c>
      <c r="G2953" s="32">
        <f t="shared" si="467"/>
        <v>6071.64</v>
      </c>
      <c r="H2953" s="33">
        <f t="shared" si="466"/>
        <v>3.1481762419663013E-5</v>
      </c>
      <c r="K2953" t="str">
        <f xml:space="preserve"> B2944 &amp; B2953</f>
        <v>Z000247022Z040314017</v>
      </c>
    </row>
    <row r="2954" spans="1:11" outlineLevel="1" x14ac:dyDescent="0.2">
      <c r="A2954" s="29"/>
      <c r="B2954" s="30" t="s">
        <v>498</v>
      </c>
      <c r="C2954" s="30" t="s">
        <v>773</v>
      </c>
      <c r="D2954" s="34" t="s">
        <v>84</v>
      </c>
      <c r="E2954" s="31">
        <v>4.8</v>
      </c>
      <c r="F2954" s="31">
        <v>0</v>
      </c>
      <c r="G2954" s="32">
        <f t="shared" si="467"/>
        <v>0</v>
      </c>
      <c r="H2954" s="33">
        <f t="shared" si="466"/>
        <v>0</v>
      </c>
      <c r="K2954" t="str">
        <f xml:space="preserve"> B2944 &amp; B2954</f>
        <v>Z000247022Z040401001</v>
      </c>
    </row>
    <row r="2955" spans="1:11" outlineLevel="1" x14ac:dyDescent="0.2">
      <c r="A2955" s="29"/>
      <c r="B2955" s="30" t="s">
        <v>245</v>
      </c>
      <c r="C2955" s="30" t="s">
        <v>4719</v>
      </c>
      <c r="D2955" s="34" t="s">
        <v>764</v>
      </c>
      <c r="E2955" s="31">
        <v>0</v>
      </c>
      <c r="F2955" s="31">
        <v>225.14</v>
      </c>
      <c r="G2955" s="32">
        <f t="shared" si="467"/>
        <v>0</v>
      </c>
      <c r="H2955" s="33">
        <f t="shared" si="466"/>
        <v>0</v>
      </c>
      <c r="K2955" t="str">
        <f xml:space="preserve"> B2944 &amp; B2955</f>
        <v>Z000247022Z050101009</v>
      </c>
    </row>
    <row r="2956" spans="1:11" outlineLevel="1" x14ac:dyDescent="0.2">
      <c r="A2956" s="29"/>
      <c r="B2956" s="30" t="s">
        <v>286</v>
      </c>
      <c r="C2956" s="30" t="s">
        <v>4721</v>
      </c>
      <c r="D2956" s="34" t="s">
        <v>742</v>
      </c>
      <c r="E2956" s="31">
        <v>0</v>
      </c>
      <c r="F2956" s="31">
        <v>98.87</v>
      </c>
      <c r="G2956" s="32">
        <f t="shared" si="467"/>
        <v>0</v>
      </c>
      <c r="H2956" s="33">
        <f t="shared" si="466"/>
        <v>0</v>
      </c>
      <c r="K2956" t="str">
        <f xml:space="preserve"> B2944 &amp; B2956</f>
        <v>Z000247022Z050101010</v>
      </c>
    </row>
    <row r="2957" spans="1:11" outlineLevel="1" x14ac:dyDescent="0.2">
      <c r="A2957" s="11" t="s">
        <v>1222</v>
      </c>
      <c r="B2957" s="11" t="s">
        <v>5336</v>
      </c>
      <c r="C2957" s="11" t="s">
        <v>5341</v>
      </c>
      <c r="D2957" s="12" t="s">
        <v>1781</v>
      </c>
      <c r="E2957" s="13">
        <v>57.2</v>
      </c>
      <c r="F2957" s="14">
        <v>201.68</v>
      </c>
      <c r="G2957" s="15">
        <f>SUM(G2958:G2965)</f>
        <v>11536.096000000001</v>
      </c>
      <c r="H2957" s="16">
        <f t="shared" ref="H2957:H2973" si="468">G2957/$F$2</f>
        <v>5.9815244896341815E-5</v>
      </c>
    </row>
    <row r="2958" spans="1:11" outlineLevel="1" x14ac:dyDescent="0.2">
      <c r="A2958" s="29"/>
      <c r="B2958" s="30" t="s">
        <v>5337</v>
      </c>
      <c r="C2958" s="30" t="s">
        <v>5338</v>
      </c>
      <c r="D2958" s="34" t="s">
        <v>1152</v>
      </c>
      <c r="E2958" s="31">
        <v>57.2</v>
      </c>
      <c r="F2958" s="31">
        <v>201.68</v>
      </c>
      <c r="G2958" s="32">
        <f t="shared" ref="G2958:G2965" si="469">F2958*E2958</f>
        <v>11536.096000000001</v>
      </c>
      <c r="H2958" s="33">
        <f t="shared" si="468"/>
        <v>5.9815244896341815E-5</v>
      </c>
      <c r="K2958" t="str">
        <f xml:space="preserve"> B2957 &amp; B2958</f>
        <v>Z000247010Z010708003</v>
      </c>
    </row>
    <row r="2959" spans="1:11" outlineLevel="1" x14ac:dyDescent="0.2">
      <c r="A2959" s="29"/>
      <c r="B2959" s="30" t="s">
        <v>498</v>
      </c>
      <c r="C2959" s="30" t="s">
        <v>773</v>
      </c>
      <c r="D2959" s="34" t="s">
        <v>1153</v>
      </c>
      <c r="E2959" s="31">
        <v>68.64</v>
      </c>
      <c r="F2959" s="31">
        <v>0</v>
      </c>
      <c r="G2959" s="32">
        <f t="shared" si="469"/>
        <v>0</v>
      </c>
      <c r="H2959" s="33">
        <f t="shared" si="468"/>
        <v>0</v>
      </c>
      <c r="K2959" t="str">
        <f xml:space="preserve"> B2957 &amp; B2959</f>
        <v>Z000247010Z040401001</v>
      </c>
    </row>
    <row r="2960" spans="1:11" outlineLevel="1" x14ac:dyDescent="0.2">
      <c r="A2960" s="29"/>
      <c r="B2960" s="30" t="s">
        <v>1009</v>
      </c>
      <c r="C2960" s="30" t="s">
        <v>672</v>
      </c>
      <c r="D2960" s="34" t="s">
        <v>1052</v>
      </c>
      <c r="E2960" s="31">
        <v>0</v>
      </c>
      <c r="F2960" s="31">
        <v>16.489999999999998</v>
      </c>
      <c r="G2960" s="32">
        <f t="shared" si="469"/>
        <v>0</v>
      </c>
      <c r="H2960" s="33">
        <f t="shared" si="468"/>
        <v>0</v>
      </c>
      <c r="K2960" t="str">
        <f xml:space="preserve"> B2957 &amp; B2960</f>
        <v>Z000247010Z040201013</v>
      </c>
    </row>
    <row r="2961" spans="1:11" outlineLevel="1" x14ac:dyDescent="0.2">
      <c r="A2961" s="29"/>
      <c r="B2961" s="30" t="s">
        <v>801</v>
      </c>
      <c r="C2961" s="30" t="s">
        <v>402</v>
      </c>
      <c r="D2961" s="34" t="s">
        <v>1153</v>
      </c>
      <c r="E2961" s="31">
        <v>0</v>
      </c>
      <c r="F2961" s="31">
        <v>10.3</v>
      </c>
      <c r="G2961" s="32">
        <f t="shared" si="469"/>
        <v>0</v>
      </c>
      <c r="H2961" s="33">
        <f t="shared" si="468"/>
        <v>0</v>
      </c>
      <c r="K2961" t="str">
        <f xml:space="preserve"> B2957 &amp; B2961</f>
        <v>Z000247010Z040202006</v>
      </c>
    </row>
    <row r="2962" spans="1:11" outlineLevel="1" x14ac:dyDescent="0.2">
      <c r="A2962" s="29"/>
      <c r="B2962" s="30" t="s">
        <v>61</v>
      </c>
      <c r="C2962" s="30" t="s">
        <v>2490</v>
      </c>
      <c r="D2962" s="34" t="s">
        <v>153</v>
      </c>
      <c r="E2962" s="31">
        <v>0</v>
      </c>
      <c r="F2962" s="31">
        <v>36.880000000000003</v>
      </c>
      <c r="G2962" s="32">
        <f t="shared" si="469"/>
        <v>0</v>
      </c>
      <c r="H2962" s="33">
        <f t="shared" si="468"/>
        <v>0</v>
      </c>
      <c r="K2962" t="str">
        <f xml:space="preserve"> B2957 &amp; B2962</f>
        <v>Z000247010Z050103017</v>
      </c>
    </row>
    <row r="2963" spans="1:11" outlineLevel="1" x14ac:dyDescent="0.2">
      <c r="A2963" s="29"/>
      <c r="B2963" s="30" t="s">
        <v>239</v>
      </c>
      <c r="C2963" s="30" t="s">
        <v>2378</v>
      </c>
      <c r="D2963" s="34" t="s">
        <v>1152</v>
      </c>
      <c r="E2963" s="31">
        <v>0</v>
      </c>
      <c r="F2963" s="31">
        <v>65.73</v>
      </c>
      <c r="G2963" s="32">
        <f t="shared" si="469"/>
        <v>0</v>
      </c>
      <c r="H2963" s="33">
        <f t="shared" si="468"/>
        <v>0</v>
      </c>
      <c r="K2963" t="str">
        <f xml:space="preserve"> B2957 &amp; B2963</f>
        <v>Z000247010Z050101006</v>
      </c>
    </row>
    <row r="2964" spans="1:11" outlineLevel="1" x14ac:dyDescent="0.2">
      <c r="A2964" s="29"/>
      <c r="B2964" s="30" t="s">
        <v>62</v>
      </c>
      <c r="C2964" s="30" t="s">
        <v>4668</v>
      </c>
      <c r="D2964" s="34" t="s">
        <v>151</v>
      </c>
      <c r="E2964" s="31">
        <v>0</v>
      </c>
      <c r="F2964" s="31">
        <v>29.73</v>
      </c>
      <c r="G2964" s="32">
        <f t="shared" si="469"/>
        <v>0</v>
      </c>
      <c r="H2964" s="33">
        <f t="shared" si="468"/>
        <v>0</v>
      </c>
      <c r="K2964" t="str">
        <f xml:space="preserve"> B2957 &amp; B2964</f>
        <v>Z000247010Z050103018</v>
      </c>
    </row>
    <row r="2965" spans="1:11" outlineLevel="1" x14ac:dyDescent="0.2">
      <c r="A2965" s="29"/>
      <c r="B2965" s="30" t="s">
        <v>238</v>
      </c>
      <c r="C2965" s="30" t="s">
        <v>2376</v>
      </c>
      <c r="D2965" s="34" t="s">
        <v>151</v>
      </c>
      <c r="E2965" s="31">
        <v>0</v>
      </c>
      <c r="F2965" s="31">
        <v>138.31</v>
      </c>
      <c r="G2965" s="32">
        <f t="shared" si="469"/>
        <v>0</v>
      </c>
      <c r="H2965" s="33">
        <f t="shared" si="468"/>
        <v>0</v>
      </c>
      <c r="K2965" t="str">
        <f xml:space="preserve"> B2957 &amp; B2965</f>
        <v>Z000247010Z050101005</v>
      </c>
    </row>
    <row r="2966" spans="1:11" x14ac:dyDescent="0.2">
      <c r="A2966" s="23" t="s">
        <v>5385</v>
      </c>
      <c r="B2966" s="23" t="s">
        <v>328</v>
      </c>
      <c r="C2966" s="23" t="s">
        <v>5386</v>
      </c>
      <c r="D2966" s="24"/>
      <c r="E2966" s="25"/>
      <c r="F2966" s="26"/>
      <c r="G2966" s="27">
        <f>SUM(G2967,G2974)</f>
        <v>160764.98408783998</v>
      </c>
      <c r="H2966" s="28">
        <f t="shared" si="468"/>
        <v>8.3357462472318563E-4</v>
      </c>
    </row>
    <row r="2967" spans="1:11" outlineLevel="1" x14ac:dyDescent="0.2">
      <c r="A2967" s="11" t="s">
        <v>1202</v>
      </c>
      <c r="B2967" s="11" t="s">
        <v>5350</v>
      </c>
      <c r="C2967" s="11" t="s">
        <v>5355</v>
      </c>
      <c r="D2967" s="12" t="s">
        <v>1781</v>
      </c>
      <c r="E2967" s="13">
        <v>980.88</v>
      </c>
      <c r="F2967" s="14">
        <v>125.27641799999998</v>
      </c>
      <c r="G2967" s="15">
        <f>SUM(G2968:G2973)</f>
        <v>122881.13288783998</v>
      </c>
      <c r="H2967" s="16">
        <f t="shared" si="468"/>
        <v>6.3714492813045853E-4</v>
      </c>
    </row>
    <row r="2968" spans="1:11" outlineLevel="1" x14ac:dyDescent="0.2">
      <c r="A2968" s="29"/>
      <c r="B2968" s="30" t="s">
        <v>5351</v>
      </c>
      <c r="C2968" s="30" t="s">
        <v>5352</v>
      </c>
      <c r="D2968" s="34" t="s">
        <v>1052</v>
      </c>
      <c r="E2968" s="31">
        <v>1029.924</v>
      </c>
      <c r="F2968" s="31">
        <v>104.13</v>
      </c>
      <c r="G2968" s="32">
        <f t="shared" ref="G2968:G2973" si="470">F2968*E2968</f>
        <v>107245.98611999999</v>
      </c>
      <c r="H2968" s="33">
        <f t="shared" si="468"/>
        <v>5.5607589637928412E-4</v>
      </c>
      <c r="K2968" t="str">
        <f xml:space="preserve"> B2967 &amp; B2968</f>
        <v>Z000248001Z011102007</v>
      </c>
    </row>
    <row r="2969" spans="1:11" outlineLevel="1" x14ac:dyDescent="0.2">
      <c r="A2969" s="29"/>
      <c r="B2969" s="30" t="s">
        <v>5356</v>
      </c>
      <c r="C2969" s="30" t="s">
        <v>5357</v>
      </c>
      <c r="D2969" s="34" t="s">
        <v>1052</v>
      </c>
      <c r="E2969" s="31">
        <v>40.902695999999999</v>
      </c>
      <c r="F2969" s="31">
        <v>22.54</v>
      </c>
      <c r="G2969" s="32">
        <f t="shared" si="470"/>
        <v>921.94676783999989</v>
      </c>
      <c r="H2969" s="33">
        <f t="shared" si="468"/>
        <v>4.7803409142694706E-6</v>
      </c>
      <c r="K2969" t="str">
        <f xml:space="preserve"> B2967 &amp; B2969</f>
        <v>Z000248001Z030108001</v>
      </c>
    </row>
    <row r="2970" spans="1:11" outlineLevel="1" x14ac:dyDescent="0.2">
      <c r="A2970" s="29"/>
      <c r="B2970" s="30" t="s">
        <v>801</v>
      </c>
      <c r="C2970" s="30" t="s">
        <v>402</v>
      </c>
      <c r="D2970" s="34" t="s">
        <v>1052</v>
      </c>
      <c r="E2970" s="31">
        <v>0</v>
      </c>
      <c r="F2970" s="31">
        <v>10.3</v>
      </c>
      <c r="G2970" s="32">
        <f t="shared" si="470"/>
        <v>0</v>
      </c>
      <c r="H2970" s="33">
        <f t="shared" si="468"/>
        <v>0</v>
      </c>
      <c r="K2970" t="str">
        <f xml:space="preserve"> B2967 &amp; B2970</f>
        <v>Z000248001Z040202006</v>
      </c>
    </row>
    <row r="2971" spans="1:11" outlineLevel="1" x14ac:dyDescent="0.2">
      <c r="A2971" s="29"/>
      <c r="B2971" s="30" t="s">
        <v>5360</v>
      </c>
      <c r="C2971" s="30" t="s">
        <v>5361</v>
      </c>
      <c r="D2971" s="34" t="s">
        <v>1052</v>
      </c>
      <c r="E2971" s="31">
        <v>980.88</v>
      </c>
      <c r="F2971" s="31">
        <v>15</v>
      </c>
      <c r="G2971" s="32">
        <f t="shared" si="470"/>
        <v>14713.2</v>
      </c>
      <c r="H2971" s="33">
        <f t="shared" si="468"/>
        <v>7.6288690836904987E-5</v>
      </c>
      <c r="K2971" t="str">
        <f xml:space="preserve"> B2967 &amp; B2971</f>
        <v>Z000248001Z040314021</v>
      </c>
    </row>
    <row r="2972" spans="1:11" outlineLevel="1" x14ac:dyDescent="0.2">
      <c r="A2972" s="29"/>
      <c r="B2972" s="30" t="s">
        <v>498</v>
      </c>
      <c r="C2972" s="30" t="s">
        <v>773</v>
      </c>
      <c r="D2972" s="34" t="s">
        <v>1052</v>
      </c>
      <c r="E2972" s="31">
        <v>1177.056</v>
      </c>
      <c r="F2972" s="31">
        <v>0</v>
      </c>
      <c r="G2972" s="32">
        <f t="shared" si="470"/>
        <v>0</v>
      </c>
      <c r="H2972" s="33">
        <f t="shared" si="468"/>
        <v>0</v>
      </c>
      <c r="K2972" t="str">
        <f xml:space="preserve"> B2967 &amp; B2972</f>
        <v>Z000248001Z040401001</v>
      </c>
    </row>
    <row r="2973" spans="1:11" outlineLevel="1" x14ac:dyDescent="0.2">
      <c r="A2973" s="29"/>
      <c r="B2973" s="30" t="s">
        <v>937</v>
      </c>
      <c r="C2973" s="30" t="s">
        <v>509</v>
      </c>
      <c r="D2973" s="34" t="s">
        <v>1052</v>
      </c>
      <c r="E2973" s="31">
        <v>0</v>
      </c>
      <c r="F2973" s="31">
        <v>15.5</v>
      </c>
      <c r="G2973" s="32">
        <f t="shared" si="470"/>
        <v>0</v>
      </c>
      <c r="H2973" s="33">
        <f t="shared" si="468"/>
        <v>0</v>
      </c>
      <c r="K2973" t="str">
        <f xml:space="preserve"> B2967 &amp; B2973</f>
        <v>Z000248001Z040201002</v>
      </c>
    </row>
    <row r="2974" spans="1:11" outlineLevel="1" x14ac:dyDescent="0.2">
      <c r="A2974" s="11" t="s">
        <v>1202</v>
      </c>
      <c r="B2974" s="11" t="s">
        <v>5365</v>
      </c>
      <c r="C2974" s="11" t="s">
        <v>5368</v>
      </c>
      <c r="D2974" s="12" t="s">
        <v>1781</v>
      </c>
      <c r="E2974" s="13">
        <v>52</v>
      </c>
      <c r="F2974" s="14">
        <v>728.53560000000004</v>
      </c>
      <c r="G2974" s="15">
        <f>SUM(G2975:G2982)</f>
        <v>37883.851200000005</v>
      </c>
      <c r="H2974" s="16">
        <f t="shared" ref="H2974:H2980" si="471">G2974/$F$2</f>
        <v>1.964296965927271E-4</v>
      </c>
    </row>
    <row r="2975" spans="1:11" outlineLevel="1" x14ac:dyDescent="0.2">
      <c r="A2975" s="29"/>
      <c r="B2975" s="30" t="s">
        <v>498</v>
      </c>
      <c r="C2975" s="30" t="s">
        <v>773</v>
      </c>
      <c r="D2975" s="34" t="s">
        <v>1052</v>
      </c>
      <c r="E2975" s="31">
        <v>62.4</v>
      </c>
      <c r="F2975" s="31">
        <v>0</v>
      </c>
      <c r="G2975" s="32">
        <f t="shared" ref="G2975:G2980" si="472">F2975*E2975</f>
        <v>0</v>
      </c>
      <c r="H2975" s="33">
        <f t="shared" si="471"/>
        <v>0</v>
      </c>
      <c r="K2975" t="str">
        <f xml:space="preserve"> B2974 &amp; B2975</f>
        <v>Z000248002Z040401001</v>
      </c>
    </row>
    <row r="2976" spans="1:11" outlineLevel="1" x14ac:dyDescent="0.2">
      <c r="A2976" s="29"/>
      <c r="B2976" s="30" t="s">
        <v>1009</v>
      </c>
      <c r="C2976" s="30" t="s">
        <v>672</v>
      </c>
      <c r="D2976" s="34" t="s">
        <v>1052</v>
      </c>
      <c r="E2976" s="31">
        <v>0</v>
      </c>
      <c r="F2976" s="31">
        <v>16.489999999999998</v>
      </c>
      <c r="G2976" s="32">
        <f t="shared" si="472"/>
        <v>0</v>
      </c>
      <c r="H2976" s="33">
        <f t="shared" si="471"/>
        <v>0</v>
      </c>
      <c r="K2976" t="str">
        <f xml:space="preserve"> B2974 &amp; B2976</f>
        <v>Z000248002Z040201013</v>
      </c>
    </row>
    <row r="2977" spans="1:11" outlineLevel="1" x14ac:dyDescent="0.2">
      <c r="A2977" s="29"/>
      <c r="B2977" s="30" t="s">
        <v>801</v>
      </c>
      <c r="C2977" s="30" t="s">
        <v>402</v>
      </c>
      <c r="D2977" s="34" t="s">
        <v>1052</v>
      </c>
      <c r="E2977" s="31">
        <v>0</v>
      </c>
      <c r="F2977" s="31">
        <v>10.3</v>
      </c>
      <c r="G2977" s="32">
        <f t="shared" si="472"/>
        <v>0</v>
      </c>
      <c r="H2977" s="33">
        <f t="shared" si="471"/>
        <v>0</v>
      </c>
      <c r="K2977" t="str">
        <f xml:space="preserve"> B2974 &amp; B2977</f>
        <v>Z000248002Z040202006</v>
      </c>
    </row>
    <row r="2978" spans="1:11" outlineLevel="1" x14ac:dyDescent="0.2">
      <c r="A2978" s="29"/>
      <c r="B2978" s="30" t="s">
        <v>61</v>
      </c>
      <c r="C2978" s="30" t="s">
        <v>2490</v>
      </c>
      <c r="D2978" s="34" t="s">
        <v>1052</v>
      </c>
      <c r="E2978" s="31">
        <v>0</v>
      </c>
      <c r="F2978" s="31">
        <v>36.880000000000003</v>
      </c>
      <c r="G2978" s="32">
        <f t="shared" si="472"/>
        <v>0</v>
      </c>
      <c r="H2978" s="33">
        <f t="shared" si="471"/>
        <v>0</v>
      </c>
      <c r="K2978" t="str">
        <f xml:space="preserve"> B2974 &amp; B2978</f>
        <v>Z000248002Z050103017</v>
      </c>
    </row>
    <row r="2979" spans="1:11" outlineLevel="1" x14ac:dyDescent="0.2">
      <c r="A2979" s="29"/>
      <c r="B2979" s="30" t="s">
        <v>1258</v>
      </c>
      <c r="C2979" s="30" t="s">
        <v>1526</v>
      </c>
      <c r="D2979" s="34" t="s">
        <v>1052</v>
      </c>
      <c r="E2979" s="31">
        <v>4.4043999999999999</v>
      </c>
      <c r="F2979" s="31">
        <v>148</v>
      </c>
      <c r="G2979" s="32">
        <f t="shared" si="472"/>
        <v>651.85119999999995</v>
      </c>
      <c r="H2979" s="33">
        <f t="shared" si="471"/>
        <v>3.3798816483474376E-6</v>
      </c>
      <c r="K2979" t="str">
        <f xml:space="preserve"> B2974 &amp; B2979</f>
        <v>Z000248002Z010304001</v>
      </c>
    </row>
    <row r="2980" spans="1:11" outlineLevel="1" x14ac:dyDescent="0.2">
      <c r="A2980" s="29"/>
      <c r="B2980" s="30" t="s">
        <v>62</v>
      </c>
      <c r="C2980" s="30" t="s">
        <v>4668</v>
      </c>
      <c r="D2980" s="34" t="s">
        <v>1052</v>
      </c>
      <c r="E2980" s="31">
        <v>0</v>
      </c>
      <c r="F2980" s="31">
        <v>29.73</v>
      </c>
      <c r="G2980" s="32">
        <f t="shared" si="472"/>
        <v>0</v>
      </c>
      <c r="H2980" s="33">
        <f t="shared" si="471"/>
        <v>0</v>
      </c>
      <c r="K2980" t="str">
        <f xml:space="preserve"> B2974 &amp; B2980</f>
        <v>Z000248002Z050103018</v>
      </c>
    </row>
    <row r="2981" spans="1:11" outlineLevel="1" x14ac:dyDescent="0.2">
      <c r="A2981" s="29"/>
      <c r="B2981" s="30" t="s">
        <v>5374</v>
      </c>
      <c r="C2981" s="30" t="s">
        <v>5375</v>
      </c>
      <c r="D2981" s="34" t="s">
        <v>1052</v>
      </c>
      <c r="E2981" s="31">
        <v>52</v>
      </c>
      <c r="F2981" s="31">
        <v>566</v>
      </c>
      <c r="G2981" s="32">
        <f t="shared" ref="G2981" si="473">F2981*E2981</f>
        <v>29432</v>
      </c>
      <c r="H2981" s="33">
        <f t="shared" ref="H2981" si="474">G2981/$F$2</f>
        <v>1.5260641795882525E-4</v>
      </c>
      <c r="K2981" t="str">
        <f xml:space="preserve"> B2974 &amp; B2981</f>
        <v>Z000248002Z011104002</v>
      </c>
    </row>
    <row r="2982" spans="1:11" outlineLevel="1" x14ac:dyDescent="0.2">
      <c r="A2982" s="29"/>
      <c r="B2982" s="30" t="s">
        <v>5377</v>
      </c>
      <c r="C2982" s="30" t="s">
        <v>5378</v>
      </c>
      <c r="D2982" s="34" t="s">
        <v>1052</v>
      </c>
      <c r="E2982" s="31">
        <v>52</v>
      </c>
      <c r="F2982" s="31">
        <v>150</v>
      </c>
      <c r="G2982" s="32">
        <f t="shared" ref="G2982" si="475">F2982*E2982</f>
        <v>7800</v>
      </c>
      <c r="H2982" s="33">
        <f t="shared" ref="H2982" si="476">G2982/$F$2</f>
        <v>4.0443396985554393E-5</v>
      </c>
      <c r="K2982" t="str">
        <f xml:space="preserve"> B2974 &amp; B2982</f>
        <v>Z000248002Z040314020</v>
      </c>
    </row>
    <row r="2983" spans="1:11" ht="18.75" x14ac:dyDescent="0.2">
      <c r="A2983" s="5">
        <v>25</v>
      </c>
      <c r="B2983" s="5" t="s">
        <v>328</v>
      </c>
      <c r="C2983" s="5" t="s">
        <v>2102</v>
      </c>
      <c r="D2983" s="6"/>
      <c r="E2983" s="7"/>
      <c r="F2983" s="8"/>
      <c r="G2983" s="9">
        <v>0</v>
      </c>
      <c r="H2983" s="10">
        <f t="shared" si="466"/>
        <v>0</v>
      </c>
    </row>
    <row r="2984" spans="1:11" ht="15" x14ac:dyDescent="0.2">
      <c r="A2984" s="17" t="s">
        <v>2094</v>
      </c>
      <c r="B2984" s="17" t="s">
        <v>328</v>
      </c>
      <c r="C2984" s="17" t="s">
        <v>212</v>
      </c>
      <c r="D2984" s="18"/>
      <c r="E2984" s="19"/>
      <c r="F2984" s="20"/>
      <c r="G2984" s="21">
        <v>0</v>
      </c>
      <c r="H2984" s="22">
        <f t="shared" si="466"/>
        <v>0</v>
      </c>
    </row>
  </sheetData>
  <autoFilter ref="A4:H2984" xr:uid="{F128BB92-672E-40A0-83AD-7E3D5D30E71C}"/>
  <mergeCells count="5">
    <mergeCell ref="D2:E3"/>
    <mergeCell ref="F2:H3"/>
    <mergeCell ref="A1:H1"/>
    <mergeCell ref="A2:C2"/>
    <mergeCell ref="A3:C3"/>
  </mergeCells>
  <phoneticPr fontId="10" type="noConversion"/>
  <pageMargins left="0.59055118110236227" right="0.59055118110236227" top="0.59055118110236227" bottom="0.59055118110236227" header="0" footer="0.59055118110236227"/>
  <pageSetup paperSize="9" scale="49" fitToHeight="0" orientation="portrait" r:id="rId1"/>
  <headerFooter>
    <oddFooter>Página &amp;P de &amp;N</oddFooter>
  </headerFooter>
  <ignoredErrors>
    <ignoredError sqref="G11:H2984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EED048-2926-4FAC-A5D0-75D56377F1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COMP - INS - O4210 - ORC6</vt:lpstr>
      <vt:lpstr>PLANILHA ORCAMENTARIA</vt:lpstr>
      <vt:lpstr>'PLANILHA ORCAMENTARIA'!Area_de_impressao</vt:lpstr>
      <vt:lpstr>'PLANILHA ORCAMENTARIA'!Titulos_de_impressao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De Freitas Roque</cp:lastModifiedBy>
  <cp:lastPrinted>2025-08-22T18:38:18Z</cp:lastPrinted>
  <dcterms:created xsi:type="dcterms:W3CDTF">2025-07-24T15:30:42Z</dcterms:created>
  <dcterms:modified xsi:type="dcterms:W3CDTF">2025-08-22T18:38:31Z</dcterms:modified>
</cp:coreProperties>
</file>